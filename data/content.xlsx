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B554C84B-428E-5D43-A940-AEC4C0A362D9}" xr6:coauthVersionLast="47" xr6:coauthVersionMax="47" xr10:uidLastSave="{00000000-0000-0000-0000-000000000000}"/>
  <bookViews>
    <workbookView xWindow="-22120" yWindow="1540" windowWidth="2126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4" i="5" l="1"/>
  <c r="L443" i="5"/>
  <c r="L442" i="5"/>
  <c r="L441" i="5"/>
  <c r="L440" i="5"/>
  <c r="L439" i="5"/>
  <c r="L435" i="5"/>
  <c r="L433" i="5"/>
  <c r="L430" i="5"/>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<sst xmlns="http://schemas.openxmlformats.org/spreadsheetml/2006/main" count="8026" uniqueCount="1685">
  <si>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</si>
  <si>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</si>
  <si>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</si>
  <si>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</si>
  <si>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</si>
  <si>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</si>
  <si>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</si>
  <si>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</si>
  <si>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</si>
  <si>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</si>
  <si>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</si>
  <si>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</si>
  <si>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</si>
  <si>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</si>
  <si>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</si>
  <si>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</si>
  <si>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</si>
  <si>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</si>
  <si>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</si>
  <si>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</si>
  <si>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</si>
  <si>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</si>
  <si>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</si>
  <si>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</si>
  <si>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</si>
  <si>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</si>
  <si>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</si>
  <si>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</si>
  <si>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</si>
  <si>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</si>
  <si>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</si>
  <si>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</si>
  <si>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</si>
  <si>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</si>
  <si>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</si>
  <si>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</si>
  <si>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</si>
  <si>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</si>
  <si>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</si>
  <si>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</si>
  <si>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</si>
  <si>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</si>
  <si>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</si>
  <si>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</si>
  <si>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</si>
  <si>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</si>
  <si>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</si>
  <si>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</si>
  <si>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</si>
  <si>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</si>
  <si>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</si>
  <si>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</si>
  <si>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</si>
  <si>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</si>
  <si>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</si>
  <si>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</si>
  <si>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</si>
  <si>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</si>
  <si>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</si>
  <si>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</si>
  <si>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</si>
  <si>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</si>
  <si>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</si>
  <si>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</si>
  <si>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</si>
  <si>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</si>
  <si>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</si>
  <si>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</si>
  <si>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</si>
  <si>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</si>
  <si>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</si>
  <si>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</si>
  <si>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</si>
  <si>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</si>
  <si>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</si>
  <si>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</si>
  <si>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</si>
  <si>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</si>
  <si>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</si>
  <si>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</si>
  <si>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</si>
  <si>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</si>
  <si>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</si>
  <si>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</si>
  <si>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</si>
  <si>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</si>
  <si>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</si>
  <si>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</si>
  <si>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</si>
  <si>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</si>
  <si>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</si>
  <si>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</si>
  <si>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</si>
  <si>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</si>
  <si>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</si>
  <si>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</si>
  <si>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</si>
  <si>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</si>
  <si>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</si>
  <si>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</si>
  <si>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</si>
  <si>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</si>
  <si>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</si>
  <si>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</si>
  <si>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</si>
  <si>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</si>
  <si>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</si>
  <si>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</si>
  <si>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</si>
  <si>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</si>
  <si>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</si>
  <si>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</si>
  <si>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</si>
  <si>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</si>
  <si>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</si>
  <si>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</si>
  <si>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</si>
  <si>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</si>
  <si>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</si>
  <si>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</si>
  <si>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</si>
  <si>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</si>
  <si>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</si>
  <si>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</si>
  <si>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</si>
  <si>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</si>
  <si>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</si>
  <si>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</si>
  <si>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</si>
  <si>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</si>
  <si>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</si>
  <si>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</si>
  <si>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</si>
  <si>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</si>
  <si>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</si>
  <si>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</si>
  <si>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</si>
  <si>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</si>
  <si>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</si>
  <si>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</si>
  <si>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</si>
  <si>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</si>
  <si>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</si>
  <si>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</si>
  <si>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</si>
  <si>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</si>
  <si>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</si>
  <si>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</si>
  <si>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</si>
  <si>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</si>
  <si>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</si>
  <si>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</si>
  <si>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</si>
  <si>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</si>
  <si>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</si>
  <si>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</si>
  <si>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</si>
  <si>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</si>
  <si>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</si>
  <si>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</si>
  <si>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</si>
  <si>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</si>
  <si>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</si>
  <si>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</si>
  <si>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</si>
  <si>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</si>
  <si>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</si>
  <si>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</si>
  <si>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</si>
  <si>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</si>
  <si>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</si>
  <si>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</si>
  <si>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</si>
  <si>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</si>
  <si>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</si>
  <si>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</si>
  <si>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</si>
  <si>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</si>
  <si>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</si>
  <si>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</si>
  <si>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</si>
  <si>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</si>
  <si>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</si>
  <si>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</si>
  <si>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</si>
  <si>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</si>
  <si>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</si>
  <si>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</si>
  <si>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</si>
  <si>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</si>
  <si>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</si>
  <si>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</si>
  <si>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</si>
  <si>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</si>
  <si>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</si>
  <si>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</si>
  <si>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</si>
  <si>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</si>
  <si>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</si>
  <si>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</si>
  <si>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</si>
  <si>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</si>
  <si>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</si>
  <si>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</si>
  <si>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</si>
  <si>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</si>
  <si>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</si>
  <si>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</si>
  <si>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</si>
  <si>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</si>
  <si>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</si>
  <si>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</si>
  <si>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</si>
  <si>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</si>
  <si>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</si>
  <si>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</si>
  <si>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</si>
  <si>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</si>
  <si>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</si>
  <si>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</si>
  <si>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</si>
  <si>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</si>
  <si>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</si>
  <si>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</si>
  <si>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</si>
  <si>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</si>
  <si>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</si>
  <si>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</si>
  <si>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</si>
  <si>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</si>
  <si>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</si>
  <si>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</si>
  <si>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</si>
  <si>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</si>
  <si>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</si>
  <si>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</si>
  <si>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</si>
  <si>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</si>
  <si>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</si>
  <si>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</si>
  <si>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</si>
  <si>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</si>
  <si>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</si>
  <si>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</si>
  <si>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</si>
  <si>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</si>
  <si>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</si>
  <si>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</si>
  <si>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</si>
  <si>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</si>
  <si>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</si>
  <si>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</si>
  <si>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</si>
  <si>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</si>
  <si>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</si>
  <si>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</si>
  <si>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</si>
  <si>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</si>
  <si>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</si>
  <si>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</si>
  <si>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</si>
  <si>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</si>
  <si>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</si>
  <si>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</si>
  <si>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</si>
  <si>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</si>
  <si>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</si>
  <si>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</si>
  <si>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</si>
  <si>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</si>
  <si>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</si>
  <si>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</si>
  <si>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</si>
  <si>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</si>
  <si>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</si>
  <si>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</si>
  <si>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</si>
  <si>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</si>
  <si>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</si>
  <si>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</si>
  <si>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</si>
  <si>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</si>
  <si>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</si>
  <si>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</si>
  <si>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</si>
  <si>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</si>
  <si>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</si>
  <si>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</si>
  <si>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</si>
  <si>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</si>
  <si>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</si>
  <si>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</si>
  <si>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</si>
  <si>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</si>
  <si>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</si>
  <si>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</si>
  <si>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</si>
  <si>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</si>
  <si>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</si>
  <si>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</si>
  <si>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</si>
  <si>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</si>
  <si>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</si>
  <si>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</si>
  <si>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</si>
  <si>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</si>
  <si>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</si>
  <si>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</si>
  <si>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</si>
  <si>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</si>
  <si>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</si>
  <si>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</si>
  <si>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</si>
  <si>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</si>
  <si>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</si>
  <si>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</si>
  <si>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</si>
  <si>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</si>
  <si>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</si>
  <si>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</si>
  <si>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</si>
  <si>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</si>
  <si>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</si>
  <si>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</si>
  <si>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</si>
  <si>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</si>
  <si>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</si>
  <si>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</si>
  <si>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</si>
  <si>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</si>
  <si>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</si>
  <si>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</si>
  <si>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</si>
  <si>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</si>
  <si>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</si>
  <si>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</si>
  <si>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</si>
  <si>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</si>
  <si>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</si>
  <si>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</si>
  <si>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</si>
  <si>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</si>
  <si>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</si>
  <si>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</si>
  <si>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</si>
  <si>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</si>
  <si>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</si>
  <si>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</si>
  <si>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</si>
  <si>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</si>
  <si>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</si>
  <si>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</si>
  <si>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</si>
  <si>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</si>
  <si>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</si>
  <si>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</si>
  <si>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</si>
  <si>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</si>
  <si>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</si>
  <si>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</si>
  <si>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</si>
  <si>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</si>
  <si>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</si>
  <si>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</si>
  <si>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</si>
  <si>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</si>
  <si>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</si>
  <si>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</si>
  <si>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</si>
  <si>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</si>
  <si>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</si>
  <si>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</si>
  <si>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</si>
  <si>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</si>
  <si>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</si>
  <si>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</si>
  <si>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</si>
  <si>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</si>
  <si>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</si>
  <si>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</si>
  <si>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</si>
  <si>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</si>
  <si>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</si>
  <si>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</si>
  <si>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</si>
  <si>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</si>
  <si>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</si>
  <si>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</si>
  <si>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</si>
  <si>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</si>
  <si>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</si>
  <si>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</si>
  <si>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</si>
  <si>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</si>
  <si>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</si>
  <si>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</si>
  <si>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</si>
  <si>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</si>
  <si>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</si>
  <si>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</si>
  <si>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</si>
  <si>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</si>
  <si>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</si>
  <si>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</si>
  <si>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</si>
  <si>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</si>
  <si>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</si>
  <si>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</si>
  <si>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</si>
  <si>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</si>
  <si>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</si>
  <si>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</si>
  <si>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</si>
  <si>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</si>
  <si>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</si>
  <si>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</si>
  <si>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</si>
  <si>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</si>
  <si>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</si>
  <si>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</si>
  <si>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</si>
  <si>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</si>
  <si>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</si>
  <si>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</si>
  <si>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</si>
  <si>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</si>
  <si>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</si>
  <si>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</si>
  <si>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</si>
  <si>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</si>
  <si>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</si>
  <si>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</si>
  <si>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</si>
  <si>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</si>
  <si>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</si>
  <si>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</si>
  <si>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</si>
  <si>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</si>
  <si>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</si>
  <si>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</si>
  <si>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</si>
  <si>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</si>
  <si>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</si>
  <si>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</si>
  <si>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</si>
  <si>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</si>
  <si>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</si>
  <si>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</si>
  <si>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</si>
  <si>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</si>
  <si>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</si>
  <si>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</si>
  <si>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</si>
  <si>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</si>
  <si>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</si>
  <si>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</si>
  <si>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</si>
  <si>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</si>
  <si>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</si>
  <si>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</si>
  <si>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</si>
  <si>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</si>
  <si>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</si>
  <si>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</si>
  <si>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</si>
  <si>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</si>
  <si>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</si>
  <si>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</si>
  <si>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</si>
  <si>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</si>
  <si>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</si>
  <si>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</si>
  <si>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</si>
  <si>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</si>
  <si>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</si>
  <si>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</si>
  <si>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</si>
  <si>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</si>
  <si>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</si>
  <si>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</si>
  <si>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</si>
  <si>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</si>
  <si>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</si>
  <si>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</si>
  <si>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</si>
  <si>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</si>
  <si>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</si>
  <si>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</si>
  <si>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</si>
  <si>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</si>
  <si>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</si>
  <si>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</si>
  <si>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</si>
  <si>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</si>
  <si>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</si>
  <si>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</si>
  <si>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</si>
  <si>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</si>
  <si>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</si>
  <si>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</si>
  <si>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</si>
  <si>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</si>
  <si>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</si>
  <si>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</si>
  <si>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</si>
  <si>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</si>
  <si>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</si>
  <si>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</si>
  <si>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</si>
  <si>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</si>
  <si>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</si>
  <si>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</si>
  <si>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</si>
  <si>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</si>
  <si>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</si>
  <si>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</si>
  <si>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</si>
  <si>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</si>
  <si>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</si>
  <si>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</si>
  <si>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</si>
  <si>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</si>
  <si>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</si>
  <si>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</si>
  <si>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</si>
  <si>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</si>
  <si>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</si>
  <si>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</si>
  <si>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</si>
  <si>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</si>
  <si>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</si>
  <si>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</si>
  <si>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</si>
  <si>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</si>
  <si>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</si>
  <si>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</si>
  <si>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</si>
  <si>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</si>
  <si>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</si>
  <si>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</si>
  <si>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</si>
  <si>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</si>
  <si>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</si>
  <si>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</si>
  <si>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</si>
  <si>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</si>
  <si>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</si>
  <si>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</si>
  <si>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</si>
  <si>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</si>
  <si>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</si>
  <si>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</si>
  <si>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</si>
  <si>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</si>
  <si>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</si>
  <si>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</si>
  <si>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</si>
  <si>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</si>
  <si>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</si>
  <si>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</si>
  <si>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</si>
  <si>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</si>
  <si>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</si>
  <si>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</si>
  <si>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</si>
  <si>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</si>
  <si>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</si>
  <si>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</si>
  <si>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</si>
  <si>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</si>
  <si>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</si>
  <si>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</si>
  <si>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</si>
  <si>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</si>
  <si>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</si>
  <si>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</si>
  <si>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</si>
  <si>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</si>
  <si>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</si>
  <si>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</si>
  <si>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</si>
  <si>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</si>
  <si>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</si>
  <si>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</si>
  <si>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</si>
  <si>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</si>
  <si>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</si>
  <si>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</si>
  <si>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</si>
  <si>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</si>
  <si>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</si>
  <si>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</si>
  <si>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</si>
  <si>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</si>
  <si>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</si>
  <si>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</si>
  <si>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</si>
  <si>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</si>
  <si>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</si>
  <si>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</si>
  <si>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</si>
  <si>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</si>
  <si>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</si>
  <si>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</si>
  <si>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</si>
  <si>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</si>
  <si>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</si>
  <si>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</si>
  <si>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</si>
  <si>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</si>
  <si>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</si>
  <si>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</si>
  <si>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</si>
  <si>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</si>
  <si>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</si>
  <si>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</si>
  <si>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</si>
  <si>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</si>
  <si>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</si>
  <si>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</si>
  <si>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</si>
  <si>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</si>
  <si>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</si>
  <si>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</si>
  <si>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</si>
  <si>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</si>
  <si>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</si>
  <si>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</si>
  <si>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</si>
  <si>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</si>
  <si>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</si>
  <si>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</si>
  <si>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</si>
  <si>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</si>
  <si>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</si>
  <si>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</si>
  <si>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</si>
  <si>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</si>
  <si>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</si>
  <si>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</si>
  <si>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</si>
  <si>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</si>
  <si>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</si>
  <si>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</si>
  <si>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</si>
  <si>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</si>
  <si>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</si>
  <si>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</si>
  <si>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</si>
  <si>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</si>
  <si>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</si>
  <si>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</si>
  <si>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</si>
  <si>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</si>
  <si>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</si>
  <si>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</si>
  <si>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</si>
  <si>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</si>
  <si>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</si>
  <si>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</si>
  <si>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</si>
  <si>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</si>
  <si>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</si>
  <si>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</si>
  <si>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</si>
  <si>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</si>
  <si>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</si>
  <si>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</si>
  <si>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</si>
  <si>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</si>
  <si>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</si>
  <si>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</si>
  <si>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</si>
  <si>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</si>
  <si>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</si>
  <si>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</si>
  <si>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</si>
  <si>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</si>
  <si>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</si>
  <si>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</si>
  <si>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</si>
  <si>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</si>
  <si>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</si>
  <si>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</si>
  <si>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</si>
  <si>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</si>
  <si>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</si>
  <si>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</si>
  <si>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</si>
  <si>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</si>
  <si>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</si>
  <si>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</si>
  <si>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</si>
  <si>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</si>
  <si>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</si>
  <si>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</si>
  <si>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</si>
  <si>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</si>
  <si>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</si>
  <si>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</si>
  <si>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</si>
  <si>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</si>
  <si>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</si>
  <si>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</si>
  <si>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</si>
  <si>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</si>
  <si>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</si>
  <si>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</si>
  <si>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</si>
  <si>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</si>
  <si>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</si>
  <si>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</si>
  <si>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</si>
  <si>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</si>
  <si>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</si>
  <si>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</si>
  <si>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</si>
  <si>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</si>
  <si>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</si>
  <si>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</si>
  <si>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</si>
  <si>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</si>
  <si>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</si>
  <si>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</si>
  <si>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</si>
  <si>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</si>
  <si>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</si>
  <si>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</si>
  <si>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</si>
  <si>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</si>
  <si>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</si>
  <si>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</si>
  <si>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</si>
  <si>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</si>
  <si>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</si>
  <si>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</si>
  <si>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</si>
  <si>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</si>
  <si>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</si>
  <si>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</si>
  <si>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</si>
  <si>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</si>
  <si>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</si>
  <si>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</si>
  <si>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</si>
  <si>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</si>
  <si>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</si>
  <si>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</si>
  <si>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</si>
  <si>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</si>
  <si>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</si>
  <si>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</si>
  <si>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</si>
  <si>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</si>
  <si>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</si>
  <si>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</si>
  <si>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</si>
  <si>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</si>
  <si>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</si>
  <si>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</si>
  <si>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</si>
  <si>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</si>
  <si>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</si>
  <si>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</si>
  <si>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</si>
  <si>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</si>
  <si>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</si>
  <si>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</si>
  <si>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</si>
  <si>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</si>
  <si>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</si>
  <si>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</si>
  <si>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</si>
  <si>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</si>
  <si>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</si>
  <si>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</si>
  <si>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</si>
  <si>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</si>
  <si>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</si>
  <si>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</si>
  <si>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</si>
  <si>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</si>
  <si>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</si>
  <si>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</si>
  <si>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</si>
  <si>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</si>
  <si>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</si>
  <si>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</si>
  <si>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</si>
  <si>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</si>
  <si>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</si>
  <si>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</si>
  <si>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</si>
  <si>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</si>
  <si>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</si>
  <si>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</si>
  <si>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</si>
  <si>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</si>
  <si>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</si>
  <si>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</si>
  <si>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</si>
  <si>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</si>
  <si>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</si>
  <si>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</si>
  <si>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</si>
  <si>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</si>
  <si>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</si>
  <si>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</si>
  <si>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</si>
  <si>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</si>
  <si>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</si>
  <si>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</si>
  <si>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</si>
  <si>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</si>
  <si>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</si>
  <si>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</si>
  <si>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</si>
  <si>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</si>
  <si>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</si>
  <si>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</si>
  <si>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</si>
  <si>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</si>
  <si>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</si>
  <si>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</si>
  <si>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</si>
  <si>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</si>
  <si>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</si>
  <si>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</si>
  <si>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</si>
  <si>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</si>
  <si>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</si>
  <si>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</si>
  <si>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</si>
  <si>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</si>
  <si>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</si>
  <si>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</si>
  <si>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</si>
  <si>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</si>
  <si>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</si>
  <si>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</si>
  <si>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</si>
  <si>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</si>
  <si>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</si>
  <si>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</si>
  <si>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</si>
  <si>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</si>
  <si>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</si>
  <si>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</si>
  <si>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</si>
  <si>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</si>
  <si>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</si>
  <si>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</si>
  <si>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</si>
  <si>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</si>
  <si>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</si>
  <si>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</si>
  <si>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</si>
  <si>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</si>
  <si>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</si>
  <si>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</si>
  <si>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</si>
  <si>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</si>
  <si>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</si>
  <si>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</si>
  <si>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</si>
  <si>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</si>
  <si>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</si>
  <si>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</si>
  <si>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</si>
  <si>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</si>
  <si>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</si>
  <si>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</si>
  <si>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</si>
  <si>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</si>
  <si>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</si>
  <si>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</si>
  <si>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</si>
  <si>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</si>
  <si>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</si>
  <si>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</si>
  <si>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</si>
  <si>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</si>
  <si>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</si>
  <si>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</si>
  <si>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</si>
  <si>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</si>
  <si>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</si>
  <si>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</si>
  <si>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</si>
  <si>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</si>
  <si>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</si>
  <si>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</si>
  <si>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</si>
  <si>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</si>
  <si>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</si>
  <si>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</si>
  <si>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</si>
  <si>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</si>
  <si>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</si>
  <si>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</si>
  <si>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</si>
  <si>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</si>
  <si>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</si>
  <si>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</si>
  <si>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</si>
  <si>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</si>
  <si>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</si>
  <si>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</si>
  <si>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</si>
  <si>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</si>
  <si>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</si>
  <si>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</si>
  <si>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</si>
  <si>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</si>
  <si>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</si>
  <si>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</si>
  <si>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</si>
  <si>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</si>
  <si>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</si>
  <si>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</si>
  <si>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</si>
  <si>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</si>
  <si>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</si>
  <si>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</si>
  <si>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</si>
  <si>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</si>
  <si>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</si>
  <si>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</si>
  <si>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</si>
  <si>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</si>
  <si>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</si>
  <si>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</si>
  <si>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</si>
  <si>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</si>
  <si>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</si>
  <si>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</si>
  <si>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</si>
  <si>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</si>
  <si>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</si>
  <si>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</si>
  <si>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</si>
  <si>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</si>
  <si>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</si>
  <si>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</si>
  <si>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</si>
  <si>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</si>
  <si>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</si>
  <si>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</si>
  <si>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</si>
  <si>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</si>
  <si>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</si>
  <si>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</si>
  <si>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</si>
  <si>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</si>
  <si>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</si>
  <si>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</si>
  <si>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</si>
  <si>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</si>
  <si>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</si>
  <si>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</si>
  <si>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</si>
  <si>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</si>
  <si>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</si>
  <si>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</si>
  <si>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</si>
  <si>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</si>
  <si>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</si>
  <si>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</si>
  <si>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</si>
  <si>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</si>
  <si>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</si>
  <si>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</si>
  <si>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</si>
  <si>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</si>
  <si>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</si>
  <si>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</si>
  <si>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</si>
  <si>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</si>
  <si>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</si>
  <si>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</si>
  <si>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</si>
  <si>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</si>
  <si>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</si>
  <si>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</si>
  <si>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</si>
  <si>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</si>
  <si>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</si>
  <si>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</si>
  <si>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</si>
  <si>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</si>
  <si>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</si>
  <si>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</si>
  <si>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</si>
  <si>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</si>
  <si>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</si>
  <si>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</si>
  <si>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</si>
  <si>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</si>
  <si>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</si>
  <si>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</si>
  <si>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</si>
  <si>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</si>
  <si>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</si>
  <si>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</si>
  <si>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</si>
  <si>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</si>
  <si>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</si>
  <si>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</si>
  <si>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</si>
  <si>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</si>
  <si>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</si>
  <si>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</si>
  <si>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</si>
  <si>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</si>
  <si>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</si>
  <si>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</si>
  <si>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</si>
  <si>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</si>
  <si>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</si>
  <si>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</si>
  <si>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</si>
  <si>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</si>
  <si>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</si>
  <si>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</si>
  <si>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</si>
  <si>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</si>
  <si>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</si>
  <si>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</si>
  <si>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</si>
  <si>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</si>
  <si>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</si>
  <si>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</si>
  <si>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</si>
  <si>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</si>
  <si>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</si>
  <si>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</si>
  <si>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</si>
  <si>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</si>
  <si>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</si>
  <si>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</si>
  <si>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</si>
  <si>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</si>
  <si>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</si>
  <si>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</si>
  <si>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</si>
  <si>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</si>
  <si>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</si>
  <si>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</si>
  <si>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</si>
  <si>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</si>
  <si>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</si>
  <si>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</si>
  <si>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</si>
  <si>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</si>
  <si>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</si>
  <si>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</si>
  <si>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</si>
  <si>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</si>
  <si>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</si>
  <si>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</si>
  <si>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</si>
  <si>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</si>
  <si>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</si>
  <si>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</si>
  <si>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</si>
  <si>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</si>
  <si>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</si>
  <si>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</si>
  <si>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</si>
  <si>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</si>
  <si>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</si>
  <si>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</si>
  <si>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</si>
  <si>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</si>
  <si>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</si>
  <si>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</si>
  <si>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</si>
  <si>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</si>
  <si>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</si>
  <si>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</si>
  <si>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</si>
  <si>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</si>
  <si>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</si>
  <si>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</si>
  <si>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</si>
  <si>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</si>
  <si>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</si>
  <si>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</si>
  <si>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</si>
  <si>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</si>
  <si>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</si>
  <si>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</si>
  <si>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</si>
  <si>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</si>
  <si>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</si>
  <si>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</si>
  <si>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</si>
  <si>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</si>
  <si>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</si>
  <si>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</si>
  <si>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</si>
  <si>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</si>
  <si>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</si>
  <si>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</si>
  <si>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</si>
  <si>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</si>
  <si>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</si>
  <si>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</si>
  <si>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</si>
  <si>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</si>
  <si>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</si>
  <si>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</si>
  <si>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</si>
  <si>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</si>
  <si>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</si>
  <si>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</si>
  <si>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</si>
  <si>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</si>
  <si>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</si>
  <si>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</si>
  <si>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</si>
  <si>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</si>
  <si>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</si>
  <si>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</si>
  <si>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</si>
  <si>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</si>
  <si>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</si>
  <si>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</si>
  <si>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</si>
  <si>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</si>
  <si>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</si>
  <si>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</si>
  <si>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</si>
  <si>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</si>
  <si>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</si>
  <si>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</si>
  <si>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</si>
  <si>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</si>
  <si>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</si>
  <si>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</si>
  <si>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</si>
  <si>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</si>
  <si>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</si>
  <si>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</si>
  <si>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</si>
  <si>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</si>
  <si>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</si>
  <si>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</si>
  <si>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</si>
  <si>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</si>
  <si>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</si>
  <si>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</si>
  <si>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</si>
  <si>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</si>
  <si>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</si>
  <si>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</si>
  <si>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</si>
  <si>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</si>
  <si>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</si>
  <si>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</si>
  <si>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</si>
  <si>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</si>
  <si>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</si>
  <si>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</si>
  <si>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</si>
  <si>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</si>
  <si>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</si>
  <si>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</si>
  <si>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</si>
  <si>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</si>
  <si>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</si>
  <si>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</si>
  <si>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</si>
  <si>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</si>
  <si>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</si>
  <si>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</si>
  <si>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</si>
  <si>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</si>
  <si>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</si>
  <si>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</si>
  <si>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</si>
  <si>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</si>
  <si>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</si>
  <si>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</si>
  <si>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</si>
  <si>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</si>
  <si>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</si>
  <si>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</si>
  <si>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</si>
  <si>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</si>
  <si>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</si>
  <si>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</si>
  <si>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</si>
  <si>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</si>
  <si>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</si>
  <si>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</si>
  <si>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</si>
  <si>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</si>
  <si>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</si>
  <si>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</si>
  <si>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</si>
  <si>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</si>
  <si>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</si>
  <si>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</si>
  <si>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</si>
  <si>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</si>
  <si>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</si>
  <si>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</si>
  <si>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</si>
  <si>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</si>
  <si>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</si>
  <si>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</si>
  <si>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</si>
  <si>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</si>
  <si>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</si>
  <si>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</si>
  <si>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</si>
  <si>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</si>
  <si>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</si>
  <si>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</si>
  <si>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</si>
  <si>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</si>
  <si>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</si>
  <si>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</si>
  <si>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</si>
  <si>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</si>
  <si>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</si>
  <si>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</si>
  <si>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</si>
  <si>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</si>
  <si>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</si>
  <si>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</si>
  <si>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</si>
  <si>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</si>
  <si>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</si>
  <si>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</si>
  <si>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</si>
  <si>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</si>
  <si>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</si>
  <si>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</si>
  <si>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</si>
  <si>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</si>
  <si>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</si>
  <si>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</si>
  <si>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</si>
  <si>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</si>
  <si>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</si>
  <si>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</si>
  <si>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</si>
  <si>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</si>
  <si>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</si>
  <si>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</si>
  <si>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</si>
  <si>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</si>
  <si>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</si>
  <si>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</si>
  <si>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</si>
  <si>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</si>
  <si>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</si>
  <si>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</si>
  <si>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</si>
  <si>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</si>
  <si>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</si>
  <si>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</si>
  <si>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</si>
  <si>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</si>
  <si>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</si>
  <si>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</si>
  <si>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</si>
  <si>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</si>
  <si>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</si>
  <si>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</si>
  <si>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</si>
  <si>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</si>
  <si>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</si>
  <si>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</si>
  <si>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</si>
  <si>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</si>
  <si>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</si>
  <si>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</si>
  <si>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</si>
  <si>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</si>
  <si>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</si>
  <si>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</si>
  <si>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</si>
  <si>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</si>
  <si>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</si>
  <si>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</si>
  <si>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</si>
  <si>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</si>
  <si>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</si>
  <si>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</si>
  <si>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</si>
  <si>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</si>
  <si>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</si>
  <si>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</si>
  <si>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</si>
  <si>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</si>
  <si>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</si>
  <si>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</si>
  <si>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</si>
  <si>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</si>
  <si>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</si>
  <si>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</si>
  <si>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</si>
  <si>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</si>
  <si>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</si>
  <si>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</si>
  <si>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</si>
  <si>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</si>
  <si>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</si>
  <si>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</si>
  <si>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</si>
  <si>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</si>
  <si>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</si>
  <si>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</si>
  <si>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</si>
  <si>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</si>
  <si>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</si>
  <si>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</si>
  <si>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</si>
  <si>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</si>
  <si>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</si>
  <si>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</si>
  <si>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</si>
  <si>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</si>
  <si>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</si>
  <si>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</si>
  <si>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</si>
  <si>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</si>
  <si>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</si>
  <si>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</si>
  <si>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</si>
  <si>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</si>
  <si>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</si>
  <si>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</si>
  <si>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</si>
  <si>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</si>
  <si>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</si>
  <si>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</si>
  <si>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</si>
  <si>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</si>
  <si>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</si>
  <si>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</si>
  <si>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</si>
  <si>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</si>
  <si>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</si>
  <si>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</si>
  <si>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</si>
  <si>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</si>
  <si>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</si>
  <si>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</si>
  <si>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</si>
  <si>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</si>
  <si>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</si>
  <si>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</si>
  <si>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</si>
  <si>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</si>
  <si>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</si>
  <si>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</si>
  <si>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</si>
  <si>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</si>
  <si>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</si>
  <si>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</si>
  <si>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</si>
  <si>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</si>
  <si>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</si>
  <si>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</si>
  <si>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</si>
  <si>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</si>
  <si>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</si>
  <si>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</si>
  <si>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</si>
  <si>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</si>
  <si>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</si>
  <si>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</si>
  <si>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</si>
  <si>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</si>
  <si>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</si>
  <si>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</si>
  <si>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</si>
  <si>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</si>
  <si>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</si>
  <si>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</si>
  <si>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</si>
  <si>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</si>
  <si>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</si>
  <si>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</si>
  <si>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</si>
  <si>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</si>
  <si>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</si>
  <si>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</si>
  <si>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</si>
  <si>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</si>
  <si>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</si>
  <si>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</si>
  <si>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</si>
  <si>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</si>
  <si>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</si>
  <si>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</si>
  <si>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</si>
  <si>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</si>
  <si>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</si>
  <si>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</si>
  <si>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</si>
  <si>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</si>
  <si>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</si>
  <si>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</si>
  <si>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</si>
  <si>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</si>
  <si>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</si>
  <si>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</si>
  <si>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</si>
  <si>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</si>
  <si>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</si>
  <si>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</si>
  <si>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</si>
  <si>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</si>
  <si>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</si>
  <si>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</si>
  <si>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</si>
  <si>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</si>
  <si>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</si>
  <si>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</si>
  <si>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</si>
  <si>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</si>
  <si>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</si>
  <si>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</si>
  <si>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</si>
  <si>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</si>
  <si>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</si>
  <si>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</si>
  <si>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</si>
  <si>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</si>
  <si>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</si>
  <si>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</si>
  <si>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</si>
  <si>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</si>
  <si>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</si>
  <si>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</si>
  <si>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</si>
  <si>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</si>
  <si>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</si>
  <si>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</si>
  <si>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</si>
  <si>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</si>
  <si>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</si>
  <si>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</si>
  <si>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</si>
  <si>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</si>
  <si>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</si>
  <si>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</si>
  <si>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</si>
  <si>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</si>
  <si>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</si>
  <si>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</si>
  <si>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</si>
  <si>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</si>
  <si>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</si>
  <si>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</si>
  <si>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</si>
  <si>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</si>
  <si>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</si>
  <si>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</si>
  <si>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</si>
  <si>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</si>
  <si>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</si>
  <si>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</si>
  <si>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</si>
  <si>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</si>
  <si>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</si>
  <si>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</si>
  <si>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</si>
  <si>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</si>
  <si>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</si>
  <si>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</si>
  <si>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</si>
  <si>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</si>
  <si>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</si>
  <si>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</si>
  <si>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</si>
  <si>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</si>
  <si>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</si>
  <si>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</si>
  <si>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</si>
  <si>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</si>
  <si>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</si>
  <si>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</si>
  <si>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</si>
  <si>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</si>
  <si>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</si>
  <si>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</si>
  <si>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</si>
  <si>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</si>
  <si>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</si>
  <si>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</si>
  <si>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</si>
  <si>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</si>
  <si>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</si>
  <si>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</si>
  <si>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</si>
  <si>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</si>
  <si>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</si>
  <si>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</si>
  <si>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</si>
  <si>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</si>
  <si>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</si>
  <si>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</si>
  <si>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</si>
  <si>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</si>
  <si>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</si>
  <si>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</si>
  <si>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</si>
  <si>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</si>
  <si>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</si>
  <si>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</si>
  <si>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</si>
  <si>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</si>
  <si>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</si>
  <si>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</si>
  <si>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</si>
  <si>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</si>
  <si>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</si>
  <si>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</si>
  <si>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</si>
  <si>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</si>
  <si>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</si>
  <si>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</si>
  <si>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</si>
  <si>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</si>
  <si>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</si>
  <si>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</si>
  <si>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</si>
  <si>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</si>
  <si>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</si>
  <si>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</si>
  <si>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</si>
  <si>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</si>
  <si>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</si>
  <si>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</si>
  <si>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</si>
  <si>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</si>
  <si>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</si>
  <si>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</si>
  <si>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</si>
  <si>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</si>
  <si>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</si>
  <si>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</si>
  <si>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</si>
  <si>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</si>
  <si>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</si>
  <si>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</si>
  <si>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</si>
  <si>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</si>
  <si>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</si>
  <si>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</si>
  <si>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</si>
  <si>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</si>
  <si>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</si>
  <si>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</si>
  <si>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</si>
  <si>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</si>
  <si>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</si>
  <si>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</si>
  <si>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</si>
  <si>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</si>
  <si>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</si>
  <si>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</si>
  <si>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</si>
  <si>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</si>
  <si>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</si>
  <si>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</si>
  <si>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</si>
  <si>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</si>
  <si>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</si>
  <si>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</si>
  <si>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</si>
  <si>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</si>
  <si>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</si>
  <si>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</si>
  <si>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</si>
  <si>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</si>
  <si>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</si>
  <si>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</si>
  <si>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</si>
  <si>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</si>
  <si>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</si>
  <si>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</si>
  <si>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</si>
  <si>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</si>
  <si>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</si>
  <si>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</si>
  <si>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</si>
  <si>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</si>
  <si>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</si>
  <si>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</si>
  <si>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</si>
  <si>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</si>
  <si>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</si>
  <si>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</si>
  <si>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</si>
  <si>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</si>
  <si>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</si>
  <si>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</si>
  <si>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</si>
  <si>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</si>
  <si>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</si>
  <si>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</si>
  <si>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</si>
  <si>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</si>
  <si>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</si>
  <si>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</si>
  <si>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</si>
  <si>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</si>
  <si>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</si>
  <si>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</si>
  <si>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</si>
  <si>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</si>
  <si>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</si>
  <si>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</si>
  <si>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</si>
  <si>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</si>
  <si>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</si>
  <si>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</si>
  <si>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</si>
  <si>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</si>
  <si>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</si>
  <si>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</si>
  <si>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</si>
  <si>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</si>
  <si>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</si>
  <si>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</si>
  <si>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</si>
  <si>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</si>
  <si>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</si>
  <si>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</si>
  <si>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</si>
  <si>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</si>
  <si>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</si>
  <si>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</si>
  <si>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</si>
  <si>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</si>
  <si>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</si>
  <si>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</si>
  <si>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</si>
  <si>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</si>
  <si>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</si>
  <si>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</si>
  <si>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</si>
  <si>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</si>
  <si>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</si>
  <si>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</si>
  <si>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</si>
  <si>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</si>
  <si>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</si>
  <si>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</si>
  <si>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</si>
  <si>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</si>
  <si>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</si>
  <si>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</si>
  <si>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</si>
  <si>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</si>
  <si>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</si>
  <si>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</si>
  <si>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</si>
  <si>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</si>
  <si>
    <t>Gottheit aus Verehrungsgründen vorangestellt</t>
  </si>
  <si>
    <t>*di.tw ḥꜣ⸗f*</t>
  </si>
  <si>
    <t>01_Textgattung/08_Saitenformel/</t>
  </si>
  <si>
    <t>01_nTr-njw.t-n/</t>
  </si>
  <si>
    <t>02_dj.tw-HA=f/</t>
  </si>
  <si>
    <t>03_xft-kA=f-m-bAH=f/</t>
  </si>
  <si>
    <t>0001_nTr-nwj.t_01.png</t>
  </si>
  <si>
    <t>0001_dj.tw-HA=f_01.png</t>
  </si>
  <si>
    <t>0001_xft-kA=f-m-bAH=f_01.png</t>
  </si>
  <si>
    <t>*di.tw*</t>
  </si>
  <si>
    <t>*nṯr-nw.tj* (*n*)</t>
  </si>
  <si>
    <t>0010_dj.tw_01.png</t>
  </si>
  <si>
    <t>0020_dj.tw_02.png</t>
  </si>
  <si>
    <t>0030_dj.tw_03.png</t>
  </si>
  <si>
    <t>0040_dj.tw_04.png</t>
  </si>
  <si>
    <t>0050_dj.tw_05.png</t>
  </si>
  <si>
    <t>0060_dj.tw_06.png</t>
  </si>
  <si>
    <t>- NR: Klotz, David 2016. Get thee behind me, City God! New Kingdom versions of the so-called “Saite Formula”. *Zeitschrift für ägyptische Sprache und Altertumskunde* 143 (2), 204–213. DOI: [10.1515/zaes-2016-0014](https://doi.org/10.1515/zaes-2016-0014).</t>
  </si>
  <si>
    <t>*ḫft kꜣ⸗f m-bꜣḥ⸗f*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</si>
</sst>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0">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9" sqref="A9"/>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1575</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1635</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D10" sqref="D10"/>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3</v>
      </c>
    </row>
    <row r="4" spans="1:4" s="5" customFormat="1" x14ac:dyDescent="0.2">
      <c r="A4" s="5" t="s">
        <v>6</v>
      </c>
      <c r="B4" s="5" t="s">
        <v>355</v>
      </c>
      <c r="C4" s="5" t="s">
        <v>62</v>
      </c>
      <c r="D4" s="5">
        <v>6</v>
      </c>
    </row>
    <row r="5" spans="1:4" s="6" customFormat="1" x14ac:dyDescent="0.2">
      <c r="A5" s="6" t="s">
        <v>6</v>
      </c>
      <c r="B5" s="6" t="s">
        <v>442</v>
      </c>
      <c r="C5" s="6" t="s">
        <v>63</v>
      </c>
      <c r="D5" s="6">
        <v>2</v>
      </c>
    </row>
    <row r="6" spans="1:4" s="7" customFormat="1" x14ac:dyDescent="0.2">
      <c r="A6" s="7" t="s">
        <v>6</v>
      </c>
      <c r="B6" s="7" t="s">
        <v>455</v>
      </c>
      <c r="C6" s="7" t="s">
        <v>64</v>
      </c>
      <c r="D6" s="7">
        <v>5</v>
      </c>
    </row>
    <row r="7" spans="1:4" s="8" customFormat="1" x14ac:dyDescent="0.2">
      <c r="A7" s="8" t="s">
        <v>6</v>
      </c>
      <c r="B7" s="8" t="s">
        <v>514</v>
      </c>
      <c r="C7" s="8" t="s">
        <v>65</v>
      </c>
      <c r="D7" s="8">
        <v>4</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5"/>
  <sheetViews>
    <sheetView zoomScale="108" zoomScaleNormal="90" workbookViewId="0">
      <selection activeCell="D51" sqref="D51"/>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1642</v>
      </c>
      <c r="F7" s="14">
        <v>6</v>
      </c>
    </row>
    <row r="8" spans="1:6" s="14" customFormat="1" ht="153" x14ac:dyDescent="0.2">
      <c r="A8" s="14" t="s">
        <v>9</v>
      </c>
      <c r="B8" s="14" t="s">
        <v>25</v>
      </c>
      <c r="D8" s="56" t="s">
        <v>1643</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ht="51" x14ac:dyDescent="0.2">
      <c r="A26" s="20" t="s">
        <v>63</v>
      </c>
      <c r="B26" s="20" t="s">
        <v>25</v>
      </c>
      <c r="C26" s="20" t="s">
        <v>40</v>
      </c>
      <c r="D26" s="21" t="s">
        <v>1666</v>
      </c>
      <c r="F26" s="20">
        <v>3</v>
      </c>
    </row>
    <row r="27" spans="1:6" s="20" customFormat="1" x14ac:dyDescent="0.2">
      <c r="A27" s="20" t="s">
        <v>63</v>
      </c>
      <c r="B27" s="20" t="s">
        <v>31</v>
      </c>
      <c r="C27" s="20" t="s">
        <v>32</v>
      </c>
      <c r="D27" s="21"/>
      <c r="E27" s="20" t="s">
        <v>448</v>
      </c>
      <c r="F27" s="20">
        <v>4</v>
      </c>
    </row>
    <row r="29" spans="1:6" s="22" customFormat="1" x14ac:dyDescent="0.2">
      <c r="A29" s="22" t="s">
        <v>64</v>
      </c>
      <c r="B29" s="22" t="s">
        <v>23</v>
      </c>
      <c r="D29" s="23"/>
      <c r="E29" s="22" t="s">
        <v>456</v>
      </c>
      <c r="F29" s="22">
        <v>1</v>
      </c>
    </row>
    <row r="30" spans="1:6" s="22" customFormat="1" ht="34" x14ac:dyDescent="0.2">
      <c r="A30" s="22" t="s">
        <v>64</v>
      </c>
      <c r="B30" s="22" t="s">
        <v>25</v>
      </c>
      <c r="C30" s="22" t="s">
        <v>26</v>
      </c>
      <c r="D30" s="23" t="s">
        <v>1559</v>
      </c>
      <c r="F30" s="22">
        <v>2</v>
      </c>
    </row>
    <row r="31" spans="1:6" s="22" customFormat="1" ht="34" x14ac:dyDescent="0.2">
      <c r="A31" s="22" t="s">
        <v>64</v>
      </c>
      <c r="B31" s="22" t="s">
        <v>25</v>
      </c>
      <c r="C31" s="22" t="s">
        <v>40</v>
      </c>
      <c r="D31" s="23" t="s">
        <v>1542</v>
      </c>
      <c r="E31" s="22" t="s">
        <v>457</v>
      </c>
      <c r="F31" s="22">
        <v>3</v>
      </c>
    </row>
    <row r="32" spans="1:6" s="22" customFormat="1" x14ac:dyDescent="0.2">
      <c r="A32" s="22" t="s">
        <v>64</v>
      </c>
      <c r="B32" s="22" t="s">
        <v>31</v>
      </c>
      <c r="C32" s="22" t="s">
        <v>32</v>
      </c>
      <c r="D32" s="23"/>
      <c r="E32" s="22" t="s">
        <v>457</v>
      </c>
      <c r="F32" s="22">
        <v>3</v>
      </c>
    </row>
    <row r="34" spans="1:6" s="24" customFormat="1" x14ac:dyDescent="0.2">
      <c r="A34" s="24" t="s">
        <v>65</v>
      </c>
      <c r="B34" s="24" t="s">
        <v>23</v>
      </c>
      <c r="D34" s="25"/>
      <c r="E34" s="24" t="s">
        <v>516</v>
      </c>
      <c r="F34" s="24">
        <v>1</v>
      </c>
    </row>
    <row r="35" spans="1:6" s="24" customFormat="1" ht="51" x14ac:dyDescent="0.2">
      <c r="A35" s="24" t="s">
        <v>65</v>
      </c>
      <c r="B35" s="24" t="s">
        <v>25</v>
      </c>
      <c r="D35" s="26" t="s">
        <v>1310</v>
      </c>
      <c r="F35" s="24">
        <v>2</v>
      </c>
    </row>
    <row r="36" spans="1:6" s="24" customFormat="1" ht="51" x14ac:dyDescent="0.2">
      <c r="A36" s="24" t="s">
        <v>65</v>
      </c>
      <c r="B36" s="24" t="s">
        <v>25</v>
      </c>
      <c r="D36" s="26" t="s">
        <v>1311</v>
      </c>
      <c r="F36" s="24">
        <v>3</v>
      </c>
    </row>
    <row r="37" spans="1:6" s="24" customFormat="1" x14ac:dyDescent="0.2">
      <c r="A37" s="24" t="s">
        <v>65</v>
      </c>
      <c r="B37" s="24" t="s">
        <v>23</v>
      </c>
      <c r="C37" s="24" t="s">
        <v>484</v>
      </c>
      <c r="D37" s="25"/>
      <c r="E37" s="24" t="s">
        <v>1308</v>
      </c>
      <c r="F37" s="24">
        <v>4</v>
      </c>
    </row>
    <row r="38" spans="1:6" s="24" customFormat="1" ht="34" x14ac:dyDescent="0.2">
      <c r="A38" s="24" t="s">
        <v>65</v>
      </c>
      <c r="B38" s="24" t="s">
        <v>25</v>
      </c>
      <c r="D38" s="26" t="s">
        <v>1312</v>
      </c>
      <c r="F38" s="24">
        <v>5</v>
      </c>
    </row>
    <row r="39" spans="1:6" s="24" customFormat="1" ht="35" customHeight="1" x14ac:dyDescent="0.2">
      <c r="A39" s="24" t="s">
        <v>65</v>
      </c>
      <c r="B39" s="24" t="s">
        <v>25</v>
      </c>
      <c r="C39" s="24" t="s">
        <v>535</v>
      </c>
      <c r="D39" s="25" t="s">
        <v>1309</v>
      </c>
      <c r="F39" s="24">
        <v>6</v>
      </c>
    </row>
    <row r="40" spans="1:6" s="24" customFormat="1" x14ac:dyDescent="0.2">
      <c r="A40" s="24" t="s">
        <v>65</v>
      </c>
      <c r="B40" s="24" t="s">
        <v>23</v>
      </c>
      <c r="C40" s="24" t="s">
        <v>517</v>
      </c>
      <c r="D40" s="25"/>
      <c r="E40" s="24" t="s">
        <v>1037</v>
      </c>
      <c r="F40" s="24">
        <v>7</v>
      </c>
    </row>
    <row r="41" spans="1:6" s="24" customFormat="1" ht="34" x14ac:dyDescent="0.2">
      <c r="A41" s="24" t="s">
        <v>65</v>
      </c>
      <c r="B41" s="24" t="s">
        <v>25</v>
      </c>
      <c r="D41" s="26" t="s">
        <v>1331</v>
      </c>
      <c r="F41" s="24">
        <v>8</v>
      </c>
    </row>
    <row r="42" spans="1:6" s="24" customFormat="1" x14ac:dyDescent="0.2">
      <c r="A42" s="24" t="s">
        <v>65</v>
      </c>
      <c r="B42" s="24" t="s">
        <v>23</v>
      </c>
      <c r="C42" s="24" t="s">
        <v>521</v>
      </c>
      <c r="D42" s="25"/>
      <c r="E42" s="24" t="s">
        <v>1313</v>
      </c>
      <c r="F42" s="24">
        <v>9</v>
      </c>
    </row>
    <row r="43" spans="1:6" s="24" customFormat="1" ht="51" x14ac:dyDescent="0.2">
      <c r="A43" s="24" t="s">
        <v>65</v>
      </c>
      <c r="B43" s="24" t="s">
        <v>25</v>
      </c>
      <c r="D43" s="26" t="s">
        <v>1334</v>
      </c>
      <c r="F43" s="24">
        <v>10</v>
      </c>
    </row>
    <row r="44" spans="1:6" s="24" customFormat="1" ht="17" x14ac:dyDescent="0.2">
      <c r="A44" s="24" t="s">
        <v>65</v>
      </c>
      <c r="B44" s="24" t="s">
        <v>25</v>
      </c>
      <c r="D44" s="26" t="s">
        <v>1315</v>
      </c>
      <c r="F44" s="24">
        <v>11</v>
      </c>
    </row>
    <row r="46" spans="1:6" s="27" customFormat="1" x14ac:dyDescent="0.2">
      <c r="A46" s="27" t="s">
        <v>66</v>
      </c>
      <c r="B46" s="27" t="s">
        <v>23</v>
      </c>
      <c r="D46" s="28"/>
      <c r="E46" s="27" t="s">
        <v>1546</v>
      </c>
      <c r="F46" s="27">
        <v>1</v>
      </c>
    </row>
    <row r="47" spans="1:6" s="27" customFormat="1" ht="34" x14ac:dyDescent="0.2">
      <c r="A47" s="27" t="s">
        <v>66</v>
      </c>
      <c r="B47" s="27" t="s">
        <v>25</v>
      </c>
      <c r="C47" s="27" t="s">
        <v>40</v>
      </c>
      <c r="D47" s="29" t="s">
        <v>1547</v>
      </c>
      <c r="F47" s="27">
        <v>2</v>
      </c>
    </row>
    <row r="48" spans="1:6" s="27" customFormat="1" x14ac:dyDescent="0.2">
      <c r="A48" s="27" t="s">
        <v>66</v>
      </c>
      <c r="B48" s="27" t="s">
        <v>31</v>
      </c>
      <c r="C48" s="27" t="s">
        <v>32</v>
      </c>
      <c r="D48" s="28"/>
      <c r="E48" s="27" t="s">
        <v>1548</v>
      </c>
      <c r="F48" s="27">
        <v>3</v>
      </c>
    </row>
    <row r="49" spans="1:6" s="27" customFormat="1" ht="85" x14ac:dyDescent="0.2">
      <c r="A49" s="27" t="s">
        <v>66</v>
      </c>
      <c r="B49" s="27" t="s">
        <v>25</v>
      </c>
      <c r="C49" s="27" t="s">
        <v>34</v>
      </c>
      <c r="D49" s="29" t="s">
        <v>1549</v>
      </c>
      <c r="F49" s="27">
        <v>4</v>
      </c>
    </row>
    <row r="50" spans="1:6" s="27" customFormat="1" ht="136" x14ac:dyDescent="0.2">
      <c r="A50" s="27" t="s">
        <v>66</v>
      </c>
      <c r="B50" s="27" t="s">
        <v>25</v>
      </c>
      <c r="D50" s="29" t="s">
        <v>1574</v>
      </c>
      <c r="F50" s="27">
        <v>5</v>
      </c>
    </row>
    <row r="51" spans="1:6" s="27" customFormat="1" ht="187" x14ac:dyDescent="0.2">
      <c r="A51" s="27" t="s">
        <v>66</v>
      </c>
      <c r="B51" s="27" t="s">
        <v>25</v>
      </c>
      <c r="D51" s="29" t="s">
        <v>1683</v>
      </c>
      <c r="F51" s="27">
        <v>6</v>
      </c>
    </row>
    <row r="53" spans="1:6" s="30" customFormat="1" x14ac:dyDescent="0.2">
      <c r="A53" s="30" t="s">
        <v>67</v>
      </c>
      <c r="B53" s="30" t="s">
        <v>23</v>
      </c>
      <c r="D53" s="31"/>
      <c r="E53" s="30" t="s">
        <v>1550</v>
      </c>
      <c r="F53" s="30">
        <v>1</v>
      </c>
    </row>
    <row r="54" spans="1:6" s="30" customFormat="1" ht="51" x14ac:dyDescent="0.2">
      <c r="A54" s="30" t="s">
        <v>67</v>
      </c>
      <c r="B54" s="30" t="s">
        <v>25</v>
      </c>
      <c r="C54" s="30" t="s">
        <v>40</v>
      </c>
      <c r="D54" s="32" t="s">
        <v>1551</v>
      </c>
      <c r="F54" s="30">
        <v>2</v>
      </c>
    </row>
    <row r="55" spans="1:6" s="30" customFormat="1" ht="136" x14ac:dyDescent="0.2">
      <c r="A55" s="30" t="s">
        <v>67</v>
      </c>
      <c r="B55" s="30" t="s">
        <v>25</v>
      </c>
      <c r="C55" s="30" t="s">
        <v>34</v>
      </c>
      <c r="D55" s="32" t="s">
        <v>1552</v>
      </c>
      <c r="F55"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1570</v>
      </c>
      <c r="K5" s="13">
        <v>4</v>
      </c>
    </row>
    <row r="7" spans="1:11" ht="17" x14ac:dyDescent="0.2">
      <c r="A7" s="13" t="s">
        <v>75</v>
      </c>
      <c r="B7" s="13" t="s">
        <v>25</v>
      </c>
      <c r="C7" s="13" t="s">
        <v>52</v>
      </c>
      <c r="D7" s="13" t="s">
        <v>183</v>
      </c>
      <c r="E7" s="33" t="s">
        <v>1562</v>
      </c>
      <c r="G7" s="13" t="s">
        <v>53</v>
      </c>
      <c r="K7" s="13">
        <v>1</v>
      </c>
    </row>
    <row r="8" spans="1:11" ht="17" x14ac:dyDescent="0.2">
      <c r="A8" s="13" t="s">
        <v>75</v>
      </c>
      <c r="B8" s="13" t="s">
        <v>25</v>
      </c>
      <c r="C8" s="13" t="s">
        <v>52</v>
      </c>
      <c r="E8" s="45" t="s">
        <v>1571</v>
      </c>
      <c r="G8" s="13" t="s">
        <v>53</v>
      </c>
      <c r="K8" s="13">
        <v>2</v>
      </c>
    </row>
    <row r="9" spans="1:11" ht="17" x14ac:dyDescent="0.2">
      <c r="A9" s="13" t="s">
        <v>75</v>
      </c>
      <c r="B9" s="13" t="s">
        <v>25</v>
      </c>
      <c r="C9" s="13" t="s">
        <v>52</v>
      </c>
      <c r="E9" s="45" t="s">
        <v>1572</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1570</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1570</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1640</v>
      </c>
      <c r="G44" s="13" t="s">
        <v>53</v>
      </c>
      <c r="K44" s="13">
        <v>1</v>
      </c>
    </row>
    <row r="45" spans="1:11" ht="17" x14ac:dyDescent="0.2">
      <c r="A45" s="13" t="s">
        <v>459</v>
      </c>
      <c r="B45" s="13" t="s">
        <v>25</v>
      </c>
      <c r="C45" s="13" t="s">
        <v>52</v>
      </c>
      <c r="E45" s="33" t="s">
        <v>1638</v>
      </c>
      <c r="G45" s="13" t="s">
        <v>53</v>
      </c>
      <c r="K45" s="13">
        <v>2</v>
      </c>
    </row>
    <row r="46" spans="1:11" ht="17" x14ac:dyDescent="0.2">
      <c r="A46" s="13" t="s">
        <v>459</v>
      </c>
      <c r="B46" s="13" t="s">
        <v>25</v>
      </c>
      <c r="C46" s="13" t="s">
        <v>52</v>
      </c>
      <c r="E46" s="33" t="s">
        <v>1639</v>
      </c>
      <c r="G46" s="13" t="s">
        <v>53</v>
      </c>
      <c r="K46" s="13">
        <v>3</v>
      </c>
    </row>
    <row r="47" spans="1:11" x14ac:dyDescent="0.2">
      <c r="A47" s="13" t="s">
        <v>459</v>
      </c>
      <c r="B47" s="13" t="s">
        <v>27</v>
      </c>
      <c r="C47" s="13" t="s">
        <v>54</v>
      </c>
      <c r="D47" s="13" t="s">
        <v>1584</v>
      </c>
      <c r="F47" s="13" t="s">
        <v>1583</v>
      </c>
      <c r="G47" s="13" t="s">
        <v>53</v>
      </c>
      <c r="J47" s="13" t="s">
        <v>1570</v>
      </c>
      <c r="K47" s="13">
        <v>4</v>
      </c>
    </row>
    <row r="48" spans="1:11" x14ac:dyDescent="0.2">
      <c r="A48" s="13" t="s">
        <v>459</v>
      </c>
      <c r="B48" s="13" t="s">
        <v>27</v>
      </c>
      <c r="C48" s="13" t="s">
        <v>54</v>
      </c>
      <c r="D48" s="13" t="s">
        <v>1585</v>
      </c>
      <c r="F48" s="13" t="s">
        <v>1586</v>
      </c>
      <c r="G48" s="13" t="s">
        <v>53</v>
      </c>
      <c r="J48" s="13" t="s">
        <v>1019</v>
      </c>
      <c r="K48" s="13">
        <v>5</v>
      </c>
    </row>
    <row r="49" spans="1:11" x14ac:dyDescent="0.2">
      <c r="A49" s="13" t="s">
        <v>459</v>
      </c>
      <c r="B49" s="13" t="s">
        <v>25</v>
      </c>
      <c r="C49" s="13" t="s">
        <v>54</v>
      </c>
      <c r="D49" s="13" t="s">
        <v>1582</v>
      </c>
      <c r="G49" s="13" t="s">
        <v>53</v>
      </c>
      <c r="I49" s="2"/>
      <c r="K49" s="13">
        <v>6</v>
      </c>
    </row>
    <row r="50" spans="1:11" x14ac:dyDescent="0.2">
      <c r="A50" s="13" t="s">
        <v>459</v>
      </c>
      <c r="B50" s="13" t="s">
        <v>25</v>
      </c>
      <c r="C50" s="13" t="s">
        <v>54</v>
      </c>
      <c r="E50" s="13" t="s">
        <v>1641</v>
      </c>
      <c r="G50" s="13" t="s">
        <v>53</v>
      </c>
      <c r="I50" s="2"/>
      <c r="K50" s="13">
        <v>7</v>
      </c>
    </row>
    <row r="51" spans="1:11" x14ac:dyDescent="0.2">
      <c r="A51" s="13" t="s">
        <v>459</v>
      </c>
      <c r="B51" s="13" t="s">
        <v>23</v>
      </c>
      <c r="C51" s="13" t="s">
        <v>54</v>
      </c>
      <c r="G51" s="13" t="s">
        <v>53</v>
      </c>
      <c r="I51" s="2" t="s">
        <v>1636</v>
      </c>
      <c r="K51" s="13">
        <v>8</v>
      </c>
    </row>
    <row r="52" spans="1:11" x14ac:dyDescent="0.2">
      <c r="A52" s="13" t="s">
        <v>459</v>
      </c>
      <c r="B52" s="13" t="s">
        <v>23</v>
      </c>
      <c r="C52" s="13" t="s">
        <v>54</v>
      </c>
      <c r="G52" s="13" t="s">
        <v>53</v>
      </c>
      <c r="I52" s="2" t="s">
        <v>1637</v>
      </c>
      <c r="K52" s="13">
        <v>9</v>
      </c>
    </row>
    <row r="53" spans="1:11" x14ac:dyDescent="0.2">
      <c r="A53" s="13" t="s">
        <v>459</v>
      </c>
      <c r="B53" s="13" t="s">
        <v>25</v>
      </c>
      <c r="C53" s="13" t="s">
        <v>54</v>
      </c>
      <c r="D53" s="2"/>
      <c r="E53" s="2" t="s">
        <v>1634</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1570</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1573</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21"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44"/>
  <sheetViews>
    <sheetView tabSelected="1" topLeftCell="A423" zoomScaleNormal="100" workbookViewId="0">
      <selection activeCell="C443" sqref="C443"/>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1553</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1665</v>
      </c>
      <c r="D4" s="3" t="s">
        <v>177</v>
      </c>
      <c r="N4" s="3" t="s">
        <v>89</v>
      </c>
    </row>
    <row r="5" spans="1:15" s="3" customFormat="1" x14ac:dyDescent="0.2">
      <c r="A5" s="3" t="s">
        <v>24</v>
      </c>
      <c r="B5" s="3">
        <v>3</v>
      </c>
      <c r="C5" s="3" t="s">
        <v>45</v>
      </c>
      <c r="D5" s="3" t="s">
        <v>47</v>
      </c>
      <c r="M5" s="3" t="s">
        <v>96</v>
      </c>
      <c r="N5" s="3" t="s">
        <v>89</v>
      </c>
    </row>
    <row r="6" spans="1:15" s="3" customFormat="1" x14ac:dyDescent="0.2">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1665</v>
      </c>
      <c r="D8" s="3" t="s">
        <v>178</v>
      </c>
      <c r="N8" s="3" t="s">
        <v>89</v>
      </c>
    </row>
    <row r="9" spans="1:15" s="3" customFormat="1" x14ac:dyDescent="0.2">
      <c r="A9" s="3" t="s">
        <v>24</v>
      </c>
      <c r="B9" s="3">
        <v>7</v>
      </c>
      <c r="C9" s="3" t="s">
        <v>45</v>
      </c>
      <c r="D9" s="3" t="s">
        <v>48</v>
      </c>
      <c r="M9" s="3" t="s">
        <v>97</v>
      </c>
      <c r="N9" s="3" t="s">
        <v>89</v>
      </c>
    </row>
    <row r="10" spans="1:15" s="3" customFormat="1" x14ac:dyDescent="0.2">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1665</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1665</v>
      </c>
      <c r="D41" s="4" t="s">
        <v>1554</v>
      </c>
      <c r="N41" s="4" t="s">
        <v>89</v>
      </c>
    </row>
    <row r="42" spans="1:15" s="4" customFormat="1" x14ac:dyDescent="0.2">
      <c r="A42" s="16"/>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1665</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1554</v>
      </c>
      <c r="N50" s="4" t="s">
        <v>91</v>
      </c>
      <c r="O50" s="4" t="s">
        <v>1555</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1665</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1665</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1665</v>
      </c>
      <c r="D92" s="5" t="s">
        <v>366</v>
      </c>
      <c r="N92" s="5" t="s">
        <v>89</v>
      </c>
    </row>
    <row r="93" spans="1:14" s="5" customFormat="1" x14ac:dyDescent="0.2">
      <c r="A93" s="18"/>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1665</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1665</v>
      </c>
      <c r="D98" s="5" t="s">
        <v>370</v>
      </c>
      <c r="N98" s="5" t="s">
        <v>89</v>
      </c>
    </row>
    <row r="99" spans="1:15" s="5" customFormat="1" x14ac:dyDescent="0.2">
      <c r="A99" s="18"/>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1665</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1556</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1665</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1665</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1557</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1576</v>
      </c>
      <c r="N245" s="7" t="s">
        <v>92</v>
      </c>
      <c r="O245" s="7">
        <v>88060</v>
      </c>
    </row>
    <row r="246" spans="1:15" s="7" customFormat="1" x14ac:dyDescent="0.2">
      <c r="A246" s="7" t="s">
        <v>457</v>
      </c>
      <c r="B246" s="7">
        <v>13</v>
      </c>
      <c r="C246" s="7" t="s">
        <v>46</v>
      </c>
      <c r="F246" s="7" t="s">
        <v>1558</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1558</v>
      </c>
      <c r="H247" s="7" t="s">
        <v>1527</v>
      </c>
      <c r="L247" s="7" t="str">
        <f t="shared" si="45"/>
        <v>02_Slots/Koenig/04_Thronname_01/0010_nsw-bit_02.png</v>
      </c>
      <c r="N247" s="7" t="s">
        <v>92</v>
      </c>
    </row>
    <row r="248" spans="1:15" s="7" customFormat="1" x14ac:dyDescent="0.2">
      <c r="A248" s="7" t="s">
        <v>457</v>
      </c>
      <c r="B248" s="7">
        <v>15</v>
      </c>
      <c r="C248" s="7" t="s">
        <v>46</v>
      </c>
      <c r="F248" s="7" t="s">
        <v>1558</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1558</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1558</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1558</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1558</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1558</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1558</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1558</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1665</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1665</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x14ac:dyDescent="0.2">
      <c r="D288" s="2" t="s">
        <v>1545</v>
      </c>
      <c r="N288" s="2"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1665</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1665</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1665</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1665</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1665</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1636</v>
      </c>
      <c r="B420" s="2">
        <v>1</v>
      </c>
      <c r="C420" s="2" t="s">
        <v>44</v>
      </c>
      <c r="D420" s="55" t="s">
        <v>1016</v>
      </c>
      <c r="N420" s="2" t="s">
        <v>89</v>
      </c>
    </row>
    <row r="421" spans="1:14" x14ac:dyDescent="0.2">
      <c r="A421" s="2" t="s">
        <v>1636</v>
      </c>
      <c r="B421" s="2">
        <v>2</v>
      </c>
      <c r="C421" s="2" t="s">
        <v>46</v>
      </c>
      <c r="F421" s="2" t="s">
        <v>472</v>
      </c>
      <c r="G421" s="2" t="s">
        <v>1621</v>
      </c>
      <c r="H421" s="2" t="s">
        <v>1623</v>
      </c>
      <c r="I421" s="2" t="s">
        <v>111</v>
      </c>
      <c r="L421" s="2" t="str">
        <f t="shared" ref="L421" si="61">_xlfn.TEXTJOIN("", TRUE, E421:K421)</f>
        <v>02_Slots/Datum/05_Zahlen/01_Eins/0020_eins_03.png</v>
      </c>
      <c r="N421" s="2" t="s">
        <v>89</v>
      </c>
    </row>
    <row r="423" spans="1:14" x14ac:dyDescent="0.2">
      <c r="A423" s="2" t="s">
        <v>1637</v>
      </c>
      <c r="B423" s="2">
        <v>1</v>
      </c>
      <c r="C423" s="2" t="s">
        <v>44</v>
      </c>
      <c r="D423" s="55" t="s">
        <v>1016</v>
      </c>
      <c r="N423" s="2" t="s">
        <v>89</v>
      </c>
    </row>
    <row r="424" spans="1:14" x14ac:dyDescent="0.2">
      <c r="A424" s="2" t="s">
        <v>1637</v>
      </c>
      <c r="B424" s="2">
        <v>2</v>
      </c>
      <c r="C424" s="2" t="s">
        <v>46</v>
      </c>
      <c r="F424" s="2" t="s">
        <v>472</v>
      </c>
      <c r="G424" s="2" t="s">
        <v>1632</v>
      </c>
      <c r="H424" s="2" t="s">
        <v>1633</v>
      </c>
      <c r="I424" s="2" t="s">
        <v>111</v>
      </c>
      <c r="L424" s="2" t="str">
        <f t="shared" ref="L424" si="62">_xlfn.TEXTJOIN("", TRUE, E424:K424)</f>
        <v>02_Slots/Datum/05_Zahlen/10_Zehn/0020_zehn_03.png</v>
      </c>
      <c r="N424" s="2" t="s">
        <v>89</v>
      </c>
    </row>
    <row r="430" spans="1:14" s="9" customFormat="1" x14ac:dyDescent="0.2">
      <c r="A430" s="9" t="s">
        <v>1546</v>
      </c>
      <c r="B430" s="9">
        <v>1</v>
      </c>
      <c r="C430" s="9" t="s">
        <v>46</v>
      </c>
      <c r="F430" s="9" t="s">
        <v>1668</v>
      </c>
      <c r="G430" s="9" t="s">
        <v>1669</v>
      </c>
      <c r="H430" s="9" t="s">
        <v>1672</v>
      </c>
      <c r="L430" s="9" t="str">
        <f>_xlfn.TEXTJOIN("", TRUE, E430:K430)</f>
        <v>01_Textgattung/08_Saitenformel/01_nTr-njw.t-n/0001_nTr-nwj.t_01.png</v>
      </c>
      <c r="N430" s="9" t="s">
        <v>89</v>
      </c>
    </row>
    <row r="431" spans="1:14" s="9" customFormat="1" x14ac:dyDescent="0.2">
      <c r="A431" s="9" t="s">
        <v>1546</v>
      </c>
      <c r="B431" s="9">
        <v>2</v>
      </c>
      <c r="C431" s="9" t="s">
        <v>1665</v>
      </c>
      <c r="D431" s="9" t="s">
        <v>1676</v>
      </c>
      <c r="N431" s="9" t="s">
        <v>89</v>
      </c>
    </row>
    <row r="432" spans="1:14" s="9" customFormat="1" x14ac:dyDescent="0.2">
      <c r="A432" s="9" t="s">
        <v>1546</v>
      </c>
      <c r="B432" s="9">
        <v>3</v>
      </c>
      <c r="C432" s="9" t="s">
        <v>45</v>
      </c>
      <c r="D432" s="9" t="s">
        <v>49</v>
      </c>
      <c r="M432" s="9" t="s">
        <v>98</v>
      </c>
      <c r="N432" s="9" t="s">
        <v>89</v>
      </c>
    </row>
    <row r="433" spans="1:14" s="9" customFormat="1" x14ac:dyDescent="0.2">
      <c r="A433" s="9" t="s">
        <v>1546</v>
      </c>
      <c r="B433" s="9">
        <v>4</v>
      </c>
      <c r="C433" s="9" t="s">
        <v>46</v>
      </c>
      <c r="F433" s="9" t="s">
        <v>1668</v>
      </c>
      <c r="G433" s="9" t="s">
        <v>1670</v>
      </c>
      <c r="H433" s="9" t="s">
        <v>1673</v>
      </c>
      <c r="L433" s="9" t="str">
        <f>_xlfn.TEXTJOIN("", TRUE, E433:K433)</f>
        <v>01_Textgattung/08_Saitenformel/02_dj.tw-HA=f/0001_dj.tw-HA=f_01.png</v>
      </c>
      <c r="N433" s="9" t="s">
        <v>89</v>
      </c>
    </row>
    <row r="434" spans="1:14" s="9" customFormat="1" x14ac:dyDescent="0.2">
      <c r="A434" s="9" t="s">
        <v>1546</v>
      </c>
      <c r="B434" s="9">
        <v>5</v>
      </c>
      <c r="C434" s="9" t="s">
        <v>1665</v>
      </c>
      <c r="D434" s="9" t="s">
        <v>1667</v>
      </c>
      <c r="N434" s="9" t="s">
        <v>89</v>
      </c>
    </row>
    <row r="435" spans="1:14" s="9" customFormat="1" x14ac:dyDescent="0.2">
      <c r="A435" s="9" t="s">
        <v>1546</v>
      </c>
      <c r="B435" s="9">
        <v>6</v>
      </c>
      <c r="C435" s="9" t="s">
        <v>46</v>
      </c>
      <c r="F435" s="9" t="s">
        <v>1668</v>
      </c>
      <c r="G435" s="9" t="s">
        <v>1671</v>
      </c>
      <c r="H435" s="9" t="s">
        <v>1674</v>
      </c>
      <c r="L435" s="9" t="str">
        <f>_xlfn.TEXTJOIN("", TRUE, E435:K435)</f>
        <v>01_Textgattung/08_Saitenformel/03_xft-kA=f-m-bAH=f/0001_xft-kA=f-m-bAH=f_01.png</v>
      </c>
      <c r="N435" s="9" t="s">
        <v>89</v>
      </c>
    </row>
    <row r="436" spans="1:14" s="9" customFormat="1" x14ac:dyDescent="0.2">
      <c r="A436" s="9" t="s">
        <v>1546</v>
      </c>
      <c r="B436" s="9">
        <v>7</v>
      </c>
      <c r="C436" s="9" t="s">
        <v>1665</v>
      </c>
      <c r="D436" s="9" t="s">
        <v>1684</v>
      </c>
      <c r="N436" s="9" t="s">
        <v>89</v>
      </c>
    </row>
    <row r="438" spans="1:14" s="9" customFormat="1" x14ac:dyDescent="0.2">
      <c r="A438" s="27" t="s">
        <v>1548</v>
      </c>
      <c r="B438" s="9">
        <v>1</v>
      </c>
      <c r="C438" s="9" t="s">
        <v>16</v>
      </c>
      <c r="D438" s="9" t="s">
        <v>1675</v>
      </c>
      <c r="N438" s="9" t="s">
        <v>91</v>
      </c>
    </row>
    <row r="439" spans="1:14" s="9" customFormat="1" x14ac:dyDescent="0.2">
      <c r="A439" s="27" t="s">
        <v>1548</v>
      </c>
      <c r="B439" s="9">
        <v>2</v>
      </c>
      <c r="C439" s="9" t="s">
        <v>46</v>
      </c>
      <c r="F439" s="9" t="s">
        <v>1668</v>
      </c>
      <c r="G439" s="9" t="s">
        <v>1670</v>
      </c>
      <c r="H439" s="9" t="s">
        <v>1677</v>
      </c>
      <c r="L439" s="9" t="str">
        <f>_xlfn.TEXTJOIN("", TRUE, E439:K439)</f>
        <v>01_Textgattung/08_Saitenformel/02_dj.tw-HA=f/0010_dj.tw_01.png</v>
      </c>
      <c r="N439" s="9" t="s">
        <v>91</v>
      </c>
    </row>
    <row r="440" spans="1:14" s="9" customFormat="1" x14ac:dyDescent="0.2">
      <c r="A440" s="27" t="s">
        <v>1548</v>
      </c>
      <c r="B440" s="9">
        <v>3</v>
      </c>
      <c r="C440" s="9" t="s">
        <v>46</v>
      </c>
      <c r="F440" s="9" t="s">
        <v>1668</v>
      </c>
      <c r="G440" s="9" t="s">
        <v>1670</v>
      </c>
      <c r="H440" s="9" t="s">
        <v>1678</v>
      </c>
      <c r="L440" s="9" t="str">
        <f t="shared" ref="L440:L444" si="63">_xlfn.TEXTJOIN("", TRUE, E440:K440)</f>
        <v>01_Textgattung/08_Saitenformel/02_dj.tw-HA=f/0020_dj.tw_02.png</v>
      </c>
      <c r="N440" s="9" t="s">
        <v>91</v>
      </c>
    </row>
    <row r="441" spans="1:14" s="9" customFormat="1" x14ac:dyDescent="0.2">
      <c r="A441" s="27" t="s">
        <v>1548</v>
      </c>
      <c r="B441" s="9">
        <v>4</v>
      </c>
      <c r="C441" s="9" t="s">
        <v>46</v>
      </c>
      <c r="F441" s="9" t="s">
        <v>1668</v>
      </c>
      <c r="G441" s="9" t="s">
        <v>1670</v>
      </c>
      <c r="H441" s="9" t="s">
        <v>1679</v>
      </c>
      <c r="L441" s="9" t="str">
        <f t="shared" si="63"/>
        <v>01_Textgattung/08_Saitenformel/02_dj.tw-HA=f/0030_dj.tw_03.png</v>
      </c>
      <c r="N441" s="9" t="s">
        <v>91</v>
      </c>
    </row>
    <row r="442" spans="1:14" s="9" customFormat="1" x14ac:dyDescent="0.2">
      <c r="A442" s="27" t="s">
        <v>1548</v>
      </c>
      <c r="B442" s="9">
        <v>5</v>
      </c>
      <c r="C442" s="9" t="s">
        <v>46</v>
      </c>
      <c r="F442" s="9" t="s">
        <v>1668</v>
      </c>
      <c r="G442" s="9" t="s">
        <v>1670</v>
      </c>
      <c r="H442" s="9" t="s">
        <v>1680</v>
      </c>
      <c r="L442" s="9" t="str">
        <f t="shared" si="63"/>
        <v>01_Textgattung/08_Saitenformel/02_dj.tw-HA=f/0040_dj.tw_04.png</v>
      </c>
      <c r="N442" s="9" t="s">
        <v>91</v>
      </c>
    </row>
    <row r="443" spans="1:14" s="9" customFormat="1" x14ac:dyDescent="0.2">
      <c r="A443" s="27" t="s">
        <v>1548</v>
      </c>
      <c r="B443" s="9">
        <v>6</v>
      </c>
      <c r="C443" s="9" t="s">
        <v>46</v>
      </c>
      <c r="F443" s="9" t="s">
        <v>1668</v>
      </c>
      <c r="G443" s="9" t="s">
        <v>1670</v>
      </c>
      <c r="H443" s="9" t="s">
        <v>1681</v>
      </c>
      <c r="L443" s="9" t="str">
        <f t="shared" si="63"/>
        <v>01_Textgattung/08_Saitenformel/02_dj.tw-HA=f/0050_dj.tw_05.png</v>
      </c>
      <c r="N443" s="9" t="s">
        <v>91</v>
      </c>
    </row>
    <row r="444" spans="1:14" s="9" customFormat="1" x14ac:dyDescent="0.2">
      <c r="A444" s="27" t="s">
        <v>1548</v>
      </c>
      <c r="B444" s="9">
        <v>7</v>
      </c>
      <c r="C444" s="9" t="s">
        <v>46</v>
      </c>
      <c r="F444" s="9" t="s">
        <v>1668</v>
      </c>
      <c r="G444" s="9" t="s">
        <v>1670</v>
      </c>
      <c r="H444" s="9" t="s">
        <v>1682</v>
      </c>
      <c r="L444" s="9" t="str">
        <f t="shared" si="63"/>
        <v>01_Textgattung/08_Saitenformel/02_dj.tw-HA=f/0060_dj.tw_06.png</v>
      </c>
      <c r="N444" s="9" t="s">
        <v>91</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1560</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1560</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1560</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1560</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1560</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1560</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1560</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1560</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1560</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1560</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1560</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1560</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1560</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1560</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1560</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1560</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1560</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1560</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1560</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1560</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1560</v>
      </c>
      <c r="L254" s="48">
        <v>66750</v>
      </c>
    </row>
    <row r="256" spans="1:12" x14ac:dyDescent="0.2">
      <c r="A256" s="13" t="s">
        <v>1583</v>
      </c>
      <c r="B256" s="36">
        <v>1</v>
      </c>
      <c r="C256" s="2" t="s">
        <v>38</v>
      </c>
      <c r="L256" s="2" t="s">
        <v>1606</v>
      </c>
    </row>
    <row r="257" spans="1:12" x14ac:dyDescent="0.2">
      <c r="A257" s="13" t="s">
        <v>1583</v>
      </c>
      <c r="B257" s="36">
        <v>1</v>
      </c>
      <c r="C257" s="2" t="s">
        <v>104</v>
      </c>
      <c r="L257" s="2"/>
    </row>
    <row r="258" spans="1:12" x14ac:dyDescent="0.2">
      <c r="A258" s="13" t="s">
        <v>1583</v>
      </c>
      <c r="B258" s="36">
        <v>1</v>
      </c>
      <c r="C258" s="2" t="s">
        <v>26</v>
      </c>
      <c r="L258" s="2"/>
    </row>
    <row r="259" spans="1:12" x14ac:dyDescent="0.2">
      <c r="A259" s="13" t="s">
        <v>1583</v>
      </c>
      <c r="B259" s="36">
        <v>1</v>
      </c>
      <c r="C259" s="2" t="s">
        <v>39</v>
      </c>
      <c r="L259" s="2"/>
    </row>
    <row r="260" spans="1:12" x14ac:dyDescent="0.2">
      <c r="A260" s="13" t="s">
        <v>1583</v>
      </c>
      <c r="B260" s="36">
        <v>1</v>
      </c>
      <c r="C260" s="2" t="s">
        <v>40</v>
      </c>
      <c r="L260" s="2"/>
    </row>
    <row r="261" spans="1:12" x14ac:dyDescent="0.2">
      <c r="A261" s="13" t="s">
        <v>1583</v>
      </c>
      <c r="B261" s="36">
        <v>1</v>
      </c>
      <c r="C261" s="2" t="s">
        <v>1560</v>
      </c>
      <c r="L261" s="2"/>
    </row>
    <row r="262" spans="1:12" x14ac:dyDescent="0.2">
      <c r="A262" s="13" t="s">
        <v>1583</v>
      </c>
      <c r="B262" s="36">
        <v>2</v>
      </c>
      <c r="C262" s="2" t="s">
        <v>38</v>
      </c>
      <c r="L262" s="48" t="s">
        <v>1587</v>
      </c>
    </row>
    <row r="263" spans="1:12" x14ac:dyDescent="0.2">
      <c r="A263" s="13" t="s">
        <v>1583</v>
      </c>
      <c r="B263" s="36">
        <v>2</v>
      </c>
      <c r="C263" s="2" t="s">
        <v>38</v>
      </c>
      <c r="L263" s="48" t="s">
        <v>1588</v>
      </c>
    </row>
    <row r="264" spans="1:12" x14ac:dyDescent="0.2">
      <c r="A264" s="13" t="s">
        <v>1583</v>
      </c>
      <c r="B264" s="36">
        <v>2</v>
      </c>
      <c r="C264" s="2" t="s">
        <v>38</v>
      </c>
      <c r="L264" s="48" t="s">
        <v>1589</v>
      </c>
    </row>
    <row r="265" spans="1:12" x14ac:dyDescent="0.2">
      <c r="A265" s="13" t="s">
        <v>1583</v>
      </c>
      <c r="B265" s="36">
        <v>2</v>
      </c>
      <c r="C265" s="2" t="s">
        <v>38</v>
      </c>
      <c r="L265" s="48" t="s">
        <v>1604</v>
      </c>
    </row>
    <row r="266" spans="1:12" x14ac:dyDescent="0.2">
      <c r="A266" s="13" t="s">
        <v>1583</v>
      </c>
      <c r="B266" s="36">
        <v>2</v>
      </c>
      <c r="C266" s="2" t="s">
        <v>38</v>
      </c>
      <c r="L266" s="48" t="s">
        <v>1605</v>
      </c>
    </row>
    <row r="267" spans="1:12" x14ac:dyDescent="0.2">
      <c r="A267" s="13" t="s">
        <v>1583</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1583</v>
      </c>
      <c r="B268" s="36">
        <v>2</v>
      </c>
      <c r="C268" s="2" t="s">
        <v>104</v>
      </c>
      <c r="E268" s="2" t="s">
        <v>472</v>
      </c>
      <c r="F268" s="2" t="s">
        <v>473</v>
      </c>
      <c r="G268" s="2" t="s">
        <v>1375</v>
      </c>
      <c r="L268" s="48" t="str">
        <f t="shared" si="49"/>
        <v>02_Slots/Datum/01_Jahr/0010_HA.t-sp_02.png</v>
      </c>
    </row>
    <row r="269" spans="1:12" x14ac:dyDescent="0.2">
      <c r="A269" s="13" t="s">
        <v>1583</v>
      </c>
      <c r="B269" s="36">
        <v>2</v>
      </c>
      <c r="C269" s="2" t="s">
        <v>104</v>
      </c>
      <c r="E269" s="2" t="s">
        <v>472</v>
      </c>
      <c r="F269" s="2" t="s">
        <v>473</v>
      </c>
      <c r="G269" s="2" t="s">
        <v>1376</v>
      </c>
      <c r="L269" s="48" t="str">
        <f t="shared" si="49"/>
        <v>02_Slots/Datum/01_Jahr/0020_HA.t-sp_03.png</v>
      </c>
    </row>
    <row r="270" spans="1:12" x14ac:dyDescent="0.2">
      <c r="A270" s="13" t="s">
        <v>1583</v>
      </c>
      <c r="B270" s="36">
        <v>2</v>
      </c>
      <c r="C270" s="2" t="s">
        <v>104</v>
      </c>
      <c r="E270" s="2" t="s">
        <v>472</v>
      </c>
      <c r="F270" s="2" t="s">
        <v>473</v>
      </c>
      <c r="G270" s="2" t="s">
        <v>1377</v>
      </c>
      <c r="L270" s="48" t="str">
        <f t="shared" si="49"/>
        <v>02_Slots/Datum/01_Jahr/0030_HA.t-sp_04.png</v>
      </c>
    </row>
    <row r="271" spans="1:12" x14ac:dyDescent="0.2">
      <c r="A271" s="13" t="s">
        <v>1583</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1583</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1583</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1583</v>
      </c>
      <c r="B274" s="36">
        <v>2</v>
      </c>
      <c r="C274" s="2" t="s">
        <v>26</v>
      </c>
      <c r="L274" s="48" t="s">
        <v>474</v>
      </c>
    </row>
    <row r="275" spans="1:12" x14ac:dyDescent="0.2">
      <c r="A275" s="13" t="s">
        <v>1583</v>
      </c>
      <c r="B275" s="36">
        <v>2</v>
      </c>
      <c r="C275" s="2" t="s">
        <v>39</v>
      </c>
      <c r="L275" s="2" t="s">
        <v>1590</v>
      </c>
    </row>
    <row r="276" spans="1:12" x14ac:dyDescent="0.2">
      <c r="A276" s="13" t="s">
        <v>1583</v>
      </c>
      <c r="B276" s="36">
        <v>2</v>
      </c>
      <c r="C276" s="2" t="s">
        <v>40</v>
      </c>
      <c r="L276" s="2" t="s">
        <v>1591</v>
      </c>
    </row>
    <row r="277" spans="1:12" x14ac:dyDescent="0.2">
      <c r="A277" s="13" t="s">
        <v>1583</v>
      </c>
      <c r="B277" s="36">
        <v>2</v>
      </c>
      <c r="C277" s="2" t="s">
        <v>1560</v>
      </c>
      <c r="L277" s="48" t="s">
        <v>1561</v>
      </c>
    </row>
    <row r="278" spans="1:12" x14ac:dyDescent="0.2">
      <c r="A278" s="13"/>
    </row>
    <row r="279" spans="1:12" x14ac:dyDescent="0.2">
      <c r="A279" s="13" t="s">
        <v>1583</v>
      </c>
      <c r="B279" s="36">
        <v>3</v>
      </c>
      <c r="C279" s="2" t="s">
        <v>38</v>
      </c>
      <c r="L279" s="2" t="s">
        <v>1607</v>
      </c>
    </row>
    <row r="280" spans="1:12" x14ac:dyDescent="0.2">
      <c r="A280" s="13" t="s">
        <v>1583</v>
      </c>
      <c r="B280" s="36">
        <v>3</v>
      </c>
      <c r="C280" s="2" t="s">
        <v>104</v>
      </c>
      <c r="L280" s="2"/>
    </row>
    <row r="281" spans="1:12" x14ac:dyDescent="0.2">
      <c r="A281" s="13" t="s">
        <v>1583</v>
      </c>
      <c r="B281" s="36">
        <v>3</v>
      </c>
      <c r="C281" s="2" t="s">
        <v>26</v>
      </c>
      <c r="L281" s="2"/>
    </row>
    <row r="282" spans="1:12" x14ac:dyDescent="0.2">
      <c r="A282" s="13" t="s">
        <v>1583</v>
      </c>
      <c r="B282" s="36">
        <v>3</v>
      </c>
      <c r="C282" s="2" t="s">
        <v>39</v>
      </c>
      <c r="L282" s="2"/>
    </row>
    <row r="283" spans="1:12" x14ac:dyDescent="0.2">
      <c r="A283" s="13" t="s">
        <v>1583</v>
      </c>
      <c r="B283" s="36">
        <v>3</v>
      </c>
      <c r="C283" s="2" t="s">
        <v>40</v>
      </c>
      <c r="L283" s="2"/>
    </row>
    <row r="284" spans="1:12" x14ac:dyDescent="0.2">
      <c r="A284" s="13" t="s">
        <v>1583</v>
      </c>
      <c r="B284" s="36">
        <v>3</v>
      </c>
      <c r="C284" s="2" t="s">
        <v>1560</v>
      </c>
      <c r="L284" s="2"/>
    </row>
    <row r="285" spans="1:12" x14ac:dyDescent="0.2">
      <c r="A285" s="13" t="s">
        <v>1583</v>
      </c>
      <c r="B285" s="36">
        <v>4</v>
      </c>
      <c r="C285" s="2" t="s">
        <v>38</v>
      </c>
      <c r="L285" s="48" t="s">
        <v>1579</v>
      </c>
    </row>
    <row r="286" spans="1:12" x14ac:dyDescent="0.2">
      <c r="A286" s="13" t="s">
        <v>1583</v>
      </c>
      <c r="B286" s="36">
        <v>4</v>
      </c>
      <c r="C286" s="2" t="s">
        <v>104</v>
      </c>
      <c r="E286" s="2" t="s">
        <v>472</v>
      </c>
      <c r="F286" s="2" t="s">
        <v>1592</v>
      </c>
      <c r="G286" s="2" t="s">
        <v>1593</v>
      </c>
      <c r="L286" s="48" t="str">
        <f t="shared" ref="L286:L291" si="50">_xlfn.TEXTJOIN("", TRUE, D286:K286)</f>
        <v>02_Slots/Datum/02_Monat/01_Abd/0001_Abd_01.png</v>
      </c>
    </row>
    <row r="287" spans="1:12" x14ac:dyDescent="0.2">
      <c r="A287" s="13" t="s">
        <v>1583</v>
      </c>
      <c r="B287" s="36">
        <v>4</v>
      </c>
      <c r="C287" s="2" t="s">
        <v>104</v>
      </c>
      <c r="E287" s="2" t="s">
        <v>472</v>
      </c>
      <c r="F287" s="2" t="s">
        <v>1592</v>
      </c>
      <c r="G287" s="2" t="s">
        <v>1594</v>
      </c>
      <c r="L287" s="48" t="str">
        <f t="shared" si="50"/>
        <v>02_Slots/Datum/02_Monat/01_Abd/0010_Abd_02.png</v>
      </c>
    </row>
    <row r="288" spans="1:12" x14ac:dyDescent="0.2">
      <c r="A288" s="13" t="s">
        <v>1583</v>
      </c>
      <c r="B288" s="36">
        <v>4</v>
      </c>
      <c r="C288" s="2" t="s">
        <v>104</v>
      </c>
      <c r="E288" s="2" t="s">
        <v>472</v>
      </c>
      <c r="F288" s="2" t="s">
        <v>1592</v>
      </c>
      <c r="G288" s="2" t="s">
        <v>1595</v>
      </c>
      <c r="I288" s="2" t="s">
        <v>1090</v>
      </c>
      <c r="J288" s="2" t="s">
        <v>1091</v>
      </c>
      <c r="K288" s="2" t="s">
        <v>1092</v>
      </c>
      <c r="L288" s="48" t="str">
        <f t="shared" si="50"/>
        <v>02_Slots/Datum/02_Monat/01_Abd/0020_Abd_AR_01.png &lt;sup&gt;(AR)&lt;/sup&gt;</v>
      </c>
    </row>
    <row r="289" spans="1:12" x14ac:dyDescent="0.2">
      <c r="A289" s="13" t="s">
        <v>1583</v>
      </c>
      <c r="B289" s="36">
        <v>4</v>
      </c>
      <c r="C289" s="2" t="s">
        <v>104</v>
      </c>
      <c r="E289" s="2" t="s">
        <v>472</v>
      </c>
      <c r="F289" s="2" t="s">
        <v>1592</v>
      </c>
      <c r="G289" s="2" t="s">
        <v>1596</v>
      </c>
      <c r="I289" s="2" t="s">
        <v>1090</v>
      </c>
      <c r="J289" s="2" t="s">
        <v>1091</v>
      </c>
      <c r="K289" s="2" t="s">
        <v>1092</v>
      </c>
      <c r="L289" s="48" t="str">
        <f t="shared" si="50"/>
        <v>02_Slots/Datum/02_Monat/01_Abd/0030_Abd_AR_02.png &lt;sup&gt;(AR)&lt;/sup&gt;</v>
      </c>
    </row>
    <row r="290" spans="1:12" x14ac:dyDescent="0.2">
      <c r="A290" s="13" t="s">
        <v>1583</v>
      </c>
      <c r="B290" s="36">
        <v>4</v>
      </c>
      <c r="C290" s="2" t="s">
        <v>104</v>
      </c>
      <c r="E290" s="2" t="s">
        <v>472</v>
      </c>
      <c r="F290" s="2" t="s">
        <v>1592</v>
      </c>
      <c r="G290" s="2" t="s">
        <v>1597</v>
      </c>
      <c r="I290" s="2" t="s">
        <v>1090</v>
      </c>
      <c r="J290" s="2" t="s">
        <v>1094</v>
      </c>
      <c r="K290" s="2" t="s">
        <v>1092</v>
      </c>
      <c r="L290" s="48" t="str">
        <f t="shared" si="50"/>
        <v>02_Slots/Datum/02_Monat/01_Abd/0040_Abd_MR_01.png &lt;sup&gt;(MR)&lt;/sup&gt;</v>
      </c>
    </row>
    <row r="291" spans="1:12" x14ac:dyDescent="0.2">
      <c r="A291" s="13" t="s">
        <v>1583</v>
      </c>
      <c r="B291" s="36">
        <v>4</v>
      </c>
      <c r="C291" s="2" t="s">
        <v>104</v>
      </c>
      <c r="E291" s="2" t="s">
        <v>472</v>
      </c>
      <c r="F291" s="2" t="s">
        <v>1592</v>
      </c>
      <c r="G291" s="2" t="s">
        <v>1598</v>
      </c>
      <c r="I291" s="2" t="s">
        <v>1090</v>
      </c>
      <c r="J291" s="2" t="s">
        <v>1093</v>
      </c>
      <c r="K291" s="2" t="s">
        <v>1092</v>
      </c>
      <c r="L291" s="48" t="str">
        <f t="shared" si="50"/>
        <v>02_Slots/Datum/02_Monat/01_Abd/0050_Abd_Gr_01.png &lt;sup&gt;(Gr.)&lt;/sup&gt;</v>
      </c>
    </row>
    <row r="292" spans="1:12" x14ac:dyDescent="0.2">
      <c r="A292" s="13" t="s">
        <v>1583</v>
      </c>
      <c r="B292" s="36">
        <v>4</v>
      </c>
      <c r="C292" s="2" t="s">
        <v>26</v>
      </c>
      <c r="L292" s="48" t="s">
        <v>1062</v>
      </c>
    </row>
    <row r="293" spans="1:12" x14ac:dyDescent="0.2">
      <c r="A293" s="13" t="s">
        <v>1583</v>
      </c>
      <c r="B293" s="36">
        <v>4</v>
      </c>
      <c r="C293" s="2" t="s">
        <v>39</v>
      </c>
      <c r="L293" s="2" t="s">
        <v>1599</v>
      </c>
    </row>
    <row r="294" spans="1:12" x14ac:dyDescent="0.2">
      <c r="A294" s="13" t="s">
        <v>1583</v>
      </c>
      <c r="B294" s="36">
        <v>4</v>
      </c>
      <c r="C294" s="2" t="s">
        <v>40</v>
      </c>
      <c r="L294" s="2" t="s">
        <v>1600</v>
      </c>
    </row>
    <row r="295" spans="1:12" x14ac:dyDescent="0.2">
      <c r="A295" s="13" t="s">
        <v>1583</v>
      </c>
      <c r="B295" s="36">
        <v>4</v>
      </c>
      <c r="C295" s="2" t="s">
        <v>1560</v>
      </c>
      <c r="L295" s="48">
        <v>93</v>
      </c>
    </row>
    <row r="296" spans="1:12" x14ac:dyDescent="0.2">
      <c r="A296" s="13" t="s">
        <v>1583</v>
      </c>
      <c r="B296" s="36">
        <v>5</v>
      </c>
      <c r="C296" s="2" t="s">
        <v>38</v>
      </c>
      <c r="L296" s="48" t="s">
        <v>1026</v>
      </c>
    </row>
    <row r="297" spans="1:12" x14ac:dyDescent="0.2">
      <c r="A297" s="13" t="s">
        <v>1583</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1583</v>
      </c>
      <c r="B298" s="36">
        <v>5</v>
      </c>
      <c r="C298" s="2" t="s">
        <v>26</v>
      </c>
      <c r="L298" s="48" t="s">
        <v>1601</v>
      </c>
    </row>
    <row r="299" spans="1:12" x14ac:dyDescent="0.2">
      <c r="A299" s="13" t="s">
        <v>1583</v>
      </c>
      <c r="B299" s="36">
        <v>5</v>
      </c>
      <c r="C299" s="2" t="s">
        <v>39</v>
      </c>
      <c r="L299" s="2" t="s">
        <v>1602</v>
      </c>
    </row>
    <row r="300" spans="1:12" x14ac:dyDescent="0.2">
      <c r="A300" s="13" t="s">
        <v>1583</v>
      </c>
      <c r="B300" s="36">
        <v>5</v>
      </c>
      <c r="C300" s="2" t="s">
        <v>40</v>
      </c>
      <c r="L300" s="2" t="s">
        <v>1603</v>
      </c>
    </row>
    <row r="301" spans="1:12" x14ac:dyDescent="0.2">
      <c r="A301" s="13" t="s">
        <v>1583</v>
      </c>
      <c r="B301" s="36">
        <v>5</v>
      </c>
      <c r="C301" s="2" t="s">
        <v>1560</v>
      </c>
      <c r="L301" s="48">
        <v>170880</v>
      </c>
    </row>
    <row r="302" spans="1:12" x14ac:dyDescent="0.2">
      <c r="A302" s="13"/>
    </row>
    <row r="303" spans="1:12" x14ac:dyDescent="0.2">
      <c r="A303" s="13" t="s">
        <v>1583</v>
      </c>
      <c r="B303" s="36">
        <v>6</v>
      </c>
      <c r="C303" s="2" t="s">
        <v>38</v>
      </c>
      <c r="L303" s="2" t="s">
        <v>1608</v>
      </c>
    </row>
    <row r="304" spans="1:12" x14ac:dyDescent="0.2">
      <c r="A304" s="13" t="s">
        <v>1583</v>
      </c>
      <c r="B304" s="36">
        <v>6</v>
      </c>
      <c r="C304" s="2" t="s">
        <v>104</v>
      </c>
      <c r="L304" s="2"/>
    </row>
    <row r="305" spans="1:12" x14ac:dyDescent="0.2">
      <c r="A305" s="13" t="s">
        <v>1583</v>
      </c>
      <c r="B305" s="36">
        <v>6</v>
      </c>
      <c r="C305" s="2" t="s">
        <v>26</v>
      </c>
      <c r="L305" s="2"/>
    </row>
    <row r="306" spans="1:12" x14ac:dyDescent="0.2">
      <c r="A306" s="13" t="s">
        <v>1583</v>
      </c>
      <c r="B306" s="36">
        <v>6</v>
      </c>
      <c r="C306" s="2" t="s">
        <v>39</v>
      </c>
      <c r="L306" s="2"/>
    </row>
    <row r="307" spans="1:12" x14ac:dyDescent="0.2">
      <c r="A307" s="13" t="s">
        <v>1583</v>
      </c>
      <c r="B307" s="36">
        <v>6</v>
      </c>
      <c r="C307" s="2" t="s">
        <v>40</v>
      </c>
      <c r="L307" s="2"/>
    </row>
    <row r="308" spans="1:12" x14ac:dyDescent="0.2">
      <c r="A308" s="13" t="s">
        <v>1583</v>
      </c>
      <c r="B308" s="36">
        <v>6</v>
      </c>
      <c r="C308" s="2" t="s">
        <v>1560</v>
      </c>
      <c r="L308" s="2"/>
    </row>
    <row r="309" spans="1:12" x14ac:dyDescent="0.2">
      <c r="A309" s="13" t="s">
        <v>1583</v>
      </c>
      <c r="B309" s="36">
        <v>7</v>
      </c>
      <c r="C309" s="2" t="s">
        <v>38</v>
      </c>
      <c r="L309" s="48" t="s">
        <v>477</v>
      </c>
    </row>
    <row r="310" spans="1:12" x14ac:dyDescent="0.2">
      <c r="A310" s="13" t="s">
        <v>1583</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1583</v>
      </c>
      <c r="B311" s="36">
        <v>7</v>
      </c>
      <c r="C311" s="2" t="s">
        <v>104</v>
      </c>
      <c r="E311" s="2" t="s">
        <v>472</v>
      </c>
      <c r="F311" s="2" t="s">
        <v>1381</v>
      </c>
      <c r="G311" s="2" t="s">
        <v>1385</v>
      </c>
      <c r="L311" s="48" t="str">
        <f t="shared" si="52"/>
        <v>02_Slots/Datum/03_Jahreszeiten/01_Ax.t/0010_Ax.t_02.png</v>
      </c>
    </row>
    <row r="312" spans="1:12" x14ac:dyDescent="0.2">
      <c r="A312" s="13" t="s">
        <v>1583</v>
      </c>
      <c r="B312" s="36">
        <v>7</v>
      </c>
      <c r="C312" s="2" t="s">
        <v>104</v>
      </c>
      <c r="E312" s="2" t="s">
        <v>472</v>
      </c>
      <c r="F312" s="2" t="s">
        <v>1381</v>
      </c>
      <c r="G312" s="2" t="s">
        <v>1386</v>
      </c>
      <c r="L312" s="48" t="str">
        <f t="shared" si="52"/>
        <v>02_Slots/Datum/03_Jahreszeiten/01_Ax.t/0020_Ax.t_03.png</v>
      </c>
    </row>
    <row r="313" spans="1:12" x14ac:dyDescent="0.2">
      <c r="A313" s="13" t="s">
        <v>1583</v>
      </c>
      <c r="B313" s="36">
        <v>7</v>
      </c>
      <c r="C313" s="2" t="s">
        <v>104</v>
      </c>
      <c r="E313" s="2" t="s">
        <v>472</v>
      </c>
      <c r="F313" s="2" t="s">
        <v>1381</v>
      </c>
      <c r="G313" s="2" t="s">
        <v>1387</v>
      </c>
      <c r="L313" s="48" t="str">
        <f t="shared" si="52"/>
        <v>02_Slots/Datum/03_Jahreszeiten/01_Ax.t/0030_Ax.t_04.png</v>
      </c>
    </row>
    <row r="314" spans="1:12" x14ac:dyDescent="0.2">
      <c r="A314" s="13" t="s">
        <v>1583</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1583</v>
      </c>
      <c r="B315" s="36">
        <v>7</v>
      </c>
      <c r="C315" s="2" t="s">
        <v>26</v>
      </c>
      <c r="L315" s="48" t="s">
        <v>478</v>
      </c>
    </row>
    <row r="316" spans="1:12" x14ac:dyDescent="0.2">
      <c r="A316" s="13" t="s">
        <v>1583</v>
      </c>
      <c r="B316" s="36">
        <v>7</v>
      </c>
      <c r="C316" s="2" t="s">
        <v>39</v>
      </c>
      <c r="L316" s="2" t="s">
        <v>1610</v>
      </c>
    </row>
    <row r="317" spans="1:12" x14ac:dyDescent="0.2">
      <c r="A317" s="13" t="s">
        <v>1583</v>
      </c>
      <c r="B317" s="36">
        <v>7</v>
      </c>
      <c r="C317" s="2" t="s">
        <v>40</v>
      </c>
      <c r="L317" s="2" t="s">
        <v>1609</v>
      </c>
    </row>
    <row r="318" spans="1:12" x14ac:dyDescent="0.2">
      <c r="A318" s="13" t="s">
        <v>1583</v>
      </c>
      <c r="B318" s="36">
        <v>7</v>
      </c>
      <c r="C318" s="2" t="s">
        <v>1560</v>
      </c>
      <c r="L318" s="48">
        <v>216</v>
      </c>
    </row>
    <row r="319" spans="1:12" x14ac:dyDescent="0.2">
      <c r="A319" s="13" t="s">
        <v>1583</v>
      </c>
      <c r="B319" s="36">
        <v>8</v>
      </c>
      <c r="C319" s="2" t="s">
        <v>38</v>
      </c>
      <c r="L319" s="48" t="s">
        <v>479</v>
      </c>
    </row>
    <row r="320" spans="1:12" x14ac:dyDescent="0.2">
      <c r="A320" s="13" t="s">
        <v>1583</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1583</v>
      </c>
      <c r="B321" s="36">
        <v>8</v>
      </c>
      <c r="C321" s="2" t="s">
        <v>104</v>
      </c>
      <c r="E321" s="2" t="s">
        <v>472</v>
      </c>
      <c r="F321" s="2" t="s">
        <v>1382</v>
      </c>
      <c r="G321" s="2" t="s">
        <v>1390</v>
      </c>
      <c r="L321" s="48" t="str">
        <f t="shared" si="53"/>
        <v>02_Slots/Datum/03_Jahreszeiten/02_pr.t/0010_pr.t_02.png</v>
      </c>
    </row>
    <row r="322" spans="1:12" x14ac:dyDescent="0.2">
      <c r="A322" s="13" t="s">
        <v>1583</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1583</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1583</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1583</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1583</v>
      </c>
      <c r="B326" s="36">
        <v>8</v>
      </c>
      <c r="C326" s="2" t="s">
        <v>26</v>
      </c>
      <c r="L326" s="48" t="s">
        <v>480</v>
      </c>
    </row>
    <row r="327" spans="1:12" x14ac:dyDescent="0.2">
      <c r="A327" s="13" t="s">
        <v>1583</v>
      </c>
      <c r="B327" s="36">
        <v>8</v>
      </c>
      <c r="C327" s="2" t="s">
        <v>39</v>
      </c>
      <c r="L327" s="2" t="s">
        <v>1611</v>
      </c>
    </row>
    <row r="328" spans="1:12" x14ac:dyDescent="0.2">
      <c r="A328" s="13" t="s">
        <v>1583</v>
      </c>
      <c r="B328" s="36">
        <v>8</v>
      </c>
      <c r="C328" s="2" t="s">
        <v>40</v>
      </c>
      <c r="L328" s="2" t="s">
        <v>1612</v>
      </c>
    </row>
    <row r="329" spans="1:12" x14ac:dyDescent="0.2">
      <c r="A329" s="13" t="s">
        <v>1583</v>
      </c>
      <c r="B329" s="36">
        <v>8</v>
      </c>
      <c r="C329" s="2" t="s">
        <v>1560</v>
      </c>
      <c r="L329" s="48">
        <v>60300</v>
      </c>
    </row>
    <row r="330" spans="1:12" x14ac:dyDescent="0.2">
      <c r="A330" s="13" t="s">
        <v>1583</v>
      </c>
      <c r="B330" s="36">
        <v>9</v>
      </c>
      <c r="C330" s="2" t="s">
        <v>38</v>
      </c>
      <c r="L330" s="48" t="s">
        <v>1580</v>
      </c>
    </row>
    <row r="331" spans="1:12" x14ac:dyDescent="0.2">
      <c r="A331" s="13" t="s">
        <v>1583</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1583</v>
      </c>
      <c r="B332" s="36">
        <v>9</v>
      </c>
      <c r="C332" s="2" t="s">
        <v>104</v>
      </c>
      <c r="E332" s="2" t="s">
        <v>472</v>
      </c>
      <c r="F332" s="2" t="s">
        <v>1383</v>
      </c>
      <c r="G332" s="2" t="s">
        <v>1396</v>
      </c>
      <c r="L332" s="48" t="str">
        <f t="shared" si="54"/>
        <v>02_Slots/Datum/03_Jahreszeiten/03_Smw/0010_Smw_02.png</v>
      </c>
    </row>
    <row r="333" spans="1:12" x14ac:dyDescent="0.2">
      <c r="A333" s="13" t="s">
        <v>1583</v>
      </c>
      <c r="B333" s="36">
        <v>9</v>
      </c>
      <c r="C333" s="2" t="s">
        <v>104</v>
      </c>
      <c r="E333" s="2" t="s">
        <v>472</v>
      </c>
      <c r="F333" s="2" t="s">
        <v>1383</v>
      </c>
      <c r="G333" s="2" t="s">
        <v>1397</v>
      </c>
      <c r="L333" s="48" t="str">
        <f t="shared" si="54"/>
        <v>02_Slots/Datum/03_Jahreszeiten/03_Smw/0020_Smw_03.png</v>
      </c>
    </row>
    <row r="334" spans="1:12" x14ac:dyDescent="0.2">
      <c r="A334" s="13" t="s">
        <v>1583</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1583</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1583</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1583</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1583</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1583</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1583</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1583</v>
      </c>
      <c r="B341" s="36">
        <v>9</v>
      </c>
      <c r="C341" s="2" t="s">
        <v>26</v>
      </c>
      <c r="L341" s="48" t="s">
        <v>481</v>
      </c>
    </row>
    <row r="342" spans="1:12" x14ac:dyDescent="0.2">
      <c r="A342" s="13" t="s">
        <v>1583</v>
      </c>
      <c r="B342" s="36">
        <v>9</v>
      </c>
      <c r="C342" s="2" t="s">
        <v>39</v>
      </c>
      <c r="L342" s="2" t="s">
        <v>1614</v>
      </c>
    </row>
    <row r="343" spans="1:12" x14ac:dyDescent="0.2">
      <c r="A343" s="13" t="s">
        <v>1583</v>
      </c>
      <c r="B343" s="36">
        <v>9</v>
      </c>
      <c r="C343" s="2" t="s">
        <v>40</v>
      </c>
      <c r="L343" s="2" t="s">
        <v>1613</v>
      </c>
    </row>
    <row r="344" spans="1:12" x14ac:dyDescent="0.2">
      <c r="A344" s="13" t="s">
        <v>1583</v>
      </c>
      <c r="B344" s="36">
        <v>9</v>
      </c>
      <c r="C344" s="2" t="s">
        <v>1560</v>
      </c>
      <c r="L344" s="48">
        <v>154850</v>
      </c>
    </row>
    <row r="346" spans="1:12" x14ac:dyDescent="0.2">
      <c r="A346" s="13" t="s">
        <v>1583</v>
      </c>
      <c r="B346" s="36">
        <v>10</v>
      </c>
      <c r="C346" s="2" t="s">
        <v>38</v>
      </c>
      <c r="L346" s="2" t="s">
        <v>1615</v>
      </c>
    </row>
    <row r="347" spans="1:12" x14ac:dyDescent="0.2">
      <c r="A347" s="13" t="s">
        <v>1583</v>
      </c>
      <c r="B347" s="36">
        <v>10</v>
      </c>
      <c r="C347" s="2" t="s">
        <v>104</v>
      </c>
      <c r="L347" s="2"/>
    </row>
    <row r="348" spans="1:12" x14ac:dyDescent="0.2">
      <c r="A348" s="13" t="s">
        <v>1583</v>
      </c>
      <c r="B348" s="36">
        <v>10</v>
      </c>
      <c r="C348" s="2" t="s">
        <v>26</v>
      </c>
      <c r="L348" s="2"/>
    </row>
    <row r="349" spans="1:12" x14ac:dyDescent="0.2">
      <c r="A349" s="13" t="s">
        <v>1583</v>
      </c>
      <c r="B349" s="36">
        <v>10</v>
      </c>
      <c r="C349" s="2" t="s">
        <v>39</v>
      </c>
      <c r="L349" s="2"/>
    </row>
    <row r="350" spans="1:12" x14ac:dyDescent="0.2">
      <c r="A350" s="13" t="s">
        <v>1583</v>
      </c>
      <c r="B350" s="36">
        <v>10</v>
      </c>
      <c r="C350" s="2" t="s">
        <v>40</v>
      </c>
      <c r="L350" s="2"/>
    </row>
    <row r="351" spans="1:12" x14ac:dyDescent="0.2">
      <c r="A351" s="13" t="s">
        <v>1583</v>
      </c>
      <c r="B351" s="36">
        <v>10</v>
      </c>
      <c r="C351" s="2" t="s">
        <v>1560</v>
      </c>
      <c r="L351" s="2"/>
    </row>
    <row r="352" spans="1:12" x14ac:dyDescent="0.2">
      <c r="A352" s="13" t="s">
        <v>1583</v>
      </c>
      <c r="B352" s="36">
        <v>11</v>
      </c>
      <c r="C352" s="2" t="s">
        <v>38</v>
      </c>
      <c r="L352" s="48" t="s">
        <v>482</v>
      </c>
    </row>
    <row r="353" spans="1:12" x14ac:dyDescent="0.2">
      <c r="A353" s="13" t="s">
        <v>1583</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1583</v>
      </c>
      <c r="B354" s="36">
        <v>11</v>
      </c>
      <c r="C354" s="2" t="s">
        <v>104</v>
      </c>
      <c r="E354" s="2" t="s">
        <v>472</v>
      </c>
      <c r="F354" s="2" t="s">
        <v>1009</v>
      </c>
      <c r="G354" s="2" t="s">
        <v>1411</v>
      </c>
      <c r="L354" s="48" t="str">
        <f t="shared" si="55"/>
        <v>02_Slots/Datum/04_Tag/0010_sw_02.png</v>
      </c>
    </row>
    <row r="355" spans="1:12" x14ac:dyDescent="0.2">
      <c r="A355" s="13" t="s">
        <v>1583</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1583</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1583</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1583</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1583</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1583</v>
      </c>
      <c r="B360" s="36">
        <v>11</v>
      </c>
      <c r="C360" s="2" t="s">
        <v>26</v>
      </c>
      <c r="L360" s="48" t="s">
        <v>471</v>
      </c>
    </row>
    <row r="361" spans="1:12" x14ac:dyDescent="0.2">
      <c r="A361" s="13" t="s">
        <v>1583</v>
      </c>
      <c r="B361" s="36">
        <v>11</v>
      </c>
      <c r="C361" s="2" t="s">
        <v>39</v>
      </c>
      <c r="L361" s="2" t="s">
        <v>1616</v>
      </c>
    </row>
    <row r="362" spans="1:12" x14ac:dyDescent="0.2">
      <c r="A362" s="13" t="s">
        <v>1583</v>
      </c>
      <c r="B362" s="36">
        <v>11</v>
      </c>
      <c r="C362" s="2" t="s">
        <v>40</v>
      </c>
      <c r="L362" s="2" t="s">
        <v>1617</v>
      </c>
    </row>
    <row r="363" spans="1:12" x14ac:dyDescent="0.2">
      <c r="A363" s="13" t="s">
        <v>1583</v>
      </c>
      <c r="B363" s="36">
        <v>11</v>
      </c>
      <c r="C363" s="2" t="s">
        <v>1560</v>
      </c>
      <c r="L363" s="48">
        <v>129460</v>
      </c>
    </row>
    <row r="364" spans="1:12" x14ac:dyDescent="0.2">
      <c r="A364" s="13" t="s">
        <v>1583</v>
      </c>
      <c r="B364" s="36">
        <v>12</v>
      </c>
      <c r="C364" s="2" t="s">
        <v>38</v>
      </c>
      <c r="L364" s="48" t="s">
        <v>1581</v>
      </c>
    </row>
    <row r="365" spans="1:12" x14ac:dyDescent="0.2">
      <c r="A365" s="13" t="s">
        <v>1583</v>
      </c>
      <c r="B365" s="36">
        <v>12</v>
      </c>
      <c r="C365" s="2" t="s">
        <v>104</v>
      </c>
      <c r="E365" s="2" t="s">
        <v>472</v>
      </c>
      <c r="F365" s="2" t="s">
        <v>1407</v>
      </c>
      <c r="G365" s="2" t="s">
        <v>1408</v>
      </c>
      <c r="L365" s="48" t="str">
        <f>_xlfn.TEXTJOIN("", TRUE, D365:K365)</f>
        <v>02_Slots/Datum/04_Tag/01_sw-arqy/0001_sw-arqy_01.png</v>
      </c>
    </row>
    <row r="366" spans="1:12" x14ac:dyDescent="0.2">
      <c r="A366" s="13" t="s">
        <v>1583</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1583</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1583</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1583</v>
      </c>
      <c r="B369" s="36">
        <v>12</v>
      </c>
      <c r="C369" s="2" t="s">
        <v>26</v>
      </c>
      <c r="L369" s="48" t="s">
        <v>1618</v>
      </c>
    </row>
    <row r="370" spans="1:12" x14ac:dyDescent="0.2">
      <c r="A370" s="13" t="s">
        <v>1583</v>
      </c>
      <c r="B370" s="36">
        <v>12</v>
      </c>
      <c r="C370" s="2" t="s">
        <v>39</v>
      </c>
      <c r="L370" s="2" t="s">
        <v>1619</v>
      </c>
    </row>
    <row r="371" spans="1:12" x14ac:dyDescent="0.2">
      <c r="A371" s="13" t="s">
        <v>1583</v>
      </c>
      <c r="B371" s="36">
        <v>12</v>
      </c>
      <c r="C371" s="2" t="s">
        <v>40</v>
      </c>
      <c r="L371" s="2" t="s">
        <v>1620</v>
      </c>
    </row>
    <row r="372" spans="1:12" x14ac:dyDescent="0.2">
      <c r="A372" s="13" t="s">
        <v>1583</v>
      </c>
      <c r="B372" s="36">
        <v>12</v>
      </c>
      <c r="C372" s="2" t="s">
        <v>1560</v>
      </c>
      <c r="L372" s="48">
        <v>39740</v>
      </c>
    </row>
    <row r="373" spans="1:12" x14ac:dyDescent="0.2">
      <c r="A373" s="13"/>
    </row>
    <row r="374" spans="1:12" x14ac:dyDescent="0.2">
      <c r="A374" s="13" t="s">
        <v>1586</v>
      </c>
      <c r="B374" s="36">
        <v>1</v>
      </c>
      <c r="C374" s="2" t="s">
        <v>38</v>
      </c>
    </row>
    <row r="375" spans="1:12" x14ac:dyDescent="0.2">
      <c r="A375" s="13" t="s">
        <v>1586</v>
      </c>
      <c r="B375" s="36">
        <v>1</v>
      </c>
      <c r="C375" s="2" t="s">
        <v>104</v>
      </c>
      <c r="E375" s="2" t="s">
        <v>472</v>
      </c>
      <c r="F375" s="2" t="s">
        <v>1621</v>
      </c>
      <c r="G375" s="2" t="s">
        <v>1623</v>
      </c>
      <c r="H375" s="2" t="s">
        <v>111</v>
      </c>
      <c r="L375" s="48" t="str">
        <f>_xlfn.TEXTJOIN("", TRUE, D375:K375)</f>
        <v>02_Slots/Datum/05_Zahlen/01_Eins/0020_eins_03.png</v>
      </c>
    </row>
    <row r="376" spans="1:12" x14ac:dyDescent="0.2">
      <c r="A376" s="13" t="s">
        <v>1586</v>
      </c>
      <c r="B376" s="36">
        <v>1</v>
      </c>
      <c r="C376" s="2" t="s">
        <v>104</v>
      </c>
      <c r="E376" s="2" t="s">
        <v>472</v>
      </c>
      <c r="F376" s="2" t="s">
        <v>1625</v>
      </c>
      <c r="G376" s="2" t="s">
        <v>1624</v>
      </c>
      <c r="H376" s="2" t="s">
        <v>111</v>
      </c>
      <c r="L376" s="48" t="str">
        <f>_xlfn.TEXTJOIN("", TRUE, D376:K376)</f>
        <v>02_Slots/Datum/05_Zahlen/02_Zwei/0020_zwei_03.png</v>
      </c>
    </row>
    <row r="377" spans="1:12" x14ac:dyDescent="0.2">
      <c r="A377" s="13" t="s">
        <v>1586</v>
      </c>
      <c r="B377" s="36">
        <v>1</v>
      </c>
      <c r="C377" s="2" t="s">
        <v>104</v>
      </c>
      <c r="E377" s="2" t="s">
        <v>472</v>
      </c>
      <c r="F377" s="2" t="s">
        <v>1626</v>
      </c>
      <c r="G377" s="2" t="s">
        <v>1628</v>
      </c>
      <c r="H377" s="2" t="s">
        <v>111</v>
      </c>
      <c r="L377" s="48" t="str">
        <f>_xlfn.TEXTJOIN("", TRUE, D377:K377)</f>
        <v>02_Slots/Datum/05_Zahlen/03_Drei/0020_drei_03.png</v>
      </c>
    </row>
    <row r="378" spans="1:12" x14ac:dyDescent="0.2">
      <c r="A378" s="13" t="s">
        <v>1586</v>
      </c>
      <c r="B378" s="36">
        <v>1</v>
      </c>
      <c r="C378" s="2" t="s">
        <v>104</v>
      </c>
      <c r="E378" s="2" t="s">
        <v>472</v>
      </c>
      <c r="F378" s="2" t="s">
        <v>1627</v>
      </c>
      <c r="G378" s="2" t="s">
        <v>1629</v>
      </c>
      <c r="H378" s="2" t="s">
        <v>111</v>
      </c>
      <c r="L378" s="48" t="str">
        <f>_xlfn.TEXTJOIN("", TRUE, D378:K378)</f>
        <v>02_Slots/Datum/05_Zahlen/04_Vier/0020_vier_03.png</v>
      </c>
    </row>
    <row r="379" spans="1:12" x14ac:dyDescent="0.2">
      <c r="A379" s="13" t="s">
        <v>1586</v>
      </c>
      <c r="B379" s="36">
        <v>1</v>
      </c>
      <c r="C379" s="2" t="s">
        <v>26</v>
      </c>
      <c r="L379" s="48" t="s">
        <v>1630</v>
      </c>
    </row>
    <row r="380" spans="1:12" x14ac:dyDescent="0.2">
      <c r="A380" s="13" t="s">
        <v>1586</v>
      </c>
      <c r="B380" s="36">
        <v>1</v>
      </c>
      <c r="C380" s="2" t="s">
        <v>39</v>
      </c>
      <c r="L380" s="48" t="s">
        <v>1631</v>
      </c>
    </row>
    <row r="381" spans="1:12" x14ac:dyDescent="0.2">
      <c r="A381" s="13" t="s">
        <v>1586</v>
      </c>
      <c r="B381" s="36">
        <v>1</v>
      </c>
      <c r="C381" s="2" t="s">
        <v>40</v>
      </c>
      <c r="L381" s="48" t="s">
        <v>1622</v>
      </c>
    </row>
    <row r="382" spans="1:12" x14ac:dyDescent="0.2">
      <c r="A382" s="13" t="s">
        <v>1586</v>
      </c>
      <c r="B382" s="36">
        <v>1</v>
      </c>
      <c r="C382" s="2" t="s">
        <v>1560</v>
      </c>
    </row>
    <row r="383" spans="1:12" x14ac:dyDescent="0.2">
      <c r="A383" s="13" t="s">
        <v>1586</v>
      </c>
      <c r="B383" s="36">
        <v>5</v>
      </c>
      <c r="C383" s="2" t="s">
        <v>38</v>
      </c>
      <c r="L383" s="48" t="s">
        <v>1026</v>
      </c>
    </row>
    <row r="384" spans="1:12" x14ac:dyDescent="0.2">
      <c r="A384" s="13" t="s">
        <v>1586</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1586</v>
      </c>
      <c r="B385" s="36">
        <v>5</v>
      </c>
      <c r="C385" s="2" t="s">
        <v>26</v>
      </c>
      <c r="L385" s="48" t="s">
        <v>1601</v>
      </c>
    </row>
    <row r="386" spans="1:12" x14ac:dyDescent="0.2">
      <c r="A386" s="13" t="s">
        <v>1586</v>
      </c>
      <c r="B386" s="36">
        <v>5</v>
      </c>
      <c r="C386" s="2" t="s">
        <v>39</v>
      </c>
      <c r="L386" s="2" t="s">
        <v>1602</v>
      </c>
    </row>
    <row r="387" spans="1:12" x14ac:dyDescent="0.2">
      <c r="A387" s="13" t="s">
        <v>1586</v>
      </c>
      <c r="B387" s="36">
        <v>5</v>
      </c>
      <c r="C387" s="2" t="s">
        <v>40</v>
      </c>
      <c r="L387" s="2" t="s">
        <v>1603</v>
      </c>
    </row>
    <row r="388" spans="1:12" x14ac:dyDescent="0.2">
      <c r="A388" s="13" t="s">
        <v>1586</v>
      </c>
      <c r="B388" s="36">
        <v>5</v>
      </c>
      <c r="C388" s="2" t="s">
        <v>1560</v>
      </c>
      <c r="L388" s="48">
        <v>170880</v>
      </c>
    </row>
    <row r="389" spans="1:12" x14ac:dyDescent="0.2">
      <c r="A389" s="13" t="s">
        <v>1586</v>
      </c>
      <c r="B389" s="36">
        <v>12</v>
      </c>
      <c r="C389" s="2" t="s">
        <v>38</v>
      </c>
      <c r="L389" s="48" t="s">
        <v>1581</v>
      </c>
    </row>
    <row r="390" spans="1:12" x14ac:dyDescent="0.2">
      <c r="A390" s="13" t="s">
        <v>1586</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1586</v>
      </c>
      <c r="B391" s="36">
        <v>12</v>
      </c>
      <c r="C391" s="2" t="s">
        <v>104</v>
      </c>
      <c r="E391" s="2" t="s">
        <v>472</v>
      </c>
      <c r="F391" s="2" t="s">
        <v>1407</v>
      </c>
      <c r="G391" s="2" t="s">
        <v>1409</v>
      </c>
      <c r="L391" s="48" t="str">
        <f t="shared" si="58"/>
        <v>02_Slots/Datum/04_Tag/01_sw-arqy/0010_sw-arqy_02.png</v>
      </c>
    </row>
    <row r="392" spans="1:12" x14ac:dyDescent="0.2">
      <c r="A392" s="13" t="s">
        <v>1586</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1586</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1586</v>
      </c>
      <c r="B394" s="36">
        <v>12</v>
      </c>
      <c r="C394" s="2" t="s">
        <v>26</v>
      </c>
      <c r="L394" s="48" t="s">
        <v>1618</v>
      </c>
    </row>
    <row r="395" spans="1:12" x14ac:dyDescent="0.2">
      <c r="A395" s="13" t="s">
        <v>1586</v>
      </c>
      <c r="B395" s="36">
        <v>12</v>
      </c>
      <c r="C395" s="2" t="s">
        <v>39</v>
      </c>
      <c r="L395" s="2" t="s">
        <v>1619</v>
      </c>
    </row>
    <row r="396" spans="1:12" x14ac:dyDescent="0.2">
      <c r="A396" s="13" t="s">
        <v>1586</v>
      </c>
      <c r="B396" s="36">
        <v>12</v>
      </c>
      <c r="C396" s="2" t="s">
        <v>40</v>
      </c>
      <c r="L396" s="2" t="s">
        <v>1620</v>
      </c>
    </row>
    <row r="397" spans="1:12" x14ac:dyDescent="0.2">
      <c r="A397" s="13" t="s">
        <v>1586</v>
      </c>
      <c r="B397" s="36">
        <v>12</v>
      </c>
      <c r="C397" s="2" t="s">
        <v>1560</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1560</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1560</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1577</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1560</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1576</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1560</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1560</v>
      </c>
      <c r="L458" s="48">
        <v>126020</v>
      </c>
    </row>
    <row r="460" spans="1:12" x14ac:dyDescent="0.2">
      <c r="A460" s="2" t="s">
        <v>500</v>
      </c>
      <c r="B460" s="36">
        <v>6</v>
      </c>
      <c r="C460" s="2" t="s">
        <v>38</v>
      </c>
      <c r="L460" s="48" t="s">
        <v>1578</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1560</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1560</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1560</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1560</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1560</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1560</v>
      </c>
      <c r="L492" s="48" t="s">
        <v>1563</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1560</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1560</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1560</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1560</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1560</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1560</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1560</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1560</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1560</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1560</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1560</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1560</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1560</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1560</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1560</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1560</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1560</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1560</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1560</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1560</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1560</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1560</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1560</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1560</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1560</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1560</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1560</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1560</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1560</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1560</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1560</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1560</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1560</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1560</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1560</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1560</v>
      </c>
      <c r="L888" s="48">
        <v>66630</v>
      </c>
    </row>
    <row r="891" spans="1:12" x14ac:dyDescent="0.2">
      <c r="A891" s="2" t="s">
        <v>59</v>
      </c>
      <c r="B891" s="36">
        <v>170</v>
      </c>
      <c r="C891" s="2" t="s">
        <v>38</v>
      </c>
      <c r="L891" s="48" t="s">
        <v>1564</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1560</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1560</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1560</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1560</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1560</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1560</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1560</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1560</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1560</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1560</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1560</v>
      </c>
      <c r="L1020" s="48">
        <v>400015</v>
      </c>
    </row>
    <row r="1023" spans="1:12" x14ac:dyDescent="0.2">
      <c r="A1023" s="2" t="s">
        <v>59</v>
      </c>
      <c r="B1023" s="36">
        <v>260</v>
      </c>
      <c r="C1023" s="2" t="s">
        <v>38</v>
      </c>
      <c r="L1023" s="48" t="s">
        <v>1565</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1560</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1560</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1560</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1560</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1560</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1560</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1560</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1560</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1560</v>
      </c>
      <c r="L1123" s="48">
        <v>704928</v>
      </c>
    </row>
    <row r="1125" spans="1:12" x14ac:dyDescent="0.2">
      <c r="A1125" s="2" t="s">
        <v>893</v>
      </c>
      <c r="B1125" s="36">
        <v>2</v>
      </c>
      <c r="C1125" s="2" t="s">
        <v>38</v>
      </c>
      <c r="L1125" s="48" t="s">
        <v>1567</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1566</v>
      </c>
    </row>
    <row r="1128" spans="1:12" x14ac:dyDescent="0.2">
      <c r="A1128" s="2" t="s">
        <v>893</v>
      </c>
      <c r="B1128" s="36">
        <v>2</v>
      </c>
      <c r="C1128" s="2" t="s">
        <v>1560</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1560</v>
      </c>
      <c r="L1133" s="48">
        <v>853040</v>
      </c>
    </row>
    <row r="1135" spans="1:12" x14ac:dyDescent="0.2">
      <c r="A1135" s="2" t="s">
        <v>893</v>
      </c>
      <c r="B1135" s="36">
        <v>4</v>
      </c>
      <c r="C1135" s="2" t="s">
        <v>38</v>
      </c>
      <c r="L1135" s="48" t="s">
        <v>1568</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1560</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1560</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1560</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1560</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1560</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1560</v>
      </c>
      <c r="L1181" s="48">
        <v>123590</v>
      </c>
    </row>
    <row r="1184" spans="1:12" x14ac:dyDescent="0.2">
      <c r="A1184" s="2" t="s">
        <v>59</v>
      </c>
      <c r="B1184" s="36">
        <v>350</v>
      </c>
      <c r="C1184" s="2" t="s">
        <v>38</v>
      </c>
      <c r="L1184" s="48" t="s">
        <v>1569</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1560</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1560</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1560</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1560</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1560</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1560</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1560</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1560</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1560</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1560</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1560</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1560</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1576</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1644</v>
      </c>
      <c r="B1" s="58" t="s">
        <v>42</v>
      </c>
      <c r="C1" s="58" t="s">
        <v>1645</v>
      </c>
      <c r="D1" s="58" t="s">
        <v>1646</v>
      </c>
    </row>
    <row r="2" spans="1:4" ht="17" x14ac:dyDescent="0.25">
      <c r="A2" t="s">
        <v>1647</v>
      </c>
      <c r="B2">
        <v>1</v>
      </c>
      <c r="C2" s="59" t="s">
        <v>1661</v>
      </c>
      <c r="D2" t="s">
        <v>1648</v>
      </c>
    </row>
    <row r="3" spans="1:4" ht="17" x14ac:dyDescent="0.25">
      <c r="A3" t="s">
        <v>1647</v>
      </c>
      <c r="B3">
        <v>2</v>
      </c>
      <c r="C3" s="59" t="s">
        <v>1662</v>
      </c>
      <c r="D3" t="s">
        <v>1649</v>
      </c>
    </row>
    <row r="4" spans="1:4" ht="17" x14ac:dyDescent="0.25">
      <c r="A4" t="s">
        <v>1647</v>
      </c>
      <c r="B4">
        <v>3</v>
      </c>
      <c r="C4" s="59" t="s">
        <v>1663</v>
      </c>
      <c r="D4" t="s">
        <v>1650</v>
      </c>
    </row>
    <row r="5" spans="1:4" ht="17" x14ac:dyDescent="0.25">
      <c r="A5" t="s">
        <v>1647</v>
      </c>
      <c r="B5">
        <v>4</v>
      </c>
      <c r="C5" s="59" t="s">
        <v>1664</v>
      </c>
      <c r="D5" t="s">
        <v>1651</v>
      </c>
    </row>
    <row r="6" spans="1:4" ht="17" x14ac:dyDescent="0.25">
      <c r="A6" t="s">
        <v>1652</v>
      </c>
      <c r="B6">
        <v>1</v>
      </c>
      <c r="C6" s="59" t="s">
        <v>1653</v>
      </c>
      <c r="D6" t="s">
        <v>1654</v>
      </c>
    </row>
    <row r="7" spans="1:4" ht="17" x14ac:dyDescent="0.25">
      <c r="A7" t="s">
        <v>1652</v>
      </c>
      <c r="B7">
        <v>2</v>
      </c>
      <c r="C7" s="59" t="s">
        <v>1655</v>
      </c>
      <c r="D7" t="s">
        <v>1656</v>
      </c>
    </row>
    <row r="8" spans="1:4" ht="17" x14ac:dyDescent="0.25">
      <c r="A8" t="s">
        <v>1652</v>
      </c>
      <c r="B8">
        <v>3</v>
      </c>
      <c r="C8" s="59" t="s">
        <v>1657</v>
      </c>
      <c r="D8" t="s">
        <v>1658</v>
      </c>
    </row>
    <row r="9" spans="1:4" ht="17" x14ac:dyDescent="0.25">
      <c r="A9" t="s">
        <v>1652</v>
      </c>
      <c r="B9">
        <v>4</v>
      </c>
      <c r="C9" s="59" t="s">
        <v>1659</v>
      </c>
      <c r="D9" t="s">
        <v>1660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2026-10-07T12:55:30Z</dcterms:modified>
</cp:coreProperties>
</file>