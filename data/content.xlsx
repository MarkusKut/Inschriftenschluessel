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us/Documents/Arbeit/Inschriftenschluessel/data/"/>
    </mc:Choice>
  </mc:AlternateContent>
  <xr:revisionPtr revIDLastSave="0" documentId="13_ncr:1_{2DD6C280-7A04-7A44-8237-FC9735438255}" xr6:coauthVersionLast="47" xr6:coauthVersionMax="47" xr10:uidLastSave="{00000000-0000-0000-0000-000000000000}"/>
  <bookViews>
    <workbookView xWindow="-20" yWindow="500" windowWidth="28800" windowHeight="16100" activeTab="4" xr2:uid="{F025A444-F8B0-5C41-A37E-BEE791B22240}"/>
  </bookViews>
  <sheets>
    <sheet name="pages" sheetId="1" r:id="rId1"/>
    <sheet name="landing_cards" sheetId="2" r:id="rId2"/>
    <sheet name="formula_blocks" sheetId="3" r:id="rId3"/>
    <sheet name="slot_content" sheetId="6" r:id="rId4"/>
    <sheet name="tables" sheetId="4" r:id="rId5"/>
    <sheet name="glyphlines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8" i="4" l="1"/>
  <c r="K32" i="4"/>
  <c r="K26" i="4"/>
  <c r="K24" i="4"/>
  <c r="K25" i="4"/>
  <c r="K27" i="4"/>
  <c r="K17" i="4"/>
  <c r="K16" i="4"/>
  <c r="K15" i="4"/>
  <c r="K21" i="4"/>
  <c r="K20" i="4"/>
  <c r="K19" i="4"/>
  <c r="K18" i="4"/>
</calcChain>
</file>

<file path=xl/sharedStrings.xml><?xml version="1.0" encoding="utf-8"?>
<sst xmlns="http://schemas.openxmlformats.org/spreadsheetml/2006/main" count="510" uniqueCount="219">
  <si>
    <t>page_id</t>
  </si>
  <si>
    <t>type</t>
  </si>
  <si>
    <t>title</t>
  </si>
  <si>
    <t>slug</t>
  </si>
  <si>
    <t>parent_id</t>
  </si>
  <si>
    <t>sort</t>
  </si>
  <si>
    <t>home</t>
  </si>
  <si>
    <t>landing</t>
  </si>
  <si>
    <t>Inschriftenschlüssel</t>
  </si>
  <si>
    <t>index</t>
  </si>
  <si>
    <t>f_opfer</t>
  </si>
  <si>
    <t>formula</t>
  </si>
  <si>
    <t>Formel: Opferformel</t>
  </si>
  <si>
    <t>pages/formeln/opferformel</t>
  </si>
  <si>
    <t>s_gott</t>
  </si>
  <si>
    <t>slot</t>
  </si>
  <si>
    <t>Slot: Gottheit</t>
  </si>
  <si>
    <t>pages/slots/gottheit</t>
  </si>
  <si>
    <t>landing_id</t>
  </si>
  <si>
    <t>label</t>
  </si>
  <si>
    <t>href_page_id</t>
  </si>
  <si>
    <t>icon_glyph</t>
  </si>
  <si>
    <t>Opferformel</t>
  </si>
  <si>
    <t>...</t>
  </si>
  <si>
    <t>block_type</t>
  </si>
  <si>
    <t>heading</t>
  </si>
  <si>
    <t>body_md</t>
  </si>
  <si>
    <t>table_id</t>
  </si>
  <si>
    <t>glyphline</t>
  </si>
  <si>
    <t>gl_opfer</t>
  </si>
  <si>
    <t>prose</t>
  </si>
  <si>
    <t>Übersetzung</t>
  </si>
  <si>
    <t>table</t>
  </si>
  <si>
    <t>Aufbau</t>
  </si>
  <si>
    <t>tb_opfer_aufbau</t>
  </si>
  <si>
    <t>Kommentare</t>
  </si>
  <si>
    <t>glyphvariants</t>
  </si>
  <si>
    <t>Schreibvarianten</t>
  </si>
  <si>
    <t>gl_opfer_var</t>
  </si>
  <si>
    <t>Literatur</t>
  </si>
  <si>
    <t>row</t>
  </si>
  <si>
    <t>col</t>
  </si>
  <si>
    <t>value</t>
  </si>
  <si>
    <t>Transkription</t>
  </si>
  <si>
    <t>WB</t>
  </si>
  <si>
    <t>III, 186, 187</t>
  </si>
  <si>
    <t>Kommentar</t>
  </si>
  <si>
    <t>line_id</t>
  </si>
  <si>
    <t>seq</t>
  </si>
  <si>
    <t>kind</t>
  </si>
  <si>
    <t>text</t>
  </si>
  <si>
    <t>badge</t>
  </si>
  <si>
    <t>glyph</t>
  </si>
  <si>
    <t>Gottheit</t>
  </si>
  <si>
    <t>Gaben</t>
  </si>
  <si>
    <t>Person</t>
  </si>
  <si>
    <t>section</t>
  </si>
  <si>
    <t>collapsible</t>
  </si>
  <si>
    <t>intro</t>
  </si>
  <si>
    <t>FALSE</t>
  </si>
  <si>
    <t>det</t>
  </si>
  <si>
    <t>Typische Determinative</t>
  </si>
  <si>
    <t>tb_gott_det</t>
  </si>
  <si>
    <t>big</t>
  </si>
  <si>
    <t>Göttertabellen</t>
  </si>
  <si>
    <t>tb_gott_big</t>
  </si>
  <si>
    <t>TRUE</t>
  </si>
  <si>
    <t>f_denkm</t>
  </si>
  <si>
    <t>f_hymnus</t>
  </si>
  <si>
    <t>f_koenig-gottheit</t>
  </si>
  <si>
    <t>f_koenigsinschr</t>
  </si>
  <si>
    <t>f_beischrift</t>
  </si>
  <si>
    <t>f_saitenformel</t>
  </si>
  <si>
    <t>f_anruf-lebenden</t>
  </si>
  <si>
    <t>Formel: Denkmälerformel</t>
  </si>
  <si>
    <t>Formel: Hymnus</t>
  </si>
  <si>
    <t>Formel: König-geliebt-von-Gottheit-Formel</t>
  </si>
  <si>
    <t>Formel: „Historische“ Königsinschrift</t>
  </si>
  <si>
    <t>Formel: Beischrift</t>
  </si>
  <si>
    <t>Formel: Saïten-Formel</t>
  </si>
  <si>
    <t>Formel: Anruf an die Lebenden</t>
  </si>
  <si>
    <t>pages/formeln/denkmaelerformel</t>
  </si>
  <si>
    <t>pages/formeln/hymnus</t>
  </si>
  <si>
    <t>pages/formeln/koenig-geliebt-von-gottheit-formel</t>
  </si>
  <si>
    <t>pages/formeln/koenigsinschrift</t>
  </si>
  <si>
    <t>pages/formeln/beischrift</t>
  </si>
  <si>
    <t>pages/formeln/saiten-formel</t>
  </si>
  <si>
    <t>pages/formeln/anruf-an-die-lebenden</t>
  </si>
  <si>
    <t>s_gaben</t>
  </si>
  <si>
    <t>s_person</t>
  </si>
  <si>
    <t>s_koenig</t>
  </si>
  <si>
    <t>Slot: Gaben</t>
  </si>
  <si>
    <t>Slot: Person</t>
  </si>
  <si>
    <t>Slot: König</t>
  </si>
  <si>
    <t>pages/slots/gaben</t>
  </si>
  <si>
    <t>pages/slots/person</t>
  </si>
  <si>
    <t>pages/slots/koenig</t>
  </si>
  <si>
    <t>Ein Opfer, das der König [Gottheit] gibt. Er/sie möge(n) geben ein Anrufungsopfer bestehend aus [Gaben] für / für den Ka des/der [Person]</t>
  </si>
  <si>
    <t>[Person NN] = Verstorbene(r)</t>
  </si>
  <si>
    <t>01_Textgattung/01_Opferformel/01_Htp-dj-nsw/0010_Htp-dj-nsw_AR-MR_01.png</t>
  </si>
  <si>
    <t>01_Textgattung/01_Opferformel/02_dj/0001_dj_01.png</t>
  </si>
  <si>
    <t>01_Textgattung/01_Opferformel/03_n-kA-n/0001_n-kA-n_01.png</t>
  </si>
  <si>
    <t>Ein Opfer, das der König gibt</t>
  </si>
  <si>
    <t>häufige Schreibung; ab 19. Dyn. auch mit „n“ vor Gottheit geschrieben</t>
  </si>
  <si>
    <t>*ḥtp-dꞽ-nsw (n)*</t>
  </si>
  <si>
    <t>*dꞽ⸗f / ⸗s / ⸗sn pr.t-ḫrw*</t>
  </si>
  <si>
    <t>Er/Sie (Sg. &amp; Pl.) möge(n) geben</t>
  </si>
  <si>
    <t>*n / n kꜣ n*</t>
  </si>
  <si>
    <t>für / für den Ka des/der</t>
  </si>
  <si>
    <t>III, 186</t>
  </si>
  <si>
    <t>*ḥtp-dꞽ-nsw*</t>
  </si>
  <si>
    <t>glyph_path</t>
  </si>
  <si>
    <t>group</t>
  </si>
  <si>
    <t>main</t>
  </si>
  <si>
    <t>br</t>
  </si>
  <si>
    <t>var1</t>
  </si>
  <si>
    <t>var2</t>
  </si>
  <si>
    <t>(*dꞽ*)</t>
  </si>
  <si>
    <t>*n* / *n kꜣ n*</t>
  </si>
  <si>
    <t>01_Textgattung/01_Opferformel/01_Htp-dj-nsw/0050_Htp-dj-nsw_AR-MR-Gott-N-Htp-dj_01.png</t>
  </si>
  <si>
    <t>01_Textgattung/01_Opferformel/01_Htp-dj-nsw/0060_Htp-dj-nsw_AR-MR-Gott-N-Htp_01.png</t>
  </si>
  <si>
    <t>01_Textgattung/01_Opferformel/01_Htp-dj-nsw/0020_Htp-dj-nsw n_Ende-NR_01.png</t>
  </si>
  <si>
    <t>01_Textgattung/01_Opferformel/01_Htp-dj-nsw/0030_Htp-dj-nsw_NR-Spaet._01.png</t>
  </si>
  <si>
    <t>01_Textgattung/01_Opferformel/01_Htp-dj-nsw/0040_Htp-dj-nsw_AR-MR-Gott-N-di_01.png</t>
  </si>
  <si>
    <t>AR; MR</t>
  </si>
  <si>
    <t>Ende NR</t>
  </si>
  <si>
    <t>Spät.</t>
  </si>
  <si>
    <t>var3</t>
  </si>
  <si>
    <t>01_Textgattung/01_Opferformel/02_dj/0010_dj=f_01.png</t>
  </si>
  <si>
    <t>01_Textgattung/01_Opferformel/03_n-kA-n/0010_n-kA -n_02.png</t>
  </si>
  <si>
    <t>*dꞽ⸗f* / *⸗s* / *⸗sn*</t>
  </si>
  <si>
    <t>01_Textgattung/01_Opferformel/02_dj/0020_dj=s_01.png</t>
  </si>
  <si>
    <t>01_Textgattung/01_Opferformel/02_dj/0030_dj=sn_01.png</t>
  </si>
  <si>
    <t>href</t>
  </si>
  <si>
    <t>../slots/gottheit.qmd</t>
  </si>
  <si>
    <t>../slots/gaben.qmd</t>
  </si>
  <si>
    <t>../slots/person.qmd</t>
  </si>
  <si>
    <t xml:space="preserve"> Beide Bestandteile sind nicht verpflichtend. Ein Gott kann nur durch seinen Namen, durch sein Epitheton, seine Epitheta oder durch eine Kombination dieser Möglichkeiten genannt werden.</t>
  </si>
  <si>
    <t>Gottesname + Epitheton/-a</t>
  </si>
  <si>
    <t>männlich</t>
  </si>
  <si>
    <t>weiblich</t>
  </si>
  <si>
    <t>02_Slots/Gottheit/Determinative_typisch/02_f/</t>
  </si>
  <si>
    <t>Hieroglyphen</t>
  </si>
  <si>
    <t>Spezifische Determinative</t>
  </si>
  <si>
    <t>Name</t>
  </si>
  <si>
    <t>Spezifische Epitheta</t>
  </si>
  <si>
    <t>*ꞽmn*</t>
  </si>
  <si>
    <t>02_Slots/Gottheit/Determinative_typisch/01_m/</t>
  </si>
  <si>
    <t>02_Slots/Gottheit/Goetter-mit-Epitheta/0001_Amun/</t>
  </si>
  <si>
    <t>det/</t>
  </si>
  <si>
    <t>Amun</t>
  </si>
  <si>
    <t>.png</t>
  </si>
  <si>
    <t>0001_A40_01</t>
  </si>
  <si>
    <t>0010_G7_01</t>
  </si>
  <si>
    <t>0020_R8_01</t>
  </si>
  <si>
    <t>0001_B7_01</t>
  </si>
  <si>
    <t>0010_I64_01</t>
  </si>
  <si>
    <t>0020_H8_01</t>
  </si>
  <si>
    <t>0030_H8_02</t>
  </si>
  <si>
    <t>0001_Jmn_01</t>
  </si>
  <si>
    <t>0001_Jmn_det_01</t>
  </si>
  <si>
    <t>0010_Jmn_GR_01</t>
  </si>
  <si>
    <t>0020_Jmn_GR_02</t>
  </si>
  <si>
    <t xml:space="preserve"> (Gr.)</t>
  </si>
  <si>
    <t>epitheta/01_m-jp.t/</t>
  </si>
  <si>
    <t>0001_m-jp.t_01</t>
  </si>
  <si>
    <t>0001_Jmn-Ra_01</t>
  </si>
  <si>
    <t>Amun-Re</t>
  </si>
  <si>
    <t>*ꞽmn-ra*</t>
  </si>
  <si>
    <t>02_Slots/Gottheit/Goetter-mit-Epitheta/0010_Amun-Re/</t>
  </si>
  <si>
    <t>Amun-Re-Harachte</t>
  </si>
  <si>
    <t>Amset</t>
  </si>
  <si>
    <t>Onuris</t>
  </si>
  <si>
    <t>Anubis</t>
  </si>
  <si>
    <t>Atum</t>
  </si>
  <si>
    <t>Aton</t>
  </si>
  <si>
    <t>Wepwaut</t>
  </si>
  <si>
    <t>Osiris</t>
  </si>
  <si>
    <t>Bastet</t>
  </si>
  <si>
    <t>Behedeti</t>
  </si>
  <si>
    <t>Götterneunheit</t>
  </si>
  <si>
    <t>Ptah</t>
  </si>
  <si>
    <t>Maat</t>
  </si>
  <si>
    <t>Min</t>
  </si>
  <si>
    <t>Mut</t>
  </si>
  <si>
    <t>Month</t>
  </si>
  <si>
    <t>Neith</t>
  </si>
  <si>
    <t>Nut</t>
  </si>
  <si>
    <t>Nephthys</t>
  </si>
  <si>
    <t>Nefertem</t>
  </si>
  <si>
    <t>Nechbet</t>
  </si>
  <si>
    <t>Re</t>
  </si>
  <si>
    <t>Re-Harachte</t>
  </si>
  <si>
    <t>Renenutet</t>
  </si>
  <si>
    <t>Hapi (Nilgott)</t>
  </si>
  <si>
    <t>Hathor</t>
  </si>
  <si>
    <t>Apis</t>
  </si>
  <si>
    <t>Hapi (Horussohn)</t>
  </si>
  <si>
    <t>Horus</t>
  </si>
  <si>
    <t>Harachte</t>
  </si>
  <si>
    <t>Heqet</t>
  </si>
  <si>
    <t>Chnum</t>
  </si>
  <si>
    <t>Chons</t>
  </si>
  <si>
    <t>Sobek</t>
  </si>
  <si>
    <t>Selkis</t>
  </si>
  <si>
    <t>Sachmet</t>
  </si>
  <si>
    <t>Sokar</t>
  </si>
  <si>
    <t>Isis</t>
  </si>
  <si>
    <t>Seth</t>
  </si>
  <si>
    <t>Schu</t>
  </si>
  <si>
    <t>Qebehsenuef</t>
  </si>
  <si>
    <t>Duamutef</t>
  </si>
  <si>
    <t>Thot</t>
  </si>
  <si>
    <t>collapsible-heading</t>
  </si>
  <si>
    <t>Öffne Göttertabellen</t>
  </si>
  <si>
    <t>[[table:tb_epith_001]]</t>
  </si>
  <si>
    <t>tb_epith_001</t>
  </si>
  <si>
    <t>*m jp.t*</t>
  </si>
  <si>
    <t>(Amun) in Luxor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</si>
</sst>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2D7D-6A15-A747-8ABA-0F1F90941768}">
  <dimension ref="A1:F14"/>
  <sheetViews>
    <sheetView zoomScaleNormal="150" workbookViewId="0">
      <selection activeCell="B1" sqref="B1:B1048576"/>
    </sheetView>
  </sheetViews>
  <sheetFormatPr baseColWidth="10" defaultColWidth="7.5" defaultRowHeight="16" x14ac:dyDescent="0.2"/>
  <cols>
    <col min="1" max="1" width="14.83203125" bestFit="1" customWidth="1"/>
    <col min="2" max="2" width="7.33203125" bestFit="1" customWidth="1"/>
    <col min="3" max="3" width="35.5" bestFit="1" customWidth="1"/>
    <col min="4" max="4" width="41.83203125" bestFit="1" customWidth="1"/>
    <col min="5" max="5" width="9" bestFit="1" customWidth="1"/>
    <col min="6" max="6" width="4.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F2">
        <v>1</v>
      </c>
    </row>
    <row r="3" spans="1:6" x14ac:dyDescent="0.2">
      <c r="A3" t="s">
        <v>10</v>
      </c>
      <c r="B3" t="s">
        <v>11</v>
      </c>
      <c r="C3" t="s">
        <v>12</v>
      </c>
      <c r="D3" t="s">
        <v>13</v>
      </c>
      <c r="F3">
        <v>10</v>
      </c>
    </row>
    <row r="4" spans="1:6" x14ac:dyDescent="0.2">
      <c r="A4" t="s">
        <v>67</v>
      </c>
      <c r="B4" t="s">
        <v>11</v>
      </c>
      <c r="C4" t="s">
        <v>74</v>
      </c>
      <c r="D4" t="s">
        <v>81</v>
      </c>
      <c r="F4">
        <v>20</v>
      </c>
    </row>
    <row r="5" spans="1:6" x14ac:dyDescent="0.2">
      <c r="A5" t="s">
        <v>68</v>
      </c>
      <c r="B5" t="s">
        <v>11</v>
      </c>
      <c r="C5" t="s">
        <v>75</v>
      </c>
      <c r="D5" t="s">
        <v>82</v>
      </c>
      <c r="F5">
        <v>30</v>
      </c>
    </row>
    <row r="6" spans="1:6" x14ac:dyDescent="0.2">
      <c r="A6" t="s">
        <v>69</v>
      </c>
      <c r="B6" t="s">
        <v>11</v>
      </c>
      <c r="C6" t="s">
        <v>76</v>
      </c>
      <c r="D6" t="s">
        <v>83</v>
      </c>
      <c r="F6">
        <v>40</v>
      </c>
    </row>
    <row r="7" spans="1:6" x14ac:dyDescent="0.2">
      <c r="A7" t="s">
        <v>70</v>
      </c>
      <c r="B7" t="s">
        <v>11</v>
      </c>
      <c r="C7" t="s">
        <v>77</v>
      </c>
      <c r="D7" t="s">
        <v>84</v>
      </c>
      <c r="F7">
        <v>50</v>
      </c>
    </row>
    <row r="8" spans="1:6" x14ac:dyDescent="0.2">
      <c r="A8" t="s">
        <v>71</v>
      </c>
      <c r="B8" t="s">
        <v>11</v>
      </c>
      <c r="C8" t="s">
        <v>78</v>
      </c>
      <c r="D8" t="s">
        <v>85</v>
      </c>
      <c r="F8">
        <v>60</v>
      </c>
    </row>
    <row r="9" spans="1:6" x14ac:dyDescent="0.2">
      <c r="A9" t="s">
        <v>72</v>
      </c>
      <c r="B9" t="s">
        <v>11</v>
      </c>
      <c r="C9" t="s">
        <v>79</v>
      </c>
      <c r="D9" t="s">
        <v>86</v>
      </c>
      <c r="F9">
        <v>70</v>
      </c>
    </row>
    <row r="10" spans="1:6" x14ac:dyDescent="0.2">
      <c r="A10" t="s">
        <v>73</v>
      </c>
      <c r="B10" t="s">
        <v>11</v>
      </c>
      <c r="C10" t="s">
        <v>80</v>
      </c>
      <c r="D10" t="s">
        <v>87</v>
      </c>
      <c r="F10">
        <v>80</v>
      </c>
    </row>
    <row r="11" spans="1:6" x14ac:dyDescent="0.2">
      <c r="A11" t="s">
        <v>14</v>
      </c>
      <c r="B11" t="s">
        <v>15</v>
      </c>
      <c r="C11" t="s">
        <v>16</v>
      </c>
      <c r="D11" t="s">
        <v>17</v>
      </c>
      <c r="F11">
        <v>100</v>
      </c>
    </row>
    <row r="12" spans="1:6" x14ac:dyDescent="0.2">
      <c r="A12" t="s">
        <v>88</v>
      </c>
      <c r="B12" t="s">
        <v>15</v>
      </c>
      <c r="C12" t="s">
        <v>91</v>
      </c>
      <c r="D12" t="s">
        <v>94</v>
      </c>
      <c r="F12">
        <v>110</v>
      </c>
    </row>
    <row r="13" spans="1:6" x14ac:dyDescent="0.2">
      <c r="A13" t="s">
        <v>89</v>
      </c>
      <c r="B13" t="s">
        <v>15</v>
      </c>
      <c r="C13" t="s">
        <v>92</v>
      </c>
      <c r="D13" t="s">
        <v>95</v>
      </c>
      <c r="F13">
        <v>120</v>
      </c>
    </row>
    <row r="14" spans="1:6" x14ac:dyDescent="0.2">
      <c r="A14" t="s">
        <v>90</v>
      </c>
      <c r="B14" t="s">
        <v>15</v>
      </c>
      <c r="C14" t="s">
        <v>93</v>
      </c>
      <c r="D14" t="s">
        <v>96</v>
      </c>
      <c r="F14">
        <v>130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ECE21-4B85-B642-91D8-6A98EB98549E}">
  <dimension ref="A1:D2"/>
  <sheetViews>
    <sheetView workbookViewId="0">
      <selection activeCell="B10" sqref="B10"/>
    </sheetView>
  </sheetViews>
  <sheetFormatPr baseColWidth="10" defaultColWidth="10.1640625" defaultRowHeight="16" x14ac:dyDescent="0.2"/>
  <cols>
    <col min="1" max="1" width="9.5" bestFit="1" customWidth="1"/>
    <col min="2" max="2" width="15.1640625" bestFit="1" customWidth="1"/>
    <col min="3" max="3" width="11.6640625" bestFit="1" customWidth="1"/>
    <col min="4" max="4" width="68" bestFit="1" customWidth="1"/>
  </cols>
  <sheetData>
    <row r="1" spans="1:4" x14ac:dyDescent="0.2">
      <c r="A1" s="1" t="s">
        <v>18</v>
      </c>
      <c r="B1" s="1" t="s">
        <v>19</v>
      </c>
      <c r="C1" s="1" t="s">
        <v>20</v>
      </c>
      <c r="D1" s="1" t="s">
        <v>21</v>
      </c>
    </row>
    <row r="2" spans="1:4" x14ac:dyDescent="0.2">
      <c r="A2" t="s">
        <v>6</v>
      </c>
      <c r="B2" t="s">
        <v>22</v>
      </c>
      <c r="C2" t="s">
        <v>10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542A6-A652-DC44-866D-D4A0E101DC42}">
  <dimension ref="A1:E9"/>
  <sheetViews>
    <sheetView zoomScale="90" zoomScaleNormal="90" workbookViewId="0">
      <selection activeCell="D3" sqref="D3"/>
    </sheetView>
  </sheetViews>
  <sheetFormatPr baseColWidth="10" defaultRowHeight="16" x14ac:dyDescent="0.2"/>
  <cols>
    <col min="1" max="1" width="8.5" style="4" bestFit="1" customWidth="1"/>
    <col min="2" max="2" width="10.83203125" style="4"/>
    <col min="3" max="3" width="15" style="4" bestFit="1" customWidth="1"/>
    <col min="4" max="4" width="26" style="4" customWidth="1"/>
    <col min="5" max="16384" width="10.83203125" style="4"/>
  </cols>
  <sheetData>
    <row r="1" spans="1:5" x14ac:dyDescent="0.2">
      <c r="A1" s="3" t="s">
        <v>0</v>
      </c>
      <c r="B1" s="3" t="s">
        <v>24</v>
      </c>
      <c r="C1" s="3" t="s">
        <v>25</v>
      </c>
      <c r="D1" s="3" t="s">
        <v>26</v>
      </c>
      <c r="E1" s="3" t="s">
        <v>27</v>
      </c>
    </row>
    <row r="2" spans="1:5" x14ac:dyDescent="0.2">
      <c r="A2" s="4" t="s">
        <v>10</v>
      </c>
      <c r="B2" s="4" t="s">
        <v>28</v>
      </c>
      <c r="E2" s="4" t="s">
        <v>29</v>
      </c>
    </row>
    <row r="3" spans="1:5" ht="85" x14ac:dyDescent="0.2">
      <c r="A3" s="4" t="s">
        <v>10</v>
      </c>
      <c r="B3" s="4" t="s">
        <v>30</v>
      </c>
      <c r="C3" s="4" t="s">
        <v>31</v>
      </c>
      <c r="D3" s="2" t="s">
        <v>97</v>
      </c>
    </row>
    <row r="4" spans="1:5" x14ac:dyDescent="0.2">
      <c r="A4" s="4" t="s">
        <v>10</v>
      </c>
      <c r="B4" s="4" t="s">
        <v>32</v>
      </c>
      <c r="C4" s="4" t="s">
        <v>33</v>
      </c>
      <c r="E4" s="4" t="s">
        <v>34</v>
      </c>
    </row>
    <row r="5" spans="1:5" x14ac:dyDescent="0.2">
      <c r="A5" s="4" t="s">
        <v>10</v>
      </c>
      <c r="B5" s="4" t="s">
        <v>30</v>
      </c>
      <c r="C5" s="4" t="s">
        <v>35</v>
      </c>
      <c r="D5" s="4" t="s">
        <v>98</v>
      </c>
    </row>
    <row r="6" spans="1:5" x14ac:dyDescent="0.2">
      <c r="A6" s="4" t="s">
        <v>10</v>
      </c>
      <c r="B6" s="4" t="s">
        <v>36</v>
      </c>
      <c r="C6" s="4" t="s">
        <v>37</v>
      </c>
      <c r="E6" s="4" t="s">
        <v>38</v>
      </c>
    </row>
    <row r="7" spans="1:5" x14ac:dyDescent="0.2">
      <c r="A7" s="4" t="s">
        <v>10</v>
      </c>
      <c r="B7" s="4" t="s">
        <v>30</v>
      </c>
      <c r="C7" s="4" t="s">
        <v>39</v>
      </c>
      <c r="D7" s="4" t="s">
        <v>23</v>
      </c>
    </row>
    <row r="9" spans="1:5" x14ac:dyDescent="0.2">
      <c r="A9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5969-C8E3-C04D-AF17-FDEFB8218719}">
  <dimension ref="A1:G5"/>
  <sheetViews>
    <sheetView workbookViewId="0">
      <selection activeCell="H9" sqref="H9"/>
    </sheetView>
  </sheetViews>
  <sheetFormatPr baseColWidth="10" defaultColWidth="7.6640625" defaultRowHeight="16" x14ac:dyDescent="0.2"/>
  <cols>
    <col min="1" max="1" width="7.5" bestFit="1" customWidth="1"/>
    <col min="2" max="2" width="7.33203125" bestFit="1" customWidth="1"/>
    <col min="3" max="3" width="20.33203125" bestFit="1" customWidth="1"/>
    <col min="4" max="4" width="36.1640625" customWidth="1"/>
    <col min="5" max="5" width="10.33203125" bestFit="1" customWidth="1"/>
    <col min="6" max="6" width="10.1640625" bestFit="1" customWidth="1"/>
    <col min="7" max="7" width="17.5" bestFit="1" customWidth="1"/>
  </cols>
  <sheetData>
    <row r="1" spans="1:7" x14ac:dyDescent="0.2">
      <c r="A1" s="1" t="s">
        <v>0</v>
      </c>
      <c r="B1" s="1" t="s">
        <v>56</v>
      </c>
      <c r="C1" s="1" t="s">
        <v>25</v>
      </c>
      <c r="D1" s="1" t="s">
        <v>26</v>
      </c>
      <c r="E1" s="1" t="s">
        <v>27</v>
      </c>
      <c r="F1" s="1" t="s">
        <v>57</v>
      </c>
      <c r="G1" s="1" t="s">
        <v>213</v>
      </c>
    </row>
    <row r="2" spans="1:7" x14ac:dyDescent="0.2">
      <c r="A2" t="s">
        <v>14</v>
      </c>
      <c r="B2" t="s">
        <v>58</v>
      </c>
      <c r="D2" t="s">
        <v>138</v>
      </c>
      <c r="F2" t="s">
        <v>59</v>
      </c>
    </row>
    <row r="3" spans="1:7" ht="85" x14ac:dyDescent="0.2">
      <c r="A3" t="s">
        <v>14</v>
      </c>
      <c r="B3" t="s">
        <v>58</v>
      </c>
      <c r="D3" s="2" t="s">
        <v>137</v>
      </c>
      <c r="F3" t="s">
        <v>59</v>
      </c>
    </row>
    <row r="4" spans="1:7" x14ac:dyDescent="0.2">
      <c r="A4" t="s">
        <v>14</v>
      </c>
      <c r="B4" t="s">
        <v>60</v>
      </c>
      <c r="C4" t="s">
        <v>61</v>
      </c>
      <c r="E4" t="s">
        <v>62</v>
      </c>
      <c r="F4" t="s">
        <v>59</v>
      </c>
    </row>
    <row r="5" spans="1:7" x14ac:dyDescent="0.2">
      <c r="A5" t="s">
        <v>14</v>
      </c>
      <c r="B5" t="s">
        <v>63</v>
      </c>
      <c r="C5" t="s">
        <v>64</v>
      </c>
      <c r="E5" t="s">
        <v>65</v>
      </c>
      <c r="F5" t="s">
        <v>66</v>
      </c>
      <c r="G5" t="s">
        <v>214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D4F70-2351-5545-A291-11D662F747FD}">
  <dimension ref="A1:K84"/>
  <sheetViews>
    <sheetView tabSelected="1" topLeftCell="C12" zoomScale="117" workbookViewId="0">
      <selection activeCell="J25" sqref="J25"/>
    </sheetView>
  </sheetViews>
  <sheetFormatPr baseColWidth="10" defaultColWidth="16.6640625" defaultRowHeight="16" x14ac:dyDescent="0.2"/>
  <cols>
    <col min="1" max="1" width="14.1640625" bestFit="1" customWidth="1"/>
    <col min="2" max="2" width="4.1640625" bestFit="1" customWidth="1"/>
    <col min="3" max="3" width="22.6640625" bestFit="1" customWidth="1"/>
    <col min="4" max="4" width="3.5" bestFit="1" customWidth="1"/>
    <col min="5" max="5" width="45" bestFit="1" customWidth="1"/>
    <col min="6" max="6" width="17.1640625" bestFit="1" customWidth="1"/>
    <col min="7" max="7" width="19.33203125" bestFit="1" customWidth="1"/>
    <col min="8" max="8" width="4.5" bestFit="1" customWidth="1"/>
    <col min="9" max="10" width="4.5" customWidth="1"/>
    <col min="11" max="11" width="59.6640625" bestFit="1" customWidth="1"/>
  </cols>
  <sheetData>
    <row r="1" spans="1:11" x14ac:dyDescent="0.2">
      <c r="A1" s="1" t="s">
        <v>27</v>
      </c>
      <c r="B1" s="1" t="s">
        <v>40</v>
      </c>
      <c r="C1" s="1" t="s">
        <v>41</v>
      </c>
      <c r="D1" s="1"/>
      <c r="E1" s="1"/>
      <c r="F1" s="1"/>
      <c r="G1" s="1"/>
      <c r="H1" s="1"/>
      <c r="I1" s="1"/>
      <c r="J1" s="1"/>
      <c r="K1" s="1" t="s">
        <v>42</v>
      </c>
    </row>
    <row r="2" spans="1:11" x14ac:dyDescent="0.2">
      <c r="A2" t="s">
        <v>34</v>
      </c>
      <c r="B2">
        <v>1</v>
      </c>
      <c r="C2" t="s">
        <v>43</v>
      </c>
      <c r="K2" t="s">
        <v>104</v>
      </c>
    </row>
    <row r="3" spans="1:11" x14ac:dyDescent="0.2">
      <c r="A3" t="s">
        <v>34</v>
      </c>
      <c r="B3">
        <v>1</v>
      </c>
      <c r="C3" t="s">
        <v>31</v>
      </c>
      <c r="K3" t="s">
        <v>102</v>
      </c>
    </row>
    <row r="4" spans="1:11" x14ac:dyDescent="0.2">
      <c r="A4" t="s">
        <v>34</v>
      </c>
      <c r="B4">
        <v>1</v>
      </c>
      <c r="C4" t="s">
        <v>44</v>
      </c>
      <c r="K4" t="s">
        <v>45</v>
      </c>
    </row>
    <row r="5" spans="1:11" x14ac:dyDescent="0.2">
      <c r="A5" t="s">
        <v>34</v>
      </c>
      <c r="B5">
        <v>1</v>
      </c>
      <c r="C5" t="s">
        <v>46</v>
      </c>
      <c r="K5" t="s">
        <v>103</v>
      </c>
    </row>
    <row r="6" spans="1:11" x14ac:dyDescent="0.2">
      <c r="A6" t="s">
        <v>34</v>
      </c>
      <c r="B6">
        <v>2</v>
      </c>
      <c r="C6" t="s">
        <v>43</v>
      </c>
      <c r="K6" t="s">
        <v>105</v>
      </c>
    </row>
    <row r="7" spans="1:11" x14ac:dyDescent="0.2">
      <c r="A7" t="s">
        <v>34</v>
      </c>
      <c r="B7">
        <v>2</v>
      </c>
      <c r="C7" t="s">
        <v>31</v>
      </c>
      <c r="K7" t="s">
        <v>106</v>
      </c>
    </row>
    <row r="8" spans="1:11" x14ac:dyDescent="0.2">
      <c r="A8" t="s">
        <v>34</v>
      </c>
      <c r="B8">
        <v>2</v>
      </c>
      <c r="C8" t="s">
        <v>44</v>
      </c>
      <c r="K8" t="s">
        <v>45</v>
      </c>
    </row>
    <row r="9" spans="1:11" x14ac:dyDescent="0.2">
      <c r="A9" t="s">
        <v>34</v>
      </c>
      <c r="B9">
        <v>2</v>
      </c>
      <c r="C9" t="s">
        <v>46</v>
      </c>
    </row>
    <row r="10" spans="1:11" x14ac:dyDescent="0.2">
      <c r="A10" t="s">
        <v>34</v>
      </c>
      <c r="B10">
        <v>3</v>
      </c>
      <c r="C10" t="s">
        <v>43</v>
      </c>
      <c r="K10" t="s">
        <v>107</v>
      </c>
    </row>
    <row r="11" spans="1:11" x14ac:dyDescent="0.2">
      <c r="A11" t="s">
        <v>34</v>
      </c>
      <c r="B11">
        <v>3</v>
      </c>
      <c r="C11" t="s">
        <v>31</v>
      </c>
      <c r="K11" t="s">
        <v>108</v>
      </c>
    </row>
    <row r="12" spans="1:11" x14ac:dyDescent="0.2">
      <c r="A12" t="s">
        <v>34</v>
      </c>
      <c r="B12">
        <v>3</v>
      </c>
      <c r="C12" t="s">
        <v>44</v>
      </c>
      <c r="K12" t="s">
        <v>109</v>
      </c>
    </row>
    <row r="13" spans="1:11" x14ac:dyDescent="0.2">
      <c r="A13" t="s">
        <v>34</v>
      </c>
      <c r="B13">
        <v>3</v>
      </c>
      <c r="C13" t="s">
        <v>46</v>
      </c>
    </row>
    <row r="15" spans="1:11" x14ac:dyDescent="0.2">
      <c r="A15" t="s">
        <v>62</v>
      </c>
      <c r="B15">
        <v>1</v>
      </c>
      <c r="C15" t="s">
        <v>139</v>
      </c>
      <c r="E15" t="s">
        <v>147</v>
      </c>
      <c r="G15" t="s">
        <v>152</v>
      </c>
      <c r="H15" t="s">
        <v>151</v>
      </c>
      <c r="K15" t="str">
        <f t="shared" ref="K15:K17" si="0">_xlfn.TEXTJOIN("", TRUE, D15:J15)</f>
        <v>02_Slots/Gottheit/Determinative_typisch/01_m/0001_A40_01.png</v>
      </c>
    </row>
    <row r="16" spans="1:11" x14ac:dyDescent="0.2">
      <c r="A16" t="s">
        <v>62</v>
      </c>
      <c r="B16">
        <v>1</v>
      </c>
      <c r="C16" t="s">
        <v>139</v>
      </c>
      <c r="E16" t="s">
        <v>147</v>
      </c>
      <c r="G16" t="s">
        <v>153</v>
      </c>
      <c r="H16" t="s">
        <v>151</v>
      </c>
      <c r="K16" t="str">
        <f t="shared" si="0"/>
        <v>02_Slots/Gottheit/Determinative_typisch/01_m/0010_G7_01.png</v>
      </c>
    </row>
    <row r="17" spans="1:11" x14ac:dyDescent="0.2">
      <c r="A17" t="s">
        <v>62</v>
      </c>
      <c r="B17">
        <v>1</v>
      </c>
      <c r="C17" t="s">
        <v>139</v>
      </c>
      <c r="E17" t="s">
        <v>147</v>
      </c>
      <c r="G17" t="s">
        <v>154</v>
      </c>
      <c r="H17" t="s">
        <v>151</v>
      </c>
      <c r="K17" t="str">
        <f t="shared" si="0"/>
        <v>02_Slots/Gottheit/Determinative_typisch/01_m/0020_R8_01.png</v>
      </c>
    </row>
    <row r="18" spans="1:11" x14ac:dyDescent="0.2">
      <c r="A18" t="s">
        <v>62</v>
      </c>
      <c r="B18">
        <v>1</v>
      </c>
      <c r="C18" t="s">
        <v>140</v>
      </c>
      <c r="E18" t="s">
        <v>141</v>
      </c>
      <c r="G18" t="s">
        <v>155</v>
      </c>
      <c r="H18" t="s">
        <v>151</v>
      </c>
      <c r="K18" t="str">
        <f t="shared" ref="K18:K21" si="1">_xlfn.TEXTJOIN("", TRUE, D18:J18)</f>
        <v>02_Slots/Gottheit/Determinative_typisch/02_f/0001_B7_01.png</v>
      </c>
    </row>
    <row r="19" spans="1:11" x14ac:dyDescent="0.2">
      <c r="A19" t="s">
        <v>62</v>
      </c>
      <c r="B19">
        <v>1</v>
      </c>
      <c r="C19" t="s">
        <v>140</v>
      </c>
      <c r="E19" t="s">
        <v>141</v>
      </c>
      <c r="G19" t="s">
        <v>156</v>
      </c>
      <c r="H19" t="s">
        <v>151</v>
      </c>
      <c r="K19" t="str">
        <f t="shared" si="1"/>
        <v>02_Slots/Gottheit/Determinative_typisch/02_f/0010_I64_01.png</v>
      </c>
    </row>
    <row r="20" spans="1:11" x14ac:dyDescent="0.2">
      <c r="A20" t="s">
        <v>62</v>
      </c>
      <c r="B20">
        <v>1</v>
      </c>
      <c r="C20" t="s">
        <v>140</v>
      </c>
      <c r="E20" t="s">
        <v>141</v>
      </c>
      <c r="G20" t="s">
        <v>157</v>
      </c>
      <c r="H20" t="s">
        <v>151</v>
      </c>
      <c r="K20" t="str">
        <f t="shared" si="1"/>
        <v>02_Slots/Gottheit/Determinative_typisch/02_f/0020_H8_01.png</v>
      </c>
    </row>
    <row r="21" spans="1:11" x14ac:dyDescent="0.2">
      <c r="A21" t="s">
        <v>62</v>
      </c>
      <c r="B21">
        <v>1</v>
      </c>
      <c r="C21" t="s">
        <v>140</v>
      </c>
      <c r="E21" t="s">
        <v>141</v>
      </c>
      <c r="G21" t="s">
        <v>158</v>
      </c>
      <c r="H21" t="s">
        <v>151</v>
      </c>
      <c r="K21" t="str">
        <f t="shared" si="1"/>
        <v>02_Slots/Gottheit/Determinative_typisch/02_f/0030_H8_02.png</v>
      </c>
    </row>
    <row r="23" spans="1:11" x14ac:dyDescent="0.2">
      <c r="A23" t="s">
        <v>65</v>
      </c>
      <c r="B23">
        <v>1</v>
      </c>
      <c r="C23" t="s">
        <v>43</v>
      </c>
      <c r="K23" t="s">
        <v>146</v>
      </c>
    </row>
    <row r="24" spans="1:11" x14ac:dyDescent="0.2">
      <c r="A24" t="s">
        <v>65</v>
      </c>
      <c r="B24">
        <v>1</v>
      </c>
      <c r="C24" t="s">
        <v>142</v>
      </c>
      <c r="E24" t="s">
        <v>148</v>
      </c>
      <c r="G24" t="s">
        <v>159</v>
      </c>
      <c r="H24" t="s">
        <v>151</v>
      </c>
      <c r="K24" t="str">
        <f>_xlfn.TEXTJOIN("", TRUE, D24:J24)</f>
        <v>02_Slots/Gottheit/Goetter-mit-Epitheta/0001_Amun/0001_Jmn_01.png</v>
      </c>
    </row>
    <row r="25" spans="1:11" x14ac:dyDescent="0.2">
      <c r="A25" t="s">
        <v>65</v>
      </c>
      <c r="B25">
        <v>1</v>
      </c>
      <c r="C25" t="s">
        <v>142</v>
      </c>
      <c r="E25" t="s">
        <v>148</v>
      </c>
      <c r="G25" t="s">
        <v>161</v>
      </c>
      <c r="H25" t="s">
        <v>151</v>
      </c>
      <c r="J25" t="s">
        <v>163</v>
      </c>
      <c r="K25" t="str">
        <f>_xlfn.TEXTJOIN("", TRUE, D25:J25)</f>
        <v>02_Slots/Gottheit/Goetter-mit-Epitheta/0001_Amun/0010_Jmn_GR_01.png (Gr.)</v>
      </c>
    </row>
    <row r="26" spans="1:11" x14ac:dyDescent="0.2">
      <c r="A26" t="s">
        <v>65</v>
      </c>
      <c r="B26">
        <v>1</v>
      </c>
      <c r="C26" t="s">
        <v>142</v>
      </c>
      <c r="E26" t="s">
        <v>148</v>
      </c>
      <c r="G26" t="s">
        <v>162</v>
      </c>
      <c r="H26" t="s">
        <v>151</v>
      </c>
      <c r="J26" t="s">
        <v>163</v>
      </c>
      <c r="K26" t="str">
        <f>_xlfn.TEXTJOIN("", TRUE, D26:J26)</f>
        <v>02_Slots/Gottheit/Goetter-mit-Epitheta/0001_Amun/0020_Jmn_GR_02.png (Gr.)</v>
      </c>
    </row>
    <row r="27" spans="1:11" x14ac:dyDescent="0.2">
      <c r="A27" t="s">
        <v>65</v>
      </c>
      <c r="B27">
        <v>1</v>
      </c>
      <c r="C27" t="s">
        <v>143</v>
      </c>
      <c r="E27" t="s">
        <v>148</v>
      </c>
      <c r="F27" t="s">
        <v>149</v>
      </c>
      <c r="G27" t="s">
        <v>160</v>
      </c>
      <c r="H27" t="s">
        <v>151</v>
      </c>
      <c r="K27" t="str">
        <f>_xlfn.TEXTJOIN("", TRUE, D27:J27)</f>
        <v>02_Slots/Gottheit/Goetter-mit-Epitheta/0001_Amun/det/0001_Jmn_det_01.png</v>
      </c>
    </row>
    <row r="28" spans="1:11" x14ac:dyDescent="0.2">
      <c r="A28" t="s">
        <v>65</v>
      </c>
      <c r="B28">
        <v>1</v>
      </c>
      <c r="C28" t="s">
        <v>144</v>
      </c>
      <c r="K28" t="s">
        <v>150</v>
      </c>
    </row>
    <row r="29" spans="1:11" x14ac:dyDescent="0.2">
      <c r="A29" t="s">
        <v>65</v>
      </c>
      <c r="B29">
        <v>1</v>
      </c>
      <c r="C29" t="s">
        <v>145</v>
      </c>
      <c r="K29" t="s">
        <v>215</v>
      </c>
    </row>
    <row r="31" spans="1:11" x14ac:dyDescent="0.2">
      <c r="A31" t="s">
        <v>65</v>
      </c>
      <c r="B31">
        <v>10</v>
      </c>
      <c r="C31" t="s">
        <v>43</v>
      </c>
      <c r="G31" t="s">
        <v>166</v>
      </c>
      <c r="K31" t="s">
        <v>168</v>
      </c>
    </row>
    <row r="32" spans="1:11" x14ac:dyDescent="0.2">
      <c r="A32" t="s">
        <v>65</v>
      </c>
      <c r="B32">
        <v>10</v>
      </c>
      <c r="C32" t="s">
        <v>142</v>
      </c>
      <c r="E32" t="s">
        <v>169</v>
      </c>
      <c r="G32" t="s">
        <v>166</v>
      </c>
      <c r="H32" t="s">
        <v>151</v>
      </c>
      <c r="K32" t="str">
        <f>_xlfn.TEXTJOIN("", TRUE, D32:J32)</f>
        <v>02_Slots/Gottheit/Goetter-mit-Epitheta/0010_Amun-Re/0001_Jmn-Ra_01.png</v>
      </c>
    </row>
    <row r="33" spans="1:11" x14ac:dyDescent="0.2">
      <c r="A33" t="s">
        <v>65</v>
      </c>
      <c r="B33">
        <v>10</v>
      </c>
      <c r="C33" t="s">
        <v>143</v>
      </c>
    </row>
    <row r="34" spans="1:11" x14ac:dyDescent="0.2">
      <c r="A34" t="s">
        <v>65</v>
      </c>
      <c r="B34">
        <v>10</v>
      </c>
      <c r="C34" t="s">
        <v>144</v>
      </c>
      <c r="K34" t="s">
        <v>167</v>
      </c>
    </row>
    <row r="35" spans="1:11" x14ac:dyDescent="0.2">
      <c r="A35" t="s">
        <v>65</v>
      </c>
      <c r="B35">
        <v>10</v>
      </c>
      <c r="C35" t="s">
        <v>145</v>
      </c>
    </row>
    <row r="37" spans="1:11" x14ac:dyDescent="0.2">
      <c r="A37" t="s">
        <v>216</v>
      </c>
      <c r="B37">
        <v>1</v>
      </c>
      <c r="C37" t="s">
        <v>43</v>
      </c>
      <c r="K37" t="s">
        <v>217</v>
      </c>
    </row>
    <row r="38" spans="1:11" x14ac:dyDescent="0.2">
      <c r="A38" t="s">
        <v>216</v>
      </c>
      <c r="B38">
        <v>1</v>
      </c>
      <c r="C38" t="s">
        <v>142</v>
      </c>
      <c r="E38" t="s">
        <v>148</v>
      </c>
      <c r="F38" t="s">
        <v>164</v>
      </c>
      <c r="G38" t="s">
        <v>165</v>
      </c>
      <c r="H38" t="s">
        <v>151</v>
      </c>
      <c r="K38" t="str">
        <f>_xlfn.TEXTJOIN("", TRUE, D38:J38)</f>
        <v>02_Slots/Gottheit/Goetter-mit-Epitheta/0001_Amun/epitheta/01_m-jp.t/0001_m-jp.t_01.png</v>
      </c>
    </row>
    <row r="39" spans="1:11" x14ac:dyDescent="0.2">
      <c r="A39" t="s">
        <v>216</v>
      </c>
      <c r="B39">
        <v>1</v>
      </c>
      <c r="C39" t="s">
        <v>31</v>
      </c>
      <c r="K39" t="s">
        <v>218</v>
      </c>
    </row>
    <row r="41" spans="1:11" x14ac:dyDescent="0.2">
      <c r="A41" t="s">
        <v>65</v>
      </c>
      <c r="B41">
        <v>20</v>
      </c>
      <c r="C41" t="s">
        <v>144</v>
      </c>
      <c r="K41" t="s">
        <v>170</v>
      </c>
    </row>
    <row r="43" spans="1:11" x14ac:dyDescent="0.2">
      <c r="A43" t="s">
        <v>65</v>
      </c>
      <c r="B43">
        <v>30</v>
      </c>
      <c r="C43" t="s">
        <v>144</v>
      </c>
      <c r="K43" t="s">
        <v>171</v>
      </c>
    </row>
    <row r="44" spans="1:11" x14ac:dyDescent="0.2">
      <c r="A44" t="s">
        <v>65</v>
      </c>
      <c r="B44">
        <v>40</v>
      </c>
      <c r="C44" t="s">
        <v>144</v>
      </c>
      <c r="K44" t="s">
        <v>172</v>
      </c>
    </row>
    <row r="45" spans="1:11" x14ac:dyDescent="0.2">
      <c r="A45" t="s">
        <v>65</v>
      </c>
      <c r="B45">
        <v>50</v>
      </c>
      <c r="C45" t="s">
        <v>144</v>
      </c>
      <c r="K45" t="s">
        <v>173</v>
      </c>
    </row>
    <row r="46" spans="1:11" x14ac:dyDescent="0.2">
      <c r="A46" t="s">
        <v>65</v>
      </c>
      <c r="B46">
        <v>60</v>
      </c>
      <c r="C46" t="s">
        <v>144</v>
      </c>
      <c r="K46" t="s">
        <v>174</v>
      </c>
    </row>
    <row r="47" spans="1:11" x14ac:dyDescent="0.2">
      <c r="A47" t="s">
        <v>65</v>
      </c>
      <c r="B47">
        <v>70</v>
      </c>
      <c r="C47" t="s">
        <v>144</v>
      </c>
      <c r="K47" t="s">
        <v>175</v>
      </c>
    </row>
    <row r="48" spans="1:11" x14ac:dyDescent="0.2">
      <c r="A48" t="s">
        <v>65</v>
      </c>
      <c r="B48">
        <v>80</v>
      </c>
      <c r="C48" t="s">
        <v>144</v>
      </c>
      <c r="K48" t="s">
        <v>176</v>
      </c>
    </row>
    <row r="49" spans="1:11" x14ac:dyDescent="0.2">
      <c r="A49" t="s">
        <v>65</v>
      </c>
      <c r="B49">
        <v>90</v>
      </c>
      <c r="C49" t="s">
        <v>144</v>
      </c>
      <c r="K49" t="s">
        <v>177</v>
      </c>
    </row>
    <row r="50" spans="1:11" x14ac:dyDescent="0.2">
      <c r="A50" t="s">
        <v>65</v>
      </c>
      <c r="B50">
        <v>100</v>
      </c>
      <c r="C50" t="s">
        <v>144</v>
      </c>
      <c r="K50" t="s">
        <v>178</v>
      </c>
    </row>
    <row r="51" spans="1:11" x14ac:dyDescent="0.2">
      <c r="A51" t="s">
        <v>65</v>
      </c>
      <c r="B51">
        <v>110</v>
      </c>
      <c r="C51" t="s">
        <v>144</v>
      </c>
      <c r="K51" t="s">
        <v>179</v>
      </c>
    </row>
    <row r="52" spans="1:11" x14ac:dyDescent="0.2">
      <c r="A52" t="s">
        <v>65</v>
      </c>
      <c r="B52">
        <v>120</v>
      </c>
      <c r="C52" t="s">
        <v>144</v>
      </c>
      <c r="K52" t="s">
        <v>180</v>
      </c>
    </row>
    <row r="53" spans="1:11" x14ac:dyDescent="0.2">
      <c r="A53" t="s">
        <v>65</v>
      </c>
      <c r="B53">
        <v>130</v>
      </c>
      <c r="C53" t="s">
        <v>144</v>
      </c>
      <c r="K53" t="s">
        <v>181</v>
      </c>
    </row>
    <row r="54" spans="1:11" x14ac:dyDescent="0.2">
      <c r="A54" t="s">
        <v>65</v>
      </c>
      <c r="B54">
        <v>140</v>
      </c>
      <c r="C54" t="s">
        <v>144</v>
      </c>
      <c r="K54" t="s">
        <v>182</v>
      </c>
    </row>
    <row r="55" spans="1:11" x14ac:dyDescent="0.2">
      <c r="A55" t="s">
        <v>65</v>
      </c>
      <c r="B55">
        <v>150</v>
      </c>
      <c r="C55" t="s">
        <v>144</v>
      </c>
      <c r="K55" t="s">
        <v>183</v>
      </c>
    </row>
    <row r="56" spans="1:11" x14ac:dyDescent="0.2">
      <c r="A56" t="s">
        <v>65</v>
      </c>
      <c r="B56">
        <v>160</v>
      </c>
      <c r="C56" t="s">
        <v>144</v>
      </c>
      <c r="K56" t="s">
        <v>184</v>
      </c>
    </row>
    <row r="57" spans="1:11" x14ac:dyDescent="0.2">
      <c r="A57" t="s">
        <v>65</v>
      </c>
      <c r="B57">
        <v>170</v>
      </c>
      <c r="C57" t="s">
        <v>144</v>
      </c>
      <c r="K57" t="s">
        <v>185</v>
      </c>
    </row>
    <row r="58" spans="1:11" x14ac:dyDescent="0.2">
      <c r="A58" t="s">
        <v>65</v>
      </c>
      <c r="B58">
        <v>180</v>
      </c>
      <c r="C58" t="s">
        <v>144</v>
      </c>
      <c r="K58" t="s">
        <v>186</v>
      </c>
    </row>
    <row r="59" spans="1:11" x14ac:dyDescent="0.2">
      <c r="A59" t="s">
        <v>65</v>
      </c>
      <c r="B59">
        <v>190</v>
      </c>
      <c r="C59" t="s">
        <v>144</v>
      </c>
      <c r="K59" t="s">
        <v>187</v>
      </c>
    </row>
    <row r="60" spans="1:11" x14ac:dyDescent="0.2">
      <c r="A60" t="s">
        <v>65</v>
      </c>
      <c r="B60">
        <v>200</v>
      </c>
      <c r="C60" t="s">
        <v>144</v>
      </c>
      <c r="K60" t="s">
        <v>188</v>
      </c>
    </row>
    <row r="61" spans="1:11" x14ac:dyDescent="0.2">
      <c r="A61" t="s">
        <v>65</v>
      </c>
      <c r="B61">
        <v>210</v>
      </c>
      <c r="C61" t="s">
        <v>144</v>
      </c>
      <c r="K61" t="s">
        <v>189</v>
      </c>
    </row>
    <row r="62" spans="1:11" x14ac:dyDescent="0.2">
      <c r="A62" t="s">
        <v>65</v>
      </c>
      <c r="B62">
        <v>220</v>
      </c>
      <c r="C62" t="s">
        <v>144</v>
      </c>
      <c r="K62" t="s">
        <v>190</v>
      </c>
    </row>
    <row r="63" spans="1:11" x14ac:dyDescent="0.2">
      <c r="A63" t="s">
        <v>65</v>
      </c>
      <c r="B63">
        <v>230</v>
      </c>
      <c r="C63" t="s">
        <v>144</v>
      </c>
      <c r="K63" t="s">
        <v>191</v>
      </c>
    </row>
    <row r="64" spans="1:11" x14ac:dyDescent="0.2">
      <c r="A64" t="s">
        <v>65</v>
      </c>
      <c r="B64">
        <v>240</v>
      </c>
      <c r="C64" t="s">
        <v>144</v>
      </c>
      <c r="K64" t="s">
        <v>192</v>
      </c>
    </row>
    <row r="65" spans="1:11" x14ac:dyDescent="0.2">
      <c r="A65" t="s">
        <v>65</v>
      </c>
      <c r="B65">
        <v>250</v>
      </c>
      <c r="C65" t="s">
        <v>144</v>
      </c>
      <c r="K65" t="s">
        <v>193</v>
      </c>
    </row>
    <row r="66" spans="1:11" x14ac:dyDescent="0.2">
      <c r="A66" t="s">
        <v>65</v>
      </c>
      <c r="B66">
        <v>260</v>
      </c>
      <c r="C66" t="s">
        <v>144</v>
      </c>
      <c r="K66" t="s">
        <v>194</v>
      </c>
    </row>
    <row r="67" spans="1:11" x14ac:dyDescent="0.2">
      <c r="A67" t="s">
        <v>65</v>
      </c>
      <c r="B67">
        <v>270</v>
      </c>
      <c r="C67" t="s">
        <v>144</v>
      </c>
      <c r="K67" t="s">
        <v>195</v>
      </c>
    </row>
    <row r="68" spans="1:11" x14ac:dyDescent="0.2">
      <c r="A68" t="s">
        <v>65</v>
      </c>
      <c r="B68">
        <v>280</v>
      </c>
      <c r="C68" t="s">
        <v>144</v>
      </c>
      <c r="K68" t="s">
        <v>196</v>
      </c>
    </row>
    <row r="69" spans="1:11" x14ac:dyDescent="0.2">
      <c r="A69" t="s">
        <v>65</v>
      </c>
      <c r="B69">
        <v>290</v>
      </c>
      <c r="C69" t="s">
        <v>144</v>
      </c>
      <c r="K69" t="s">
        <v>197</v>
      </c>
    </row>
    <row r="70" spans="1:11" x14ac:dyDescent="0.2">
      <c r="A70" t="s">
        <v>65</v>
      </c>
      <c r="B70">
        <v>300</v>
      </c>
      <c r="C70" t="s">
        <v>144</v>
      </c>
      <c r="K70" t="s">
        <v>198</v>
      </c>
    </row>
    <row r="71" spans="1:11" x14ac:dyDescent="0.2">
      <c r="A71" t="s">
        <v>65</v>
      </c>
      <c r="B71">
        <v>310</v>
      </c>
      <c r="C71" t="s">
        <v>144</v>
      </c>
      <c r="K71" t="s">
        <v>199</v>
      </c>
    </row>
    <row r="72" spans="1:11" x14ac:dyDescent="0.2">
      <c r="A72" t="s">
        <v>65</v>
      </c>
      <c r="B72">
        <v>320</v>
      </c>
      <c r="C72" t="s">
        <v>144</v>
      </c>
      <c r="K72" t="s">
        <v>200</v>
      </c>
    </row>
    <row r="73" spans="1:11" x14ac:dyDescent="0.2">
      <c r="A73" t="s">
        <v>65</v>
      </c>
      <c r="B73">
        <v>330</v>
      </c>
      <c r="C73" t="s">
        <v>144</v>
      </c>
      <c r="K73" t="s">
        <v>201</v>
      </c>
    </row>
    <row r="74" spans="1:11" x14ac:dyDescent="0.2">
      <c r="A74" t="s">
        <v>65</v>
      </c>
      <c r="B74">
        <v>340</v>
      </c>
      <c r="C74" t="s">
        <v>144</v>
      </c>
      <c r="K74" t="s">
        <v>202</v>
      </c>
    </row>
    <row r="75" spans="1:11" x14ac:dyDescent="0.2">
      <c r="A75" t="s">
        <v>65</v>
      </c>
      <c r="B75">
        <v>350</v>
      </c>
      <c r="C75" t="s">
        <v>144</v>
      </c>
      <c r="K75" t="s">
        <v>203</v>
      </c>
    </row>
    <row r="76" spans="1:11" x14ac:dyDescent="0.2">
      <c r="A76" t="s">
        <v>65</v>
      </c>
      <c r="B76">
        <v>360</v>
      </c>
      <c r="C76" t="s">
        <v>144</v>
      </c>
      <c r="K76" t="s">
        <v>204</v>
      </c>
    </row>
    <row r="77" spans="1:11" x14ac:dyDescent="0.2">
      <c r="A77" t="s">
        <v>65</v>
      </c>
      <c r="B77">
        <v>370</v>
      </c>
      <c r="C77" t="s">
        <v>144</v>
      </c>
      <c r="K77" t="s">
        <v>205</v>
      </c>
    </row>
    <row r="78" spans="1:11" x14ac:dyDescent="0.2">
      <c r="A78" t="s">
        <v>65</v>
      </c>
      <c r="B78">
        <v>380</v>
      </c>
      <c r="C78" t="s">
        <v>144</v>
      </c>
      <c r="K78" t="s">
        <v>206</v>
      </c>
    </row>
    <row r="79" spans="1:11" x14ac:dyDescent="0.2">
      <c r="A79" t="s">
        <v>65</v>
      </c>
      <c r="B79">
        <v>390</v>
      </c>
      <c r="C79" t="s">
        <v>144</v>
      </c>
      <c r="K79" t="s">
        <v>207</v>
      </c>
    </row>
    <row r="80" spans="1:11" x14ac:dyDescent="0.2">
      <c r="A80" t="s">
        <v>65</v>
      </c>
      <c r="B80">
        <v>400</v>
      </c>
      <c r="C80" t="s">
        <v>144</v>
      </c>
      <c r="K80" t="s">
        <v>208</v>
      </c>
    </row>
    <row r="81" spans="1:11" x14ac:dyDescent="0.2">
      <c r="A81" t="s">
        <v>65</v>
      </c>
      <c r="B81">
        <v>410</v>
      </c>
      <c r="C81" t="s">
        <v>144</v>
      </c>
      <c r="K81" t="s">
        <v>209</v>
      </c>
    </row>
    <row r="82" spans="1:11" x14ac:dyDescent="0.2">
      <c r="A82" t="s">
        <v>65</v>
      </c>
      <c r="B82">
        <v>420</v>
      </c>
      <c r="C82" t="s">
        <v>144</v>
      </c>
      <c r="K82" t="s">
        <v>210</v>
      </c>
    </row>
    <row r="83" spans="1:11" x14ac:dyDescent="0.2">
      <c r="A83" t="s">
        <v>65</v>
      </c>
      <c r="B83">
        <v>430</v>
      </c>
      <c r="C83" t="s">
        <v>144</v>
      </c>
      <c r="K83" t="s">
        <v>211</v>
      </c>
    </row>
    <row r="84" spans="1:11" x14ac:dyDescent="0.2">
      <c r="A84" t="s">
        <v>65</v>
      </c>
      <c r="B84">
        <v>440</v>
      </c>
      <c r="C84" t="s">
        <v>144</v>
      </c>
      <c r="K84" t="s">
        <v>212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804-F835-2748-99C4-5C04B7D215F0}">
  <dimension ref="A1:G31"/>
  <sheetViews>
    <sheetView zoomScale="109" workbookViewId="0">
      <selection activeCell="D4" sqref="D4"/>
    </sheetView>
  </sheetViews>
  <sheetFormatPr baseColWidth="10" defaultColWidth="9.33203125" defaultRowHeight="16" x14ac:dyDescent="0.2"/>
  <cols>
    <col min="1" max="1" width="10.83203125" bestFit="1" customWidth="1"/>
    <col min="2" max="2" width="4.1640625" bestFit="1" customWidth="1"/>
    <col min="3" max="3" width="6" bestFit="1" customWidth="1"/>
    <col min="4" max="4" width="15.5" bestFit="1" customWidth="1"/>
    <col min="5" max="5" width="67.6640625" bestFit="1" customWidth="1"/>
    <col min="6" max="6" width="19.5" bestFit="1" customWidth="1"/>
  </cols>
  <sheetData>
    <row r="1" spans="1:7" x14ac:dyDescent="0.2">
      <c r="A1" s="1" t="s">
        <v>47</v>
      </c>
      <c r="B1" s="1" t="s">
        <v>48</v>
      </c>
      <c r="C1" s="1" t="s">
        <v>49</v>
      </c>
      <c r="D1" s="1" t="s">
        <v>50</v>
      </c>
      <c r="E1" s="1" t="s">
        <v>111</v>
      </c>
      <c r="F1" s="1" t="s">
        <v>133</v>
      </c>
      <c r="G1" s="1" t="s">
        <v>112</v>
      </c>
    </row>
    <row r="2" spans="1:7" x14ac:dyDescent="0.2">
      <c r="A2" t="s">
        <v>29</v>
      </c>
      <c r="B2">
        <v>1</v>
      </c>
      <c r="C2" t="s">
        <v>52</v>
      </c>
      <c r="E2" t="s">
        <v>99</v>
      </c>
      <c r="G2" t="s">
        <v>113</v>
      </c>
    </row>
    <row r="3" spans="1:7" x14ac:dyDescent="0.2">
      <c r="A3" t="s">
        <v>29</v>
      </c>
      <c r="B3">
        <v>2</v>
      </c>
      <c r="C3" t="s">
        <v>50</v>
      </c>
      <c r="D3" t="s">
        <v>110</v>
      </c>
      <c r="G3" t="s">
        <v>113</v>
      </c>
    </row>
    <row r="4" spans="1:7" x14ac:dyDescent="0.2">
      <c r="A4" t="s">
        <v>29</v>
      </c>
      <c r="B4">
        <v>3</v>
      </c>
      <c r="C4" t="s">
        <v>51</v>
      </c>
      <c r="D4" t="s">
        <v>53</v>
      </c>
      <c r="F4" t="s">
        <v>134</v>
      </c>
      <c r="G4" t="s">
        <v>113</v>
      </c>
    </row>
    <row r="5" spans="1:7" x14ac:dyDescent="0.2">
      <c r="A5" t="s">
        <v>29</v>
      </c>
      <c r="B5">
        <v>4</v>
      </c>
      <c r="C5" t="s">
        <v>52</v>
      </c>
      <c r="E5" t="s">
        <v>100</v>
      </c>
      <c r="G5" t="s">
        <v>113</v>
      </c>
    </row>
    <row r="6" spans="1:7" x14ac:dyDescent="0.2">
      <c r="A6" t="s">
        <v>29</v>
      </c>
      <c r="B6">
        <v>5</v>
      </c>
      <c r="C6" t="s">
        <v>50</v>
      </c>
      <c r="D6" t="s">
        <v>117</v>
      </c>
      <c r="G6" t="s">
        <v>113</v>
      </c>
    </row>
    <row r="7" spans="1:7" x14ac:dyDescent="0.2">
      <c r="A7" t="s">
        <v>29</v>
      </c>
      <c r="B7">
        <v>6</v>
      </c>
      <c r="C7" t="s">
        <v>51</v>
      </c>
      <c r="D7" t="s">
        <v>54</v>
      </c>
      <c r="F7" t="s">
        <v>135</v>
      </c>
      <c r="G7" t="s">
        <v>113</v>
      </c>
    </row>
    <row r="8" spans="1:7" x14ac:dyDescent="0.2">
      <c r="A8" t="s">
        <v>29</v>
      </c>
      <c r="B8">
        <v>7</v>
      </c>
      <c r="C8" t="s">
        <v>52</v>
      </c>
      <c r="E8" t="s">
        <v>101</v>
      </c>
      <c r="G8" t="s">
        <v>113</v>
      </c>
    </row>
    <row r="9" spans="1:7" x14ac:dyDescent="0.2">
      <c r="A9" t="s">
        <v>29</v>
      </c>
      <c r="B9">
        <v>8</v>
      </c>
      <c r="C9" t="s">
        <v>50</v>
      </c>
      <c r="D9" t="s">
        <v>118</v>
      </c>
      <c r="G9" t="s">
        <v>113</v>
      </c>
    </row>
    <row r="10" spans="1:7" x14ac:dyDescent="0.2">
      <c r="A10" t="s">
        <v>29</v>
      </c>
      <c r="B10">
        <v>9</v>
      </c>
      <c r="C10" t="s">
        <v>51</v>
      </c>
      <c r="D10" t="s">
        <v>55</v>
      </c>
      <c r="F10" t="s">
        <v>136</v>
      </c>
      <c r="G10" t="s">
        <v>113</v>
      </c>
    </row>
    <row r="11" spans="1:7" x14ac:dyDescent="0.2">
      <c r="A11" t="s">
        <v>29</v>
      </c>
      <c r="B11">
        <v>10</v>
      </c>
      <c r="C11" t="s">
        <v>114</v>
      </c>
      <c r="G11" t="s">
        <v>113</v>
      </c>
    </row>
    <row r="12" spans="1:7" x14ac:dyDescent="0.2">
      <c r="A12" s="4" t="s">
        <v>38</v>
      </c>
      <c r="B12">
        <v>11</v>
      </c>
      <c r="C12" t="s">
        <v>19</v>
      </c>
      <c r="D12" t="s">
        <v>110</v>
      </c>
      <c r="G12" t="s">
        <v>115</v>
      </c>
    </row>
    <row r="13" spans="1:7" x14ac:dyDescent="0.2">
      <c r="A13" s="4" t="s">
        <v>38</v>
      </c>
      <c r="B13">
        <v>12</v>
      </c>
      <c r="C13" t="s">
        <v>52</v>
      </c>
      <c r="E13" t="s">
        <v>99</v>
      </c>
      <c r="G13" t="s">
        <v>115</v>
      </c>
    </row>
    <row r="14" spans="1:7" x14ac:dyDescent="0.2">
      <c r="A14" s="4" t="s">
        <v>38</v>
      </c>
      <c r="B14">
        <v>13</v>
      </c>
      <c r="C14" t="s">
        <v>50</v>
      </c>
      <c r="D14" t="s">
        <v>124</v>
      </c>
      <c r="G14" t="s">
        <v>115</v>
      </c>
    </row>
    <row r="15" spans="1:7" x14ac:dyDescent="0.2">
      <c r="A15" s="4" t="s">
        <v>38</v>
      </c>
      <c r="B15">
        <v>14</v>
      </c>
      <c r="C15" t="s">
        <v>52</v>
      </c>
      <c r="E15" t="s">
        <v>121</v>
      </c>
      <c r="G15" t="s">
        <v>115</v>
      </c>
    </row>
    <row r="16" spans="1:7" x14ac:dyDescent="0.2">
      <c r="A16" s="4" t="s">
        <v>38</v>
      </c>
      <c r="B16">
        <v>15</v>
      </c>
      <c r="C16" t="s">
        <v>50</v>
      </c>
      <c r="D16" t="s">
        <v>125</v>
      </c>
      <c r="G16" t="s">
        <v>115</v>
      </c>
    </row>
    <row r="17" spans="1:7" x14ac:dyDescent="0.2">
      <c r="A17" s="4" t="s">
        <v>38</v>
      </c>
      <c r="B17">
        <v>16</v>
      </c>
      <c r="C17" t="s">
        <v>52</v>
      </c>
      <c r="E17" t="s">
        <v>122</v>
      </c>
      <c r="G17" t="s">
        <v>115</v>
      </c>
    </row>
    <row r="18" spans="1:7" x14ac:dyDescent="0.2">
      <c r="A18" s="4" t="s">
        <v>38</v>
      </c>
      <c r="B18">
        <v>17</v>
      </c>
      <c r="C18" t="s">
        <v>50</v>
      </c>
      <c r="D18" t="s">
        <v>126</v>
      </c>
      <c r="G18" t="s">
        <v>115</v>
      </c>
    </row>
    <row r="19" spans="1:7" x14ac:dyDescent="0.2">
      <c r="A19" s="4" t="s">
        <v>38</v>
      </c>
      <c r="B19">
        <v>18</v>
      </c>
      <c r="C19" t="s">
        <v>52</v>
      </c>
      <c r="E19" t="s">
        <v>123</v>
      </c>
      <c r="G19" t="s">
        <v>115</v>
      </c>
    </row>
    <row r="20" spans="1:7" x14ac:dyDescent="0.2">
      <c r="A20" s="4" t="s">
        <v>38</v>
      </c>
      <c r="B20">
        <v>19</v>
      </c>
      <c r="C20" t="s">
        <v>50</v>
      </c>
      <c r="D20" t="s">
        <v>124</v>
      </c>
      <c r="G20" t="s">
        <v>115</v>
      </c>
    </row>
    <row r="21" spans="1:7" x14ac:dyDescent="0.2">
      <c r="A21" s="4" t="s">
        <v>38</v>
      </c>
      <c r="B21">
        <v>20</v>
      </c>
      <c r="C21" t="s">
        <v>52</v>
      </c>
      <c r="E21" t="s">
        <v>119</v>
      </c>
      <c r="G21" t="s">
        <v>115</v>
      </c>
    </row>
    <row r="22" spans="1:7" x14ac:dyDescent="0.2">
      <c r="A22" s="4" t="s">
        <v>38</v>
      </c>
      <c r="B22">
        <v>21</v>
      </c>
      <c r="C22" t="s">
        <v>50</v>
      </c>
      <c r="D22" t="s">
        <v>124</v>
      </c>
      <c r="G22" t="s">
        <v>115</v>
      </c>
    </row>
    <row r="23" spans="1:7" x14ac:dyDescent="0.2">
      <c r="A23" s="4" t="s">
        <v>38</v>
      </c>
      <c r="B23">
        <v>22</v>
      </c>
      <c r="C23" t="s">
        <v>52</v>
      </c>
      <c r="E23" t="s">
        <v>120</v>
      </c>
      <c r="G23" t="s">
        <v>115</v>
      </c>
    </row>
    <row r="24" spans="1:7" x14ac:dyDescent="0.2">
      <c r="A24" s="4" t="s">
        <v>38</v>
      </c>
      <c r="B24">
        <v>23</v>
      </c>
      <c r="C24" t="s">
        <v>50</v>
      </c>
      <c r="D24" t="s">
        <v>124</v>
      </c>
      <c r="G24" t="s">
        <v>115</v>
      </c>
    </row>
    <row r="25" spans="1:7" x14ac:dyDescent="0.2">
      <c r="A25" s="4" t="s">
        <v>38</v>
      </c>
      <c r="B25">
        <v>24</v>
      </c>
      <c r="C25" t="s">
        <v>19</v>
      </c>
      <c r="D25" t="s">
        <v>130</v>
      </c>
      <c r="G25" t="s">
        <v>116</v>
      </c>
    </row>
    <row r="26" spans="1:7" x14ac:dyDescent="0.2">
      <c r="A26" s="4" t="s">
        <v>38</v>
      </c>
      <c r="B26">
        <v>25</v>
      </c>
      <c r="C26" t="s">
        <v>52</v>
      </c>
      <c r="E26" t="s">
        <v>128</v>
      </c>
      <c r="G26" t="s">
        <v>116</v>
      </c>
    </row>
    <row r="27" spans="1:7" x14ac:dyDescent="0.2">
      <c r="A27" s="4" t="s">
        <v>38</v>
      </c>
      <c r="B27">
        <v>26</v>
      </c>
      <c r="C27" t="s">
        <v>52</v>
      </c>
      <c r="E27" t="s">
        <v>131</v>
      </c>
      <c r="G27" t="s">
        <v>116</v>
      </c>
    </row>
    <row r="28" spans="1:7" x14ac:dyDescent="0.2">
      <c r="A28" s="4" t="s">
        <v>38</v>
      </c>
      <c r="B28">
        <v>27</v>
      </c>
      <c r="C28" t="s">
        <v>52</v>
      </c>
      <c r="E28" t="s">
        <v>132</v>
      </c>
      <c r="G28" t="s">
        <v>116</v>
      </c>
    </row>
    <row r="29" spans="1:7" x14ac:dyDescent="0.2">
      <c r="A29" s="4" t="s">
        <v>38</v>
      </c>
      <c r="B29">
        <v>28</v>
      </c>
      <c r="C29" t="s">
        <v>19</v>
      </c>
      <c r="D29" t="s">
        <v>118</v>
      </c>
      <c r="G29" t="s">
        <v>127</v>
      </c>
    </row>
    <row r="30" spans="1:7" x14ac:dyDescent="0.2">
      <c r="A30" s="4" t="s">
        <v>38</v>
      </c>
      <c r="B30">
        <v>29</v>
      </c>
      <c r="C30" t="s">
        <v>52</v>
      </c>
      <c r="E30" t="s">
        <v>101</v>
      </c>
      <c r="G30" t="s">
        <v>127</v>
      </c>
    </row>
    <row r="31" spans="1:7" x14ac:dyDescent="0.2">
      <c r="A31" s="4" t="s">
        <v>38</v>
      </c>
      <c r="B31">
        <v>30</v>
      </c>
      <c r="C31" t="s">
        <v>52</v>
      </c>
      <c r="E31" t="s">
        <v>129</v>
      </c>
      <c r="G31" t="s">
        <v>127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pages</vt:lpstr>
      <vt:lpstr>landing_cards</vt:lpstr>
      <vt:lpstr>formula_blocks</vt:lpstr>
      <vt:lpstr>slot_content</vt:lpstr>
      <vt:lpstr>tables</vt:lpstr>
      <vt:lpstr>glyphlines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Kutschka, Markus</dc:creator>
  <cp:lastModifiedBy>Kutschka, Markus</cp:lastModifiedBy>
  <dcterms:created xsi:type="dcterms:W3CDTF">2026-02-21T09:04:06Z</dcterms:created>
  <dcterms:modified xsi:type="dcterms:W3CDTF">2026-02-24T15:33:25Z</dcterms:modified>
</cp:coreProperties>
</file>