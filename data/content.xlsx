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EB992A9E-A7CD-8D47-8644-ABE40EEF4031}" xr6:coauthVersionLast="47" xr6:coauthVersionMax="47" xr10:uidLastSave="{00000000-0000-0000-0000-000000000000}"/>
  <bookViews>
    <workbookView xWindow="-23400" yWindow="500" windowWidth="21640" windowHeight="1750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91" i="4" l="1"/>
  <c r="L1087" i="4"/>
  <c r="L1079" i="4"/>
  <c r="L387" i="4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<sst xmlns="http://schemas.openxmlformats.org/spreadsheetml/2006/main" count="5889" uniqueCount="1366">
  <si>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</si>
  <si>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</si>
  <si>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</si>
  <si>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</si>
  <si>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</si>
  <si>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</si>
  <si>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</si>
  <si>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</si>
  <si>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</si>
  <si>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</si>
  <si>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</si>
  <si>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</si>
  <si>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</si>
  <si>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</si>
  <si>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</si>
  <si>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</si>
  <si>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</si>
  <si>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</si>
  <si>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</si>
  <si>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</si>
  <si>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</si>
  <si>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</si>
  <si>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</si>
  <si>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</si>
  <si>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</si>
  <si>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</si>
  <si>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</si>
  <si>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</si>
  <si>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</si>
  <si>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</si>
  <si>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</si>
  <si>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</si>
  <si>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</si>
  <si>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</si>
  <si>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</si>
  <si>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</si>
  <si>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</si>
  <si>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</si>
  <si>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</si>
  <si>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</si>
  <si>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</si>
  <si>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</si>
  <si>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</si>
  <si>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</si>
  <si>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</si>
  <si>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</si>
  <si>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</si>
  <si>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</si>
  <si>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</si>
  <si>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</si>
  <si>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</si>
  <si>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</si>
  <si>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</si>
  <si>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</si>
  <si>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</si>
  <si>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</si>
  <si>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</si>
  <si>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</si>
  <si>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</si>
  <si>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</si>
  <si>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</si>
  <si>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</si>
  <si>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</si>
  <si>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</si>
  <si>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</si>
  <si>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</si>
  <si>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</si>
  <si>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</si>
  <si>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</si>
  <si>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</si>
  <si>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</si>
  <si>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</si>
  <si>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</si>
  <si>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</si>
  <si>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</si>
  <si>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</si>
  <si>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</si>
  <si>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</si>
  <si>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</si>
  <si>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</si>
  <si>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</si>
  <si>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</si>
  <si>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</si>
  <si>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</si>
  <si>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</si>
  <si>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</si>
  <si>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</si>
  <si>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</si>
  <si>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</si>
  <si>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</si>
  <si>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</si>
  <si>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</si>
  <si>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</si>
  <si>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</si>
  <si>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</si>
  <si>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</si>
  <si>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</si>
  <si>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</si>
  <si>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</si>
  <si>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</si>
  <si>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</si>
  <si>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</si>
  <si>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</si>
  <si>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</si>
  <si>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</si>
  <si>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</si>
  <si>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</si>
  <si>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</si>
  <si>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</si>
  <si>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</si>
  <si>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</si>
  <si>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</si>
  <si>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</si>
  <si>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</si>
  <si>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</si>
  <si>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</si>
  <si>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</si>
  <si>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</si>
  <si>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</si>
  <si>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</si>
  <si>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</si>
  <si>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</si>
  <si>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</si>
  <si>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</si>
  <si>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</si>
  <si>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</si>
  <si>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</si>
  <si>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</si>
  <si>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</si>
  <si>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</si>
  <si>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</si>
  <si>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</si>
  <si>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</si>
  <si>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</si>
  <si>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</si>
  <si>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</si>
  <si>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</si>
  <si>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</si>
  <si>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</si>
  <si>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</si>
  <si>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</si>
  <si>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</si>
  <si>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</si>
  <si>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</si>
  <si>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</si>
  <si>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</si>
  <si>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</si>
  <si>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</si>
  <si>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</si>
  <si>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</si>
  <si>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</si>
  <si>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</si>
  <si>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</si>
  <si>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</si>
  <si>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</si>
  <si>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</si>
  <si>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</si>
  <si>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</si>
  <si>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</si>
  <si>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</si>
  <si>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</si>
  <si>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</si>
  <si>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</si>
  <si>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</si>
  <si>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</si>
  <si>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</si>
  <si>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</si>
  <si>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</si>
  <si>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</si>
  <si>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</si>
  <si>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</si>
  <si>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</si>
  <si>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</si>
  <si>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</si>
  <si>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</si>
  <si>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</si>
  <si>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</si>
  <si>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</si>
  <si>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</si>
  <si>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</si>
  <si>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</si>
  <si>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</si>
  <si>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</si>
  <si>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</si>
  <si>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</si>
  <si>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</si>
  <si>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</si>
  <si>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</si>
  <si>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</si>
  <si>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</si>
  <si>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</si>
  <si>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</si>
  <si>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</si>
  <si>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</si>
  <si>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</si>
  <si>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</si>
  <si>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</si>
  <si>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</si>
  <si>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</si>
  <si>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</si>
  <si>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</si>
  <si>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</si>
  <si>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</si>
  <si>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</si>
  <si>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</si>
  <si>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</si>
  <si>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</si>
  <si>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</si>
  <si>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</si>
  <si>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</si>
  <si>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</si>
  <si>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</si>
  <si>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</si>
  <si>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</si>
  <si>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</si>
  <si>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</si>
  <si>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</si>
  <si>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</si>
  <si>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</si>
  <si>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</si>
  <si>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</si>
  <si>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</si>
  <si>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</si>
  <si>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</si>
  <si>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</si>
  <si>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</si>
  <si>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</si>
  <si>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</si>
  <si>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</si>
  <si>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</si>
  <si>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</si>
  <si>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</si>
  <si>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</si>
  <si>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</si>
  <si>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</si>
  <si>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</si>
  <si>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</si>
  <si>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</si>
  <si>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</si>
  <si>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</si>
  <si>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</si>
  <si>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</si>
  <si>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</si>
  <si>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</si>
  <si>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</si>
  <si>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</si>
  <si>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</si>
  <si>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</si>
  <si>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</si>
  <si>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</si>
  <si>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</si>
  <si>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</si>
  <si>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</si>
  <si>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</si>
  <si>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</si>
  <si>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</si>
  <si>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</si>
  <si>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</si>
  <si>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</si>
  <si>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</si>
  <si>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</si>
  <si>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</si>
  <si>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</si>
  <si>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</si>
  <si>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</si>
  <si>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</si>
  <si>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</si>
  <si>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</si>
  <si>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</si>
  <si>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</si>
  <si>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</si>
  <si>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</si>
  <si>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</si>
  <si>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</si>
  <si>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</si>
  <si>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</si>
  <si>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</si>
  <si>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</si>
  <si>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</si>
  <si>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</si>
  <si>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</si>
  <si>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</si>
  <si>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</si>
  <si>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</si>
  <si>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</si>
  <si>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</si>
  <si>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</si>
  <si>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</si>
  <si>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</si>
  <si>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</si>
  <si>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</si>
  <si>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</si>
  <si>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</si>
  <si>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</si>
  <si>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</si>
  <si>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</si>
  <si>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</si>
  <si>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</si>
  <si>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</si>
  <si>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</si>
  <si>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</si>
  <si>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</si>
  <si>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</si>
  <si>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</si>
  <si>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</si>
  <si>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</si>
  <si>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</si>
  <si>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</si>
  <si>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</si>
  <si>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</si>
  <si>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</si>
  <si>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</si>
  <si>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</si>
  <si>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</si>
  <si>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</si>
  <si>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</si>
  <si>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</si>
  <si>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</si>
  <si>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</si>
  <si>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</si>
  <si>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</si>
  <si>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</si>
  <si>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</si>
  <si>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</si>
  <si>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</si>
  <si>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</si>
  <si>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</si>
  <si>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</si>
  <si>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</si>
  <si>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</si>
  <si>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</si>
  <si>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</si>
  <si>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</si>
  <si>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</si>
  <si>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</si>
  <si>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</si>
  <si>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</si>
  <si>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</si>
  <si>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</si>
  <si>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</si>
  <si>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</si>
  <si>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</si>
  <si>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</si>
  <si>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</si>
  <si>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</si>
  <si>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</si>
  <si>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</si>
  <si>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</si>
  <si>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</si>
  <si>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</si>
  <si>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</si>
  <si>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</si>
  <si>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</si>
  <si>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</si>
  <si>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</si>
  <si>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</si>
  <si>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</si>
  <si>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</si>
  <si>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</si>
  <si>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</si>
  <si>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</si>
  <si>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</si>
  <si>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</si>
  <si>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</si>
  <si>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</si>
  <si>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</si>
  <si>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</si>
  <si>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</si>
  <si>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</si>
  <si>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</si>
  <si>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</si>
  <si>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</si>
  <si>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</si>
  <si>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</si>
  <si>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</si>
  <si>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</si>
  <si>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</si>
  <si>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</si>
  <si>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</si>
  <si>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</si>
  <si>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</si>
  <si>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</si>
  <si>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</si>
  <si>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</si>
  <si>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</si>
  <si>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</si>
  <si>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</si>
  <si>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</si>
  <si>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</si>
  <si>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</si>
  <si>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</si>
  <si>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</si>
  <si>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</si>
  <si>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</si>
  <si>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</si>
  <si>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</si>
  <si>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</si>
  <si>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</si>
  <si>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</si>
  <si>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</si>
  <si>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</si>
  <si>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</si>
  <si>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</si>
  <si>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</si>
  <si>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</si>
  <si>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</si>
  <si>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</si>
  <si>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</si>
  <si>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</si>
  <si>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</si>
  <si>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</si>
  <si>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</si>
  <si>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</si>
  <si>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</si>
  <si>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</si>
  <si>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</si>
  <si>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</si>
  <si>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</si>
  <si>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</si>
  <si>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</si>
  <si>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</si>
  <si>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</si>
  <si>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</si>
  <si>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</si>
  <si>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</si>
  <si>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</si>
  <si>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</si>
  <si>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</si>
  <si>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</si>
  <si>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</si>
  <si>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</si>
  <si>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</si>
  <si>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</si>
  <si>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</si>
  <si>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</si>
  <si>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</si>
  <si>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</si>
  <si>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</si>
  <si>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</si>
  <si>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</si>
  <si>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</si>
  <si>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</si>
  <si>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</si>
  <si>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</si>
  <si>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</si>
  <si>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</si>
  <si>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</si>
  <si>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</si>
  <si>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</si>
  <si>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</si>
  <si>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</si>
  <si>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</si>
  <si>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</si>
  <si>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</si>
  <si>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</si>
  <si>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</si>
  <si>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</si>
  <si>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</si>
  <si>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</si>
  <si>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</si>
  <si>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</si>
  <si>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</si>
  <si>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</si>
  <si>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</si>
  <si>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</si>
  <si>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</si>
  <si>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</si>
  <si>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</si>
  <si>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</si>
  <si>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</si>
  <si>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</si>
  <si>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</si>
  <si>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</si>
  <si>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</si>
  <si>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</si>
  <si>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</si>
  <si>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</si>
  <si>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</si>
  <si>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</si>
  <si>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</si>
  <si>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</si>
  <si>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</si>
  <si>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</si>
  <si>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</si>
  <si>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</si>
  <si>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</si>
  <si>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</si>
  <si>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</si>
  <si>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</si>
  <si>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</si>
  <si>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</si>
  <si>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</si>
  <si>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</si>
  <si>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</si>
  <si>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</si>
  <si>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</si>
  <si>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</si>
  <si>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</si>
  <si>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</si>
  <si>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</si>
  <si>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</si>
  <si>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</si>
  <si>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</si>
  <si>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</si>
  <si>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</si>
  <si>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</si>
  <si>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</si>
  <si>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</si>
  <si>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</si>
  <si>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</si>
  <si>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</si>
  <si>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</si>
  <si>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</si>
  <si>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</si>
  <si>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</si>
  <si>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</si>
  <si>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</si>
  <si>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</si>
  <si>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</si>
  <si>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</si>
  <si>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</si>
  <si>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</si>
  <si>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</si>
  <si>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</si>
  <si>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</si>
  <si>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</si>
  <si>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</si>
  <si>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</si>
  <si>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</si>
  <si>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</si>
  <si>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</si>
  <si>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</si>
  <si>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</si>
  <si>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</si>
  <si>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</si>
  <si>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</si>
  <si>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</si>
  <si>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</si>
  <si>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</si>
  <si>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</si>
  <si>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</si>
  <si>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</si>
  <si>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</si>
  <si>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</si>
  <si>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</si>
  <si>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</si>
  <si>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</si>
  <si>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</si>
  <si>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</si>
  <si>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</si>
  <si>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</si>
  <si>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</si>
  <si>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</si>
  <si>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</si>
  <si>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</si>
  <si>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</si>
  <si>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</si>
  <si>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</si>
  <si>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</si>
  <si>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</si>
  <si>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</si>
  <si>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</si>
  <si>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</si>
  <si>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</si>
  <si>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</si>
  <si>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</si>
  <si>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</si>
  <si>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</si>
  <si>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</si>
  <si>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</si>
  <si>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</si>
  <si>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</si>
  <si>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</si>
  <si>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</si>
  <si>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</si>
  <si>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</si>
  <si>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</si>
  <si>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</si>
  <si>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</si>
  <si>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</si>
  <si>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</si>
  <si>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</si>
  <si>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</si>
  <si>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</si>
  <si>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</si>
  <si>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</si>
  <si>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</si>
  <si>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</si>
  <si>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</si>
  <si>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</si>
  <si>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</si>
  <si>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</si>
  <si>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</si>
  <si>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</si>
  <si>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</si>
  <si>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</si>
  <si>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</si>
  <si>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</si>
  <si>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</si>
  <si>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</si>
  <si>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</si>
  <si>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</si>
  <si>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</si>
  <si>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</si>
  <si>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</si>
  <si>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</si>
  <si>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</si>
  <si>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</si>
  <si>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</si>
  <si>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</si>
  <si>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</si>
  <si>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</si>
  <si>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</si>
  <si>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</si>
  <si>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</si>
  <si>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</si>
  <si>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</si>
  <si>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</si>
  <si>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</si>
  <si>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</si>
  <si>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</si>
  <si>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</si>
  <si>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</si>
  <si>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</si>
  <si>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</si>
  <si>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</si>
  <si>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</si>
  <si>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</si>
  <si>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</si>
  <si>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</si>
  <si>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</si>
  <si>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</si>
  <si>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</si>
  <si>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</si>
  <si>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</si>
  <si>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</si>
  <si>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</si>
  <si>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</si>
  <si>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</si>
  <si>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</si>
  <si>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</si>
  <si>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</si>
  <si>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</si>
  <si>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</si>
  <si>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</si>
  <si>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</si>
  <si>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</si>
  <si>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</si>
  <si>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</si>
  <si>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</si>
  <si>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</si>
  <si>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</si>
  <si>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</si>
  <si>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</si>
  <si>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</si>
  <si>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</si>
  <si>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</si>
  <si>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</si>
  <si>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</si>
  <si>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</si>
  <si>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</si>
  <si>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</si>
  <si>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</si>
  <si>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</si>
  <si>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</si>
  <si>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</si>
  <si>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</si>
  <si>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</si>
  <si>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</si>
  <si>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</si>
  <si>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</si>
  <si>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</si>
  <si>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</si>
  <si>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</si>
  <si>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</si>
  <si>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</si>
  <si>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</si>
  <si>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</si>
  <si>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</si>
  <si>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</si>
  <si>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</si>
  <si>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</si>
  <si>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</si>
  <si>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</si>
  <si>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</si>
  <si>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</si>
  <si>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</si>
  <si>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</si>
  <si>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</si>
  <si>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</si>
  <si>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</si>
  <si>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</si>
  <si>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</si>
  <si>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</si>
  <si>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</si>
  <si>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</si>
  <si>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</si>
  <si>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</si>
  <si>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</si>
  <si>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</si>
  <si>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</si>
  <si>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</si>
  <si>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</si>
  <si>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</si>
  <si>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</si>
  <si>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</si>
  <si>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</si>
  <si>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</si>
  <si>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</si>
  <si>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</si>
  <si>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</si>
  <si>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</si>
  <si>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</si>
  <si>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</si>
  <si>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</si>
  <si>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</si>
  <si>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</si>
  <si>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</si>
  <si>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</si>
  <si>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</si>
  <si>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</si>
  <si>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</si>
  <si>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</si>
  <si>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</si>
  <si>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</si>
  <si>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</si>
  <si>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</si>
  <si>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</si>
  <si>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</si>
  <si>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</si>
  <si>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</si>
  <si>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</si>
  <si>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</si>
  <si>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</si>
  <si>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</si>
  <si>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</si>
  <si>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</si>
  <si>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</si>
  <si>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</si>
  <si>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</si>
  <si>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</si>
  <si>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</si>
  <si>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</si>
  <si>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</si>
  <si>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</si>
  <si>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</si>
  <si>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</si>
  <si>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</si>
  <si>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</si>
  <si>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</si>
  <si>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</si>
  <si>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</si>
  <si>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</si>
  <si>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</si>
  <si>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</si>
  <si>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</si>
  <si>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</si>
  <si>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</si>
  <si>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</si>
  <si>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</si>
  <si>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</si>
  <si>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</si>
  <si>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</si>
  <si>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</si>
  <si>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</si>
  <si>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</si>
  <si>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</si>
  <si>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</si>
  <si>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</si>
  <si>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</si>
  <si>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</si>
  <si>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</si>
  <si>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</si>
  <si>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</si>
  <si>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</si>
  <si>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</si>
  <si>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</si>
  <si>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</si>
  <si>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</si>
  <si>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</si>
  <si>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</si>
  <si>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</si>
  <si>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</si>
  <si>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</si>
  <si>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</si>
  <si>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</si>
  <si>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</si>
  <si>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</si>
  <si>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</si>
  <si>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</si>
  <si>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</si>
  <si>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</si>
  <si>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</si>
  <si>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</si>
  <si>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</si>
  <si>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</si>
  <si>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</si>
  <si>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</si>
  <si>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</si>
  <si>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</si>
  <si>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</si>
  <si>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</si>
  <si>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</si>
  <si>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</si>
  <si>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</si>
  <si>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</si>
  <si>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</si>
  <si>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</si>
  <si>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</si>
  <si>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</si>
  <si>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</si>
  <si>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</si>
  <si>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</si>
  <si>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</si>
  <si>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</si>
  <si>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</si>
  <si>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</si>
  <si>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</si>
  <si>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</si>
  <si>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</si>
  <si>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</si>
  <si>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</si>
  <si>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</si>
  <si>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</si>
  <si>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</si>
  <si>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</si>
  <si>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</si>
  <si>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</si>
  <si>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</si>
  <si>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</si>
  <si>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</si>
  <si>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</si>
  <si>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</si>
  <si>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</si>
  <si>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</si>
  <si>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</si>
  <si>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</si>
  <si>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</si>
  <si>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</si>
  <si>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</si>
  <si>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</si>
  <si>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</si>
  <si>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</si>
  <si>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</si>
  <si>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</si>
  <si>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</si>
  <si>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</si>
  <si>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</si>
  <si>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</si>
  <si>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</si>
  <si>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</si>
  <si>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</si>
  <si>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</si>
  <si>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</si>
  <si>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</si>
  <si>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</si>
  <si>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</si>
  <si>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</si>
  <si>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</si>
  <si>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</si>
  <si>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</si>
  <si>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</si>
  <si>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</si>
  <si>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</si>
  <si>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</si>
  <si>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</si>
  <si>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</si>
  <si>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</si>
  <si>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</si>
  <si>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</si>
  <si>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</si>
  <si>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</si>
  <si>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</si>
  <si>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</si>
  <si>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</si>
  <si>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</si>
  <si>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</si>
  <si>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</si>
  <si>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</si>
  <si>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</si>
  <si>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</si>
  <si>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</si>
  <si>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</si>
  <si>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</si>
  <si>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</si>
  <si>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</si>
  <si>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</si>
  <si>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</si>
  <si>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</si>
  <si>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</si>
  <si>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</si>
  <si>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</si>
  <si>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</si>
  <si>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</si>
  <si>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</si>
  <si>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</si>
  <si>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</si>
  <si>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</si>
  <si>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</si>
  <si>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</si>
  <si>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</si>
  <si>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</si>
  <si>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</si>
  <si>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</si>
  <si>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</si>
  <si>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</si>
  <si>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</si>
  <si>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</si>
  <si>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</si>
  <si>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</si>
  <si>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</si>
  <si>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</si>
  <si>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</si>
  <si>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</si>
  <si>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</si>
  <si>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</si>
  <si>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</si>
  <si>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</si>
  <si>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</si>
  <si>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</si>
  <si>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</si>
  <si>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</si>
  <si>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</si>
  <si>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</si>
  <si>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</si>
  <si>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</si>
  <si>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</si>
  <si>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</si>
  <si>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</si>
  <si>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</si>
  <si>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</si>
  <si>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</si>
  <si>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</si>
  <si>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</si>
  <si>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</si>
  <si>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</si>
  <si>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</si>
  <si>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</si>
  <si>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</si>
  <si>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</si>
  <si>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</si>
  <si>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</si>
  <si>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</si>
  <si>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</si>
  <si>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</si>
  <si>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</si>
  <si>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</si>
  <si>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</si>
  <si>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</si>
  <si>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</si>
  <si>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</si>
  <si>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</si>
  <si>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</si>
  <si>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</si>
  <si>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</si>
  <si>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</si>
  <si>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</si>
  <si>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</si>
  <si>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</si>
  <si>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</si>
  <si>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</si>
  <si>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</si>
  <si>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</si>
  <si>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</si>
  <si>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</si>
  <si>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</si>
  <si>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</si>
  <si>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</si>
  <si>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</si>
  <si>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</si>
  <si>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</si>
  <si>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</si>
  <si>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</si>
  <si>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</si>
  <si>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</si>
  <si>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</si>
  <si>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</si>
  <si>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</si>
  <si>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</si>
  <si>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</si>
  <si>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</si>
  <si>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</si>
  <si>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</si>
  <si>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</si>
  <si>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</si>
  <si>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</si>
  <si>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</si>
  <si>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</si>
  <si>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</si>
  <si>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</si>
  <si>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</si>
  <si>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</si>
  <si>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</si>
  <si>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</si>
  <si>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</si>
  <si>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</si>
  <si>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</si>
  <si>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</si>
  <si>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</si>
  <si>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</si>
  <si>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</si>
  <si>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</si>
  <si>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</si>
  <si>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</si>
  <si>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</si>
  <si>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</si>
  <si>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</si>
  <si>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</si>
  <si>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</si>
  <si>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</si>
  <si>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</si>
  <si>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</si>
  <si>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</si>
  <si>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</si>
  <si>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</si>
  <si>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</si>
  <si>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</si>
  <si>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</si>
  <si>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</si>
  <si>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</si>
  <si>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</si>
  <si>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</si>
  <si>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</si>
  <si>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</si>
  <si>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</si>
  <si>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</si>
  <si>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</si>
  <si>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</si>
  <si>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</si>
  <si>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</si>
  <si>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</si>
  <si>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</si>
  <si>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</si>
  <si>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</si>
  <si>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</si>
  <si>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</si>
  <si>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</si>
  <si>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</si>
  <si>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</si>
  <si>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</si>
  <si>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</si>
  <si>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</si>
  <si>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</si>
  <si>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</si>
  <si>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</si>
  <si>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</si>
  <si>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</si>
  <si>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</si>
  <si>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</si>
  <si>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</si>
  <si>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</si>
  <si>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</si>
  <si>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</si>
  <si>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</si>
  <si>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</si>
  <si>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</si>
  <si>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</si>
  <si>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</si>
  <si>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</si>
  <si>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</si>
  <si>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</si>
  <si>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</si>
  <si>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</si>
  <si>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</si>
  <si>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</si>
  <si>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</si>
  <si>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</si>
  <si>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</si>
  <si>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</si>
  <si>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</si>
  <si>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</si>
  <si>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</si>
  <si>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</si>
  <si>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</si>
  <si>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</si>
  <si>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</si>
  <si>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</si>
  <si>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</si>
  <si>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</si>
  <si>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</si>
  <si>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</si>
  <si>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</si>
  <si>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</si>
  <si>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</si>
  <si>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</si>
  <si>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</si>
  <si>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</si>
  <si>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</si>
  <si>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</si>
  <si>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</si>
  <si>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</si>
  <si>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</si>
  <si>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</si>
  <si>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</si>
  <si>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</si>
  <si>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</si>
  <si>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</si>
  <si>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</si>
  <si>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</si>
  <si>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</si>
  <si>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</si>
  <si>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</si>
  <si>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</si>
  <si>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</si>
  <si>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</si>
  <si>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</si>
  <si>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</si>
  <si>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</si>
  <si>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</si>
  <si>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</si>
  <si>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</si>
  <si>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</si>
  <si>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</si>
  <si>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</si>
  <si>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</si>
  <si>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</si>
  <si>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</si>
  <si>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</si>
  <si>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</si>
  <si>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</si>
  <si>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</si>
  <si>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</si>
  <si>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</si>
  <si>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</si>
  <si>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</si>
  <si>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</si>
  <si>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</si>
  <si>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</si>
  <si>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</si>
  <si>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</si>
  <si>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</si>
  <si>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</si>
  <si>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</si>
  <si>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</si>
  <si>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</si>
  <si>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</si>
  <si>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</si>
  <si>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</si>
  <si>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</si>
  <si>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</si>
  <si>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</si>
  <si>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</si>
  <si>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</si>
  <si>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</si>
  <si>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</si>
  <si>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</si>
  <si>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</si>
  <si>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</si>
  <si>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</si>
  <si>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</si>
  <si>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</si>
  <si>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</si>
  <si>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</si>
  <si>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</si>
  <si>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</si>
  <si>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</si>
  <si>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</si>
  <si>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</si>
  <si>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</si>
  <si>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</si>
  <si>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</si>
  <si>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</si>
  <si>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</si>
  <si>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</si>
  <si>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</si>
  <si>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</si>
  <si>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</si>
  <si>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</si>
  <si>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</si>
  <si>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</si>
  <si>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</si>
  <si>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</si>
  <si>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</si>
  <si>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</si>
  <si>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</si>
  <si>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</si>
  <si>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</si>
  <si>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</si>
  <si>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</si>
  <si>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</si>
  <si>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</si>
  <si>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</si>
  <si>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</si>
  <si>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</si>
  <si>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</si>
  <si>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</si>
  <si>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</si>
  <si>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</si>
  <si>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</si>
  <si>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</si>
  <si>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</si>
  <si>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</si>
  <si>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</si>
  <si>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</si>
  <si>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</si>
  <si>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</si>
  <si>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</si>
  <si>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</si>
  <si>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</si>
  <si>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</si>
  <si>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</si>
  <si>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</si>
  <si>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</si>
  <si>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</si>
  <si>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</si>
  <si>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</si>
  <si>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</si>
  <si>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</si>
  <si>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</si>
  <si>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</si>
  <si>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</si>
  <si>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</si>
  <si>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</si>
  <si>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</si>
  <si>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</si>
  <si>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</si>
  <si>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</si>
  <si>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</si>
  <si>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</si>
  <si>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</si>
  <si>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</si>
  <si>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</si>
  <si>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</si>
  <si>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</si>
  <si>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</si>
  <si>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</si>
  <si>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</si>
  <si>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</si>
  <si>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</si>
  <si>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</si>
  <si>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</si>
  <si>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</si>
  <si>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</si>
  <si>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</si>
  <si>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</si>
  <si>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</si>
  <si>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</si>
  <si>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</si>
  <si>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</si>
  <si>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</si>
  <si>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</si>
  <si>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</si>
  <si>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</si>
  <si>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</si>
  <si>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</si>
  <si>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</si>
  <si>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</si>
  <si>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</si>
  <si>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</si>
  <si>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</si>
  <si>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</si>
  <si>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</si>
  <si>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</si>
  <si>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</si>
  <si>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</si>
  <si>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</si>
  <si>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</si>
  <si>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</si>
  <si>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</si>
  <si>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</si>
  <si>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</si>
  <si>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</si>
  <si>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</si>
  <si>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</si>
  <si>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</si>
  <si>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</si>
  <si>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</si>
  <si>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</si>
  <si>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</si>
  <si>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</si>
  <si>
    <t>Filiationsangabe</t>
  </si>
  <si>
    <t>AR:</t>
  </si>
  <si>
    <t>MR:</t>
  </si>
  <si>
    <t>ab NR:</t>
  </si>
  <si>
    <t>gl_person_filiation_AR</t>
  </si>
  <si>
    <t>gl_person_filiation_MR</t>
  </si>
  <si>
    <t>gl_person_filiation_NR</t>
  </si>
  <si>
    <t>(= Vater)</t>
  </si>
  <si>
    <t>*sꜣ⸗f*</t>
  </si>
  <si>
    <t>(= Sohn)</t>
  </si>
  <si>
    <t>*sꜣ*</t>
  </si>
  <si>
    <t>bei Töchtern: *sꜣ.t* „Tochter“( statt *sꜣ*)</t>
  </si>
  <si>
    <t>bei Müttern im AR: *sꜣ⸗s*</t>
  </si>
  <si>
    <t>seltenHierogl</t>
  </si>
  <si>
    <t>Seltene Hieroglphen</t>
  </si>
  <si>
    <t>pages/seltenHierogl</t>
  </si>
  <si>
    <t>Hieroglyphe</t>
  </si>
  <si>
    <t>tb_seltenHierogl_GardF</t>
  </si>
  <si>
    <t>A – Der Mann und seine Tätigkeiten</t>
  </si>
  <si>
    <t>B – Die Frau und ihre Tätigkeiten</t>
  </si>
  <si>
    <t>C – Gottheiten in Menschengestalt</t>
  </si>
  <si>
    <t>D – Teile des menschlichen Körpers</t>
  </si>
  <si>
    <t>E – Säugetiere</t>
  </si>
  <si>
    <t>F – Teile von Säugetieren</t>
  </si>
  <si>
    <t>G – Vögel</t>
  </si>
  <si>
    <t>H – Teile von Vögeln</t>
  </si>
  <si>
    <t>I – Amphibien und Reptilien</t>
  </si>
  <si>
    <t>K – Fische und Teile von Fischen</t>
  </si>
  <si>
    <t>L – Wirbellose und andere Tiere</t>
  </si>
  <si>
    <t>M – Bäume und andere Pflanzen</t>
  </si>
  <si>
    <t>N – Himmel, Erde und Wasser</t>
  </si>
  <si>
    <t>O – Gebäude und Teile von Gebäuden</t>
  </si>
  <si>
    <t>P – Schiffe und Teile von Schiffen</t>
  </si>
  <si>
    <t>Q – Möbel</t>
  </si>
  <si>
    <t>R – Tempel</t>
  </si>
  <si>
    <t>S – Kronen</t>
  </si>
  <si>
    <t>T – Krieg, Jagd und Schlachterei</t>
  </si>
  <si>
    <t>U – Landwirtschaft und Handwerk</t>
  </si>
  <si>
    <t>V – Seil, Faser, Korb usw.</t>
  </si>
  <si>
    <t>W – Stein- und Tongefäße</t>
  </si>
  <si>
    <t>X – Laibe und Kuchen</t>
  </si>
  <si>
    <t>Y – Schreiben, Spiele und Musik</t>
  </si>
  <si>
    <t>Z – Geometrische Figuren</t>
  </si>
  <si>
    <t>Aa – unklassifizierte Hieroglyphen</t>
  </si>
  <si>
    <t>tb_seltenHierogl_GardA</t>
  </si>
  <si>
    <t>tb_seltenHierogl_GardB</t>
  </si>
  <si>
    <t>tb_seltenHierogl_GardC</t>
  </si>
  <si>
    <t>tb_seltenHierogl_GardD</t>
  </si>
  <si>
    <t>tb_seltenHierogl_GardE</t>
  </si>
  <si>
    <t>tb_seltenHierogl_GardG</t>
  </si>
  <si>
    <t>tb_seltenHierogl_GardH</t>
  </si>
  <si>
    <t>tb_seltenHierogl_GardI</t>
  </si>
  <si>
    <t>tb_seltenHierogl_GardK</t>
  </si>
  <si>
    <t>tb_seltenHierogl_GardL</t>
  </si>
  <si>
    <t>tb_seltenHierogl_GardM</t>
  </si>
  <si>
    <t>tb_seltenHierogl_GardN</t>
  </si>
  <si>
    <t>tb_seltenHierogl_GardO</t>
  </si>
  <si>
    <t>tb_seltenHierogl_GardP</t>
  </si>
  <si>
    <t>tb_seltenHierogl_GardQ</t>
  </si>
  <si>
    <t>tb_seltenHierogl_GardR</t>
  </si>
  <si>
    <t>tb_seltenHierogl_GardS</t>
  </si>
  <si>
    <t>tb_seltenHierogl_GardT</t>
  </si>
  <si>
    <t>tb_seltenHierogl_GardU</t>
  </si>
  <si>
    <t>tb_seltenHierogl_GardV</t>
  </si>
  <si>
    <t>tb_seltenHierogl_GardW</t>
  </si>
  <si>
    <t>tb_seltenHierogl_GardX</t>
  </si>
  <si>
    <t>tb_seltenHierogl_GardY</t>
  </si>
  <si>
    <t>tb_seltenHierogl_GardZ</t>
  </si>
  <si>
    <t>tb_seltenHierogl_GardAa</t>
  </si>
  <si>
    <t>F63_xnty_01</t>
  </si>
  <si>
    <t>03_Hieroglyphen-selten/</t>
  </si>
  <si>
    <t>*ḫnty*</t>
  </si>
  <si>
    <t>vorn befindlich</t>
  </si>
  <si>
    <t>Gardiner-Nr.</t>
  </si>
  <si>
    <t>F63</t>
  </si>
  <si>
    <t>N6B</t>
  </si>
  <si>
    <t>N6B_nsw-bjt_01</t>
  </si>
  <si>
    <t>König von Ober- und Unterägypten</t>
  </si>
  <si>
    <t>N102_jmn_01</t>
  </si>
  <si>
    <t>N102</t>
  </si>
  <si>
    <t>projekt</t>
  </si>
  <si>
    <t>Projekt</t>
  </si>
  <si>
    <t>pages/projekt</t>
  </si>
  <si>
    <t>Version:</t>
  </si>
  <si>
    <t>RStudio 2025.09.1+401 "Cucumberleaf Sunflower" Release (20de356561bd58a6d88927cce948bd076d06e4ca, 2025-09-23) for macOS</t>
  </si>
  <si>
    <t>Mozilla/5.0 (Macintosh; Intel Mac OS X 10_15_7)</t>
  </si>
  <si>
    <t>AppleWebKit/537.36 (KHTML, like Gecko)</t>
  </si>
  <si>
    <t>RStudio/2025.09.1+401</t>
  </si>
  <si>
    <t>Chrome/138.0.7204.185</t>
  </si>
  <si>
    <t>Github:</t>
  </si>
  <si>
    <t>&lt;https://github.com/MarkusKut/Inschriftenschluessel.git&gt;</t>
  </si>
  <si>
    <t>Mitarbeiter:</t>
  </si>
  <si>
    <t>- **Recherche, Datengrundlage:** Iulia Comșa</t>
  </si>
  <si>
    <t>- **Programmierung, Hieroglyphensetzung:** Markus Kutschka</t>
  </si>
  <si>
    <t>Diese Website wurde mit Quarto unter R erstellt:</t>
  </si>
  <si>
    <t>- **Projektleitung:** Prof. Dr. Friedhelm Hoffmann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</si>
</sst>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3" fillId="0" borderId="0" xfId="1" applyFill="1"/>
    <xf numFmtId="0" fontId="0" fillId="0" borderId="0" xfId="0" quotePrefix="1" applyAlignment="1">
      <alignment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rkusKut/Inschriftenschluessel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8"/>
  <sheetViews>
    <sheetView zoomScaleNormal="150" workbookViewId="0">
      <selection activeCell="D18" sqref="D1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  <row r="17" spans="1:6" x14ac:dyDescent="0.2">
      <c r="A17" t="s">
        <v>1283</v>
      </c>
      <c r="B17" t="s">
        <v>14</v>
      </c>
      <c r="C17" t="s">
        <v>1284</v>
      </c>
      <c r="D17" t="s">
        <v>1285</v>
      </c>
      <c r="F17">
        <v>160</v>
      </c>
    </row>
    <row r="18" spans="1:6" x14ac:dyDescent="0.2">
      <c r="A18" t="s">
        <v>1350</v>
      </c>
      <c r="B18" t="s">
        <v>14</v>
      </c>
      <c r="C18" t="s">
        <v>1351</v>
      </c>
      <c r="D18" t="s">
        <v>1352</v>
      </c>
      <c r="F18">
        <v>170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C31" sqref="C3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98"/>
  <sheetViews>
    <sheetView tabSelected="1" topLeftCell="D1" zoomScale="125" workbookViewId="0">
      <selection activeCell="G9" sqref="G9"/>
    </sheetView>
  </sheetViews>
  <sheetFormatPr baseColWidth="10" defaultColWidth="7.6640625" defaultRowHeight="16" x14ac:dyDescent="0.2"/>
  <cols>
    <col min="1" max="1" width="12" style="4" bestFit="1" customWidth="1"/>
    <col min="2" max="2" width="11.1640625" style="4" customWidth="1"/>
    <col min="3" max="3" width="7.33203125" style="4" bestFit="1" customWidth="1"/>
    <col min="4" max="4" width="30.1640625" style="4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26</v>
      </c>
      <c r="C18" s="4" t="s">
        <v>55</v>
      </c>
      <c r="E18" s="2" t="s">
        <v>422</v>
      </c>
      <c r="G18" s="4" t="s">
        <v>54</v>
      </c>
      <c r="I18" s="5"/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G19" s="4" t="s">
        <v>54</v>
      </c>
      <c r="I19" s="5" t="s">
        <v>1090</v>
      </c>
      <c r="J19" s="5"/>
      <c r="K19" s="4">
        <v>7</v>
      </c>
    </row>
    <row r="20" spans="1:11" ht="34" x14ac:dyDescent="0.2">
      <c r="A20" s="4" t="s">
        <v>77</v>
      </c>
      <c r="B20" s="4" t="s">
        <v>26</v>
      </c>
      <c r="C20" s="4" t="s">
        <v>55</v>
      </c>
      <c r="E20" s="2" t="s">
        <v>427</v>
      </c>
      <c r="G20" s="4" t="s">
        <v>54</v>
      </c>
      <c r="I20" s="5"/>
      <c r="J20" s="5"/>
      <c r="K20" s="4">
        <v>8</v>
      </c>
    </row>
    <row r="21" spans="1:11" ht="34" x14ac:dyDescent="0.2">
      <c r="A21" s="4" t="s">
        <v>77</v>
      </c>
      <c r="B21" s="4" t="s">
        <v>24</v>
      </c>
      <c r="C21" s="4" t="s">
        <v>55</v>
      </c>
      <c r="G21" s="4" t="s">
        <v>54</v>
      </c>
      <c r="I21" s="5" t="s">
        <v>1091</v>
      </c>
      <c r="J21" s="5"/>
      <c r="K21" s="4">
        <v>9</v>
      </c>
    </row>
    <row r="22" spans="1:11" ht="34" x14ac:dyDescent="0.2">
      <c r="A22" s="4" t="s">
        <v>77</v>
      </c>
      <c r="B22" s="4" t="s">
        <v>28</v>
      </c>
      <c r="C22" s="4" t="s">
        <v>55</v>
      </c>
      <c r="D22" s="4" t="s">
        <v>1164</v>
      </c>
      <c r="F22" s="4" t="s">
        <v>431</v>
      </c>
      <c r="G22" s="4" t="s">
        <v>54</v>
      </c>
      <c r="J22" s="2" t="s">
        <v>1097</v>
      </c>
      <c r="K22" s="4">
        <v>10</v>
      </c>
    </row>
    <row r="23" spans="1:11" ht="51" x14ac:dyDescent="0.2">
      <c r="A23" s="4" t="s">
        <v>77</v>
      </c>
      <c r="B23" s="4" t="s">
        <v>28</v>
      </c>
      <c r="C23" s="4" t="s">
        <v>55</v>
      </c>
      <c r="D23" s="4" t="s">
        <v>1165</v>
      </c>
      <c r="F23" s="4" t="s">
        <v>439</v>
      </c>
      <c r="G23" s="4" t="s">
        <v>54</v>
      </c>
      <c r="J23" s="2" t="s">
        <v>1099</v>
      </c>
      <c r="K23" s="4">
        <v>11</v>
      </c>
    </row>
    <row r="24" spans="1:11" x14ac:dyDescent="0.2">
      <c r="A24" s="4" t="s">
        <v>77</v>
      </c>
      <c r="B24" s="4" t="s">
        <v>26</v>
      </c>
      <c r="C24" s="4" t="s">
        <v>55</v>
      </c>
      <c r="D24" s="4" t="s">
        <v>1270</v>
      </c>
      <c r="G24" s="4" t="s">
        <v>54</v>
      </c>
      <c r="K24" s="4">
        <v>12</v>
      </c>
    </row>
    <row r="25" spans="1:11" x14ac:dyDescent="0.2">
      <c r="A25" s="4" t="s">
        <v>77</v>
      </c>
      <c r="B25" s="4" t="s">
        <v>26</v>
      </c>
      <c r="C25" s="4" t="s">
        <v>55</v>
      </c>
      <c r="E25" s="4" t="s">
        <v>1271</v>
      </c>
      <c r="G25" s="4" t="s">
        <v>54</v>
      </c>
      <c r="K25" s="4">
        <v>13</v>
      </c>
    </row>
    <row r="26" spans="1:11" ht="34" x14ac:dyDescent="0.2">
      <c r="A26" s="4" t="s">
        <v>77</v>
      </c>
      <c r="B26" s="4" t="s">
        <v>24</v>
      </c>
      <c r="C26" s="4" t="s">
        <v>55</v>
      </c>
      <c r="G26" s="4" t="s">
        <v>54</v>
      </c>
      <c r="I26" s="5" t="s">
        <v>1274</v>
      </c>
      <c r="K26" s="4">
        <v>14</v>
      </c>
    </row>
    <row r="27" spans="1:11" x14ac:dyDescent="0.2">
      <c r="A27" s="4" t="s">
        <v>77</v>
      </c>
      <c r="B27" s="4" t="s">
        <v>26</v>
      </c>
      <c r="C27" s="4" t="s">
        <v>55</v>
      </c>
      <c r="E27" s="4" t="s">
        <v>1272</v>
      </c>
      <c r="G27" s="4" t="s">
        <v>54</v>
      </c>
      <c r="K27" s="4">
        <v>15</v>
      </c>
    </row>
    <row r="28" spans="1:11" ht="34" x14ac:dyDescent="0.2">
      <c r="A28" s="4" t="s">
        <v>77</v>
      </c>
      <c r="B28" s="4" t="s">
        <v>24</v>
      </c>
      <c r="C28" s="4" t="s">
        <v>55</v>
      </c>
      <c r="G28" s="4" t="s">
        <v>54</v>
      </c>
      <c r="I28" s="5" t="s">
        <v>1275</v>
      </c>
      <c r="K28" s="4">
        <v>16</v>
      </c>
    </row>
    <row r="29" spans="1:11" x14ac:dyDescent="0.2">
      <c r="A29" s="4" t="s">
        <v>77</v>
      </c>
      <c r="B29" s="4" t="s">
        <v>26</v>
      </c>
      <c r="C29" s="4" t="s">
        <v>55</v>
      </c>
      <c r="E29" s="4" t="s">
        <v>1273</v>
      </c>
      <c r="G29" s="4" t="s">
        <v>54</v>
      </c>
      <c r="K29" s="4">
        <v>17</v>
      </c>
    </row>
    <row r="30" spans="1:11" ht="34" x14ac:dyDescent="0.2">
      <c r="A30" s="4" t="s">
        <v>77</v>
      </c>
      <c r="B30" s="4" t="s">
        <v>24</v>
      </c>
      <c r="C30" s="4" t="s">
        <v>55</v>
      </c>
      <c r="G30" s="4" t="s">
        <v>54</v>
      </c>
      <c r="I30" s="5" t="s">
        <v>1276</v>
      </c>
      <c r="K30" s="4">
        <v>18</v>
      </c>
    </row>
    <row r="31" spans="1:11" ht="17" x14ac:dyDescent="0.2">
      <c r="A31" s="4" t="s">
        <v>77</v>
      </c>
      <c r="B31" s="4" t="s">
        <v>26</v>
      </c>
      <c r="C31" s="4" t="s">
        <v>55</v>
      </c>
      <c r="E31" s="2" t="s">
        <v>1281</v>
      </c>
      <c r="G31" s="4" t="s">
        <v>54</v>
      </c>
      <c r="K31" s="4">
        <v>19</v>
      </c>
    </row>
    <row r="32" spans="1:11" ht="17" x14ac:dyDescent="0.2">
      <c r="A32" s="4" t="s">
        <v>77</v>
      </c>
      <c r="B32" s="4" t="s">
        <v>26</v>
      </c>
      <c r="C32" s="4" t="s">
        <v>55</v>
      </c>
      <c r="E32" s="2" t="s">
        <v>1282</v>
      </c>
      <c r="G32" s="4" t="s">
        <v>54</v>
      </c>
      <c r="K32" s="4">
        <v>20</v>
      </c>
    </row>
    <row r="42" spans="1:11" ht="51" x14ac:dyDescent="0.2">
      <c r="A42" s="4" t="s">
        <v>468</v>
      </c>
      <c r="B42" s="4" t="s">
        <v>28</v>
      </c>
      <c r="C42" s="4" t="s">
        <v>55</v>
      </c>
      <c r="D42" s="4" t="s">
        <v>1166</v>
      </c>
      <c r="F42" s="4" t="s">
        <v>484</v>
      </c>
      <c r="G42" s="4" t="s">
        <v>54</v>
      </c>
      <c r="J42" s="2" t="s">
        <v>1099</v>
      </c>
      <c r="K42" s="4">
        <v>1</v>
      </c>
    </row>
    <row r="43" spans="1:11" ht="51" x14ac:dyDescent="0.2">
      <c r="A43" s="4" t="s">
        <v>468</v>
      </c>
      <c r="B43" s="4" t="s">
        <v>28</v>
      </c>
      <c r="C43" s="4" t="s">
        <v>55</v>
      </c>
      <c r="D43" s="4" t="s">
        <v>1167</v>
      </c>
      <c r="F43" s="4" t="s">
        <v>486</v>
      </c>
      <c r="G43" s="4" t="s">
        <v>54</v>
      </c>
      <c r="J43" s="2" t="s">
        <v>1099</v>
      </c>
      <c r="K43" s="4">
        <v>2</v>
      </c>
    </row>
    <row r="44" spans="1:11" ht="51" x14ac:dyDescent="0.2">
      <c r="A44" s="4" t="s">
        <v>468</v>
      </c>
      <c r="B44" s="4" t="s">
        <v>28</v>
      </c>
      <c r="C44" s="4" t="s">
        <v>55</v>
      </c>
      <c r="D44" s="4" t="s">
        <v>1168</v>
      </c>
      <c r="F44" s="4" t="s">
        <v>487</v>
      </c>
      <c r="G44" s="4" t="s">
        <v>54</v>
      </c>
      <c r="J44" s="2" t="s">
        <v>1099</v>
      </c>
      <c r="K44" s="4">
        <v>3</v>
      </c>
    </row>
    <row r="45" spans="1:11" ht="51" x14ac:dyDescent="0.2">
      <c r="A45" s="4" t="s">
        <v>468</v>
      </c>
      <c r="B45" s="4" t="s">
        <v>28</v>
      </c>
      <c r="C45" s="4" t="s">
        <v>55</v>
      </c>
      <c r="D45" s="4" t="s">
        <v>485</v>
      </c>
      <c r="F45" s="4" t="s">
        <v>488</v>
      </c>
      <c r="G45" s="4" t="s">
        <v>54</v>
      </c>
      <c r="J45" s="2" t="s">
        <v>1099</v>
      </c>
      <c r="K45" s="4">
        <v>4</v>
      </c>
    </row>
    <row r="47" spans="1:11" ht="17" x14ac:dyDescent="0.2">
      <c r="A47" s="4" t="s">
        <v>78</v>
      </c>
      <c r="B47" s="4" t="s">
        <v>26</v>
      </c>
      <c r="C47" s="4" t="s">
        <v>53</v>
      </c>
      <c r="D47" s="4" t="s">
        <v>187</v>
      </c>
      <c r="E47" s="2" t="s">
        <v>1183</v>
      </c>
      <c r="G47" s="4" t="s">
        <v>54</v>
      </c>
      <c r="K47" s="4">
        <v>1</v>
      </c>
    </row>
    <row r="48" spans="1:11" ht="34" x14ac:dyDescent="0.2">
      <c r="A48" s="4" t="s">
        <v>78</v>
      </c>
      <c r="B48" s="4" t="s">
        <v>28</v>
      </c>
      <c r="C48" s="4" t="s">
        <v>55</v>
      </c>
      <c r="D48" s="4" t="s">
        <v>1169</v>
      </c>
      <c r="F48" s="4" t="s">
        <v>512</v>
      </c>
      <c r="G48" s="4" t="s">
        <v>54</v>
      </c>
      <c r="J48" s="2" t="s">
        <v>1098</v>
      </c>
      <c r="K48" s="4">
        <v>2</v>
      </c>
    </row>
    <row r="49" spans="1:11" ht="119" x14ac:dyDescent="0.2">
      <c r="A49" s="4" t="s">
        <v>78</v>
      </c>
      <c r="B49" s="4" t="s">
        <v>26</v>
      </c>
      <c r="C49" s="4" t="s">
        <v>55</v>
      </c>
      <c r="D49" s="4" t="s">
        <v>107</v>
      </c>
      <c r="E49" s="2" t="s">
        <v>535</v>
      </c>
      <c r="G49" s="4" t="s">
        <v>54</v>
      </c>
      <c r="K49" s="4">
        <v>3</v>
      </c>
    </row>
    <row r="50" spans="1:11" ht="51" x14ac:dyDescent="0.2">
      <c r="A50" s="4" t="s">
        <v>78</v>
      </c>
      <c r="B50" s="4" t="s">
        <v>28</v>
      </c>
      <c r="C50" s="4" t="s">
        <v>55</v>
      </c>
      <c r="D50" s="4" t="s">
        <v>1165</v>
      </c>
      <c r="F50" s="4" t="s">
        <v>536</v>
      </c>
      <c r="G50" s="4" t="s">
        <v>54</v>
      </c>
      <c r="J50" s="2" t="s">
        <v>1099</v>
      </c>
      <c r="K50" s="4">
        <v>4</v>
      </c>
    </row>
    <row r="52" spans="1:11" ht="17" x14ac:dyDescent="0.2">
      <c r="A52" s="4" t="s">
        <v>565</v>
      </c>
      <c r="B52" s="4" t="s">
        <v>24</v>
      </c>
      <c r="C52" s="4" t="s">
        <v>53</v>
      </c>
      <c r="D52" s="4" t="s">
        <v>187</v>
      </c>
      <c r="G52" s="4" t="s">
        <v>54</v>
      </c>
      <c r="I52" s="5" t="s">
        <v>1139</v>
      </c>
      <c r="K52" s="4">
        <v>1</v>
      </c>
    </row>
    <row r="53" spans="1:11" ht="51" x14ac:dyDescent="0.2">
      <c r="A53" s="4" t="s">
        <v>565</v>
      </c>
      <c r="B53" s="4" t="s">
        <v>26</v>
      </c>
      <c r="C53" s="4" t="s">
        <v>55</v>
      </c>
      <c r="D53" s="4" t="s">
        <v>27</v>
      </c>
      <c r="E53" s="2" t="s">
        <v>1188</v>
      </c>
      <c r="G53" s="4" t="s">
        <v>54</v>
      </c>
      <c r="K53" s="4">
        <v>2</v>
      </c>
    </row>
    <row r="54" spans="1:11" ht="34" x14ac:dyDescent="0.2">
      <c r="A54" s="4" t="s">
        <v>565</v>
      </c>
      <c r="B54" s="4" t="s">
        <v>28</v>
      </c>
      <c r="C54" s="4" t="s">
        <v>55</v>
      </c>
      <c r="D54" s="4" t="s">
        <v>29</v>
      </c>
      <c r="F54" s="4" t="s">
        <v>576</v>
      </c>
      <c r="G54" s="4" t="s">
        <v>54</v>
      </c>
      <c r="J54" s="2" t="s">
        <v>1098</v>
      </c>
      <c r="K54" s="4">
        <v>3</v>
      </c>
    </row>
    <row r="55" spans="1:11" ht="34" x14ac:dyDescent="0.2">
      <c r="A55" s="4" t="s">
        <v>565</v>
      </c>
      <c r="B55" s="4" t="s">
        <v>32</v>
      </c>
      <c r="C55" s="4" t="s">
        <v>55</v>
      </c>
      <c r="D55" s="4" t="s">
        <v>33</v>
      </c>
      <c r="I55" s="5" t="s">
        <v>1146</v>
      </c>
      <c r="K55" s="4">
        <v>4</v>
      </c>
    </row>
    <row r="59" spans="1:11" ht="51" x14ac:dyDescent="0.2">
      <c r="A59" s="4" t="s">
        <v>1283</v>
      </c>
      <c r="B59" s="4" t="s">
        <v>28</v>
      </c>
      <c r="C59" s="4" t="s">
        <v>55</v>
      </c>
      <c r="D59" s="2" t="s">
        <v>1288</v>
      </c>
      <c r="F59" s="4" t="s">
        <v>1314</v>
      </c>
      <c r="G59" s="4" t="s">
        <v>54</v>
      </c>
      <c r="J59" s="2" t="s">
        <v>1099</v>
      </c>
      <c r="K59" s="4">
        <v>1</v>
      </c>
    </row>
    <row r="60" spans="1:11" ht="51" x14ac:dyDescent="0.2">
      <c r="A60" s="4" t="s">
        <v>1283</v>
      </c>
      <c r="B60" s="4" t="s">
        <v>28</v>
      </c>
      <c r="C60" s="4" t="s">
        <v>55</v>
      </c>
      <c r="D60" s="4" t="s">
        <v>1289</v>
      </c>
      <c r="F60" s="4" t="s">
        <v>1315</v>
      </c>
      <c r="G60" s="4" t="s">
        <v>54</v>
      </c>
      <c r="J60" s="2" t="s">
        <v>1099</v>
      </c>
      <c r="K60" s="4">
        <v>2</v>
      </c>
    </row>
    <row r="61" spans="1:11" ht="51" x14ac:dyDescent="0.2">
      <c r="A61" s="4" t="s">
        <v>1283</v>
      </c>
      <c r="B61" s="4" t="s">
        <v>28</v>
      </c>
      <c r="C61" s="4" t="s">
        <v>55</v>
      </c>
      <c r="D61" s="4" t="s">
        <v>1290</v>
      </c>
      <c r="F61" s="4" t="s">
        <v>1316</v>
      </c>
      <c r="G61" s="4" t="s">
        <v>54</v>
      </c>
      <c r="J61" s="2" t="s">
        <v>1099</v>
      </c>
      <c r="K61" s="4">
        <v>3</v>
      </c>
    </row>
    <row r="62" spans="1:11" ht="51" x14ac:dyDescent="0.2">
      <c r="A62" s="4" t="s">
        <v>1283</v>
      </c>
      <c r="B62" s="4" t="s">
        <v>28</v>
      </c>
      <c r="C62" s="4" t="s">
        <v>55</v>
      </c>
      <c r="D62" s="4" t="s">
        <v>1291</v>
      </c>
      <c r="F62" s="4" t="s">
        <v>1317</v>
      </c>
      <c r="G62" s="4" t="s">
        <v>54</v>
      </c>
      <c r="J62" s="2" t="s">
        <v>1099</v>
      </c>
      <c r="K62" s="4">
        <v>4</v>
      </c>
    </row>
    <row r="63" spans="1:11" ht="51" x14ac:dyDescent="0.2">
      <c r="A63" s="4" t="s">
        <v>1283</v>
      </c>
      <c r="B63" s="4" t="s">
        <v>28</v>
      </c>
      <c r="C63" s="4" t="s">
        <v>55</v>
      </c>
      <c r="D63" s="4" t="s">
        <v>1292</v>
      </c>
      <c r="F63" s="4" t="s">
        <v>1318</v>
      </c>
      <c r="G63" s="4" t="s">
        <v>54</v>
      </c>
      <c r="J63" s="2" t="s">
        <v>1099</v>
      </c>
      <c r="K63" s="4">
        <v>5</v>
      </c>
    </row>
    <row r="64" spans="1:11" ht="51" x14ac:dyDescent="0.2">
      <c r="A64" s="4" t="s">
        <v>1283</v>
      </c>
      <c r="B64" s="4" t="s">
        <v>28</v>
      </c>
      <c r="C64" s="4" t="s">
        <v>55</v>
      </c>
      <c r="D64" s="4" t="s">
        <v>1293</v>
      </c>
      <c r="F64" s="4" t="s">
        <v>1287</v>
      </c>
      <c r="G64" s="4" t="s">
        <v>54</v>
      </c>
      <c r="J64" s="2" t="s">
        <v>1099</v>
      </c>
      <c r="K64" s="4">
        <v>6</v>
      </c>
    </row>
    <row r="65" spans="1:11" ht="51" x14ac:dyDescent="0.2">
      <c r="A65" s="4" t="s">
        <v>1283</v>
      </c>
      <c r="B65" s="4" t="s">
        <v>28</v>
      </c>
      <c r="C65" s="4" t="s">
        <v>55</v>
      </c>
      <c r="D65" s="4" t="s">
        <v>1294</v>
      </c>
      <c r="F65" s="4" t="s">
        <v>1319</v>
      </c>
      <c r="G65" s="4" t="s">
        <v>54</v>
      </c>
      <c r="J65" s="2" t="s">
        <v>1099</v>
      </c>
      <c r="K65" s="4">
        <v>7</v>
      </c>
    </row>
    <row r="66" spans="1:11" ht="51" x14ac:dyDescent="0.2">
      <c r="A66" s="4" t="s">
        <v>1283</v>
      </c>
      <c r="B66" s="4" t="s">
        <v>28</v>
      </c>
      <c r="C66" s="4" t="s">
        <v>55</v>
      </c>
      <c r="D66" s="4" t="s">
        <v>1295</v>
      </c>
      <c r="F66" s="4" t="s">
        <v>1320</v>
      </c>
      <c r="G66" s="4" t="s">
        <v>54</v>
      </c>
      <c r="J66" s="2" t="s">
        <v>1099</v>
      </c>
      <c r="K66" s="4">
        <v>8</v>
      </c>
    </row>
    <row r="67" spans="1:11" ht="51" x14ac:dyDescent="0.2">
      <c r="A67" s="4" t="s">
        <v>1283</v>
      </c>
      <c r="B67" s="4" t="s">
        <v>28</v>
      </c>
      <c r="C67" s="4" t="s">
        <v>55</v>
      </c>
      <c r="D67" s="4" t="s">
        <v>1296</v>
      </c>
      <c r="F67" s="4" t="s">
        <v>1321</v>
      </c>
      <c r="G67" s="4" t="s">
        <v>54</v>
      </c>
      <c r="J67" s="2" t="s">
        <v>1099</v>
      </c>
      <c r="K67" s="4">
        <v>9</v>
      </c>
    </row>
    <row r="68" spans="1:11" ht="51" x14ac:dyDescent="0.2">
      <c r="A68" s="4" t="s">
        <v>1283</v>
      </c>
      <c r="B68" s="4" t="s">
        <v>28</v>
      </c>
      <c r="C68" s="4" t="s">
        <v>55</v>
      </c>
      <c r="D68" s="4" t="s">
        <v>1297</v>
      </c>
      <c r="F68" s="4" t="s">
        <v>1322</v>
      </c>
      <c r="G68" s="4" t="s">
        <v>54</v>
      </c>
      <c r="J68" s="2" t="s">
        <v>1099</v>
      </c>
      <c r="K68" s="4">
        <v>10</v>
      </c>
    </row>
    <row r="69" spans="1:11" ht="51" x14ac:dyDescent="0.2">
      <c r="A69" s="4" t="s">
        <v>1283</v>
      </c>
      <c r="B69" s="4" t="s">
        <v>28</v>
      </c>
      <c r="C69" s="4" t="s">
        <v>55</v>
      </c>
      <c r="D69" s="4" t="s">
        <v>1298</v>
      </c>
      <c r="F69" s="4" t="s">
        <v>1323</v>
      </c>
      <c r="G69" s="4" t="s">
        <v>54</v>
      </c>
      <c r="J69" s="2" t="s">
        <v>1099</v>
      </c>
      <c r="K69" s="4">
        <v>11</v>
      </c>
    </row>
    <row r="70" spans="1:11" ht="51" x14ac:dyDescent="0.2">
      <c r="A70" s="4" t="s">
        <v>1283</v>
      </c>
      <c r="B70" s="4" t="s">
        <v>28</v>
      </c>
      <c r="C70" s="4" t="s">
        <v>55</v>
      </c>
      <c r="D70" s="4" t="s">
        <v>1299</v>
      </c>
      <c r="F70" s="4" t="s">
        <v>1324</v>
      </c>
      <c r="G70" s="4" t="s">
        <v>54</v>
      </c>
      <c r="J70" s="2" t="s">
        <v>1099</v>
      </c>
      <c r="K70" s="4">
        <v>12</v>
      </c>
    </row>
    <row r="71" spans="1:11" ht="51" x14ac:dyDescent="0.2">
      <c r="A71" s="4" t="s">
        <v>1283</v>
      </c>
      <c r="B71" s="4" t="s">
        <v>28</v>
      </c>
      <c r="C71" s="4" t="s">
        <v>55</v>
      </c>
      <c r="D71" s="4" t="s">
        <v>1300</v>
      </c>
      <c r="F71" s="4" t="s">
        <v>1325</v>
      </c>
      <c r="G71" s="4" t="s">
        <v>54</v>
      </c>
      <c r="J71" s="2" t="s">
        <v>1099</v>
      </c>
      <c r="K71" s="4">
        <v>13</v>
      </c>
    </row>
    <row r="72" spans="1:11" ht="51" x14ac:dyDescent="0.2">
      <c r="A72" s="4" t="s">
        <v>1283</v>
      </c>
      <c r="B72" s="4" t="s">
        <v>28</v>
      </c>
      <c r="C72" s="4" t="s">
        <v>55</v>
      </c>
      <c r="D72" s="4" t="s">
        <v>1301</v>
      </c>
      <c r="F72" s="4" t="s">
        <v>1326</v>
      </c>
      <c r="G72" s="4" t="s">
        <v>54</v>
      </c>
      <c r="J72" s="2" t="s">
        <v>1099</v>
      </c>
      <c r="K72" s="4">
        <v>14</v>
      </c>
    </row>
    <row r="73" spans="1:11" ht="51" x14ac:dyDescent="0.2">
      <c r="A73" s="4" t="s">
        <v>1283</v>
      </c>
      <c r="B73" s="4" t="s">
        <v>28</v>
      </c>
      <c r="C73" s="4" t="s">
        <v>55</v>
      </c>
      <c r="D73" s="4" t="s">
        <v>1302</v>
      </c>
      <c r="F73" s="4" t="s">
        <v>1327</v>
      </c>
      <c r="G73" s="4" t="s">
        <v>54</v>
      </c>
      <c r="J73" s="2" t="s">
        <v>1099</v>
      </c>
      <c r="K73" s="4">
        <v>15</v>
      </c>
    </row>
    <row r="74" spans="1:11" ht="51" x14ac:dyDescent="0.2">
      <c r="A74" s="4" t="s">
        <v>1283</v>
      </c>
      <c r="B74" s="4" t="s">
        <v>28</v>
      </c>
      <c r="C74" s="4" t="s">
        <v>55</v>
      </c>
      <c r="D74" s="4" t="s">
        <v>1303</v>
      </c>
      <c r="F74" s="4" t="s">
        <v>1328</v>
      </c>
      <c r="G74" s="4" t="s">
        <v>54</v>
      </c>
      <c r="J74" s="2" t="s">
        <v>1099</v>
      </c>
      <c r="K74" s="4">
        <v>16</v>
      </c>
    </row>
    <row r="75" spans="1:11" ht="51" x14ac:dyDescent="0.2">
      <c r="A75" s="4" t="s">
        <v>1283</v>
      </c>
      <c r="B75" s="4" t="s">
        <v>28</v>
      </c>
      <c r="C75" s="4" t="s">
        <v>55</v>
      </c>
      <c r="D75" s="4" t="s">
        <v>1304</v>
      </c>
      <c r="F75" s="4" t="s">
        <v>1329</v>
      </c>
      <c r="G75" s="4" t="s">
        <v>54</v>
      </c>
      <c r="J75" s="2" t="s">
        <v>1099</v>
      </c>
      <c r="K75" s="4">
        <v>17</v>
      </c>
    </row>
    <row r="76" spans="1:11" ht="51" x14ac:dyDescent="0.2">
      <c r="A76" s="4" t="s">
        <v>1283</v>
      </c>
      <c r="B76" s="4" t="s">
        <v>28</v>
      </c>
      <c r="C76" s="4" t="s">
        <v>55</v>
      </c>
      <c r="D76" s="4" t="s">
        <v>1305</v>
      </c>
      <c r="F76" s="4" t="s">
        <v>1330</v>
      </c>
      <c r="G76" s="4" t="s">
        <v>54</v>
      </c>
      <c r="J76" s="2" t="s">
        <v>1099</v>
      </c>
      <c r="K76" s="4">
        <v>18</v>
      </c>
    </row>
    <row r="77" spans="1:11" ht="51" x14ac:dyDescent="0.2">
      <c r="A77" s="4" t="s">
        <v>1283</v>
      </c>
      <c r="B77" s="4" t="s">
        <v>28</v>
      </c>
      <c r="C77" s="4" t="s">
        <v>55</v>
      </c>
      <c r="D77" s="4" t="s">
        <v>1306</v>
      </c>
      <c r="F77" s="4" t="s">
        <v>1331</v>
      </c>
      <c r="G77" s="4" t="s">
        <v>54</v>
      </c>
      <c r="J77" s="2" t="s">
        <v>1099</v>
      </c>
      <c r="K77" s="4">
        <v>19</v>
      </c>
    </row>
    <row r="78" spans="1:11" ht="51" x14ac:dyDescent="0.2">
      <c r="A78" s="4" t="s">
        <v>1283</v>
      </c>
      <c r="B78" s="4" t="s">
        <v>28</v>
      </c>
      <c r="C78" s="4" t="s">
        <v>55</v>
      </c>
      <c r="D78" s="4" t="s">
        <v>1307</v>
      </c>
      <c r="F78" s="4" t="s">
        <v>1332</v>
      </c>
      <c r="G78" s="4" t="s">
        <v>54</v>
      </c>
      <c r="J78" s="2" t="s">
        <v>1099</v>
      </c>
      <c r="K78" s="4">
        <v>20</v>
      </c>
    </row>
    <row r="79" spans="1:11" ht="51" x14ac:dyDescent="0.2">
      <c r="A79" s="4" t="s">
        <v>1283</v>
      </c>
      <c r="B79" s="4" t="s">
        <v>28</v>
      </c>
      <c r="C79" s="4" t="s">
        <v>55</v>
      </c>
      <c r="D79" s="4" t="s">
        <v>1308</v>
      </c>
      <c r="F79" s="4" t="s">
        <v>1333</v>
      </c>
      <c r="G79" s="4" t="s">
        <v>54</v>
      </c>
      <c r="J79" s="2" t="s">
        <v>1099</v>
      </c>
      <c r="K79" s="4">
        <v>21</v>
      </c>
    </row>
    <row r="80" spans="1:11" ht="51" x14ac:dyDescent="0.2">
      <c r="A80" s="4" t="s">
        <v>1283</v>
      </c>
      <c r="B80" s="4" t="s">
        <v>28</v>
      </c>
      <c r="C80" s="4" t="s">
        <v>55</v>
      </c>
      <c r="D80" s="4" t="s">
        <v>1309</v>
      </c>
      <c r="F80" s="4" t="s">
        <v>1334</v>
      </c>
      <c r="G80" s="4" t="s">
        <v>54</v>
      </c>
      <c r="J80" s="2" t="s">
        <v>1099</v>
      </c>
      <c r="K80" s="4">
        <v>22</v>
      </c>
    </row>
    <row r="81" spans="1:11" ht="51" x14ac:dyDescent="0.2">
      <c r="A81" s="4" t="s">
        <v>1283</v>
      </c>
      <c r="B81" s="4" t="s">
        <v>28</v>
      </c>
      <c r="C81" s="4" t="s">
        <v>55</v>
      </c>
      <c r="D81" s="4" t="s">
        <v>1310</v>
      </c>
      <c r="F81" s="4" t="s">
        <v>1335</v>
      </c>
      <c r="G81" s="4" t="s">
        <v>54</v>
      </c>
      <c r="J81" s="2" t="s">
        <v>1099</v>
      </c>
      <c r="K81" s="4">
        <v>23</v>
      </c>
    </row>
    <row r="82" spans="1:11" ht="51" x14ac:dyDescent="0.2">
      <c r="A82" s="4" t="s">
        <v>1283</v>
      </c>
      <c r="B82" s="4" t="s">
        <v>28</v>
      </c>
      <c r="C82" s="4" t="s">
        <v>55</v>
      </c>
      <c r="D82" s="4" t="s">
        <v>1311</v>
      </c>
      <c r="F82" s="4" t="s">
        <v>1336</v>
      </c>
      <c r="G82" s="4" t="s">
        <v>54</v>
      </c>
      <c r="J82" s="2" t="s">
        <v>1099</v>
      </c>
      <c r="K82" s="4">
        <v>24</v>
      </c>
    </row>
    <row r="83" spans="1:11" ht="51" x14ac:dyDescent="0.2">
      <c r="A83" s="4" t="s">
        <v>1283</v>
      </c>
      <c r="B83" s="4" t="s">
        <v>28</v>
      </c>
      <c r="C83" s="4" t="s">
        <v>55</v>
      </c>
      <c r="D83" s="4" t="s">
        <v>1312</v>
      </c>
      <c r="F83" s="4" t="s">
        <v>1337</v>
      </c>
      <c r="G83" s="4" t="s">
        <v>54</v>
      </c>
      <c r="J83" s="2" t="s">
        <v>1099</v>
      </c>
      <c r="K83" s="4">
        <v>25</v>
      </c>
    </row>
    <row r="84" spans="1:11" ht="51" x14ac:dyDescent="0.2">
      <c r="A84" s="4" t="s">
        <v>1283</v>
      </c>
      <c r="B84" s="4" t="s">
        <v>28</v>
      </c>
      <c r="C84" s="4" t="s">
        <v>55</v>
      </c>
      <c r="D84" s="4" t="s">
        <v>1313</v>
      </c>
      <c r="F84" s="4" t="s">
        <v>1338</v>
      </c>
      <c r="G84" s="4" t="s">
        <v>54</v>
      </c>
      <c r="J84" s="2" t="s">
        <v>1099</v>
      </c>
      <c r="K84" s="4">
        <v>26</v>
      </c>
    </row>
    <row r="88" spans="1:11" x14ac:dyDescent="0.2">
      <c r="A88" t="s">
        <v>1350</v>
      </c>
      <c r="B88" s="4" t="s">
        <v>26</v>
      </c>
      <c r="C88" s="4" t="s">
        <v>53</v>
      </c>
      <c r="D88" s="4" t="s">
        <v>1361</v>
      </c>
      <c r="G88" s="4" t="s">
        <v>54</v>
      </c>
      <c r="K88" s="4">
        <v>1</v>
      </c>
    </row>
    <row r="89" spans="1:11" ht="34" x14ac:dyDescent="0.2">
      <c r="A89" t="s">
        <v>1350</v>
      </c>
      <c r="B89" s="4" t="s">
        <v>26</v>
      </c>
      <c r="C89" s="4" t="s">
        <v>53</v>
      </c>
      <c r="E89" s="33" t="s">
        <v>1365</v>
      </c>
      <c r="G89" s="4" t="s">
        <v>54</v>
      </c>
      <c r="K89" s="4">
        <v>1</v>
      </c>
    </row>
    <row r="90" spans="1:11" ht="34" x14ac:dyDescent="0.2">
      <c r="A90" t="s">
        <v>1350</v>
      </c>
      <c r="B90" s="4" t="s">
        <v>26</v>
      </c>
      <c r="C90" s="4" t="s">
        <v>53</v>
      </c>
      <c r="E90" s="33" t="s">
        <v>1362</v>
      </c>
      <c r="G90" s="4" t="s">
        <v>54</v>
      </c>
      <c r="K90" s="4">
        <v>2</v>
      </c>
    </row>
    <row r="91" spans="1:11" ht="34" x14ac:dyDescent="0.2">
      <c r="A91" t="s">
        <v>1350</v>
      </c>
      <c r="B91" s="4" t="s">
        <v>26</v>
      </c>
      <c r="C91" s="4" t="s">
        <v>53</v>
      </c>
      <c r="E91" s="33" t="s">
        <v>1363</v>
      </c>
      <c r="G91" s="4" t="s">
        <v>54</v>
      </c>
      <c r="K91" s="4">
        <v>3</v>
      </c>
    </row>
    <row r="92" spans="1:11" ht="34" x14ac:dyDescent="0.2">
      <c r="A92" t="s">
        <v>1350</v>
      </c>
      <c r="B92" s="4" t="s">
        <v>26</v>
      </c>
      <c r="C92" s="4" t="s">
        <v>55</v>
      </c>
      <c r="D92" s="4" t="s">
        <v>1353</v>
      </c>
      <c r="E92" s="2" t="s">
        <v>1364</v>
      </c>
      <c r="G92" s="4" t="s">
        <v>54</v>
      </c>
      <c r="K92" s="4">
        <v>4</v>
      </c>
    </row>
    <row r="93" spans="1:11" ht="68" x14ac:dyDescent="0.2">
      <c r="A93" t="s">
        <v>1350</v>
      </c>
      <c r="B93" s="4" t="s">
        <v>26</v>
      </c>
      <c r="C93" s="4" t="s">
        <v>55</v>
      </c>
      <c r="E93" s="2" t="s">
        <v>1354</v>
      </c>
      <c r="G93" s="4" t="s">
        <v>54</v>
      </c>
      <c r="K93" s="4">
        <v>5</v>
      </c>
    </row>
    <row r="94" spans="1:11" ht="34" x14ac:dyDescent="0.2">
      <c r="A94" t="s">
        <v>1350</v>
      </c>
      <c r="B94" s="4" t="s">
        <v>26</v>
      </c>
      <c r="C94" s="4" t="s">
        <v>55</v>
      </c>
      <c r="E94" s="2" t="s">
        <v>1355</v>
      </c>
      <c r="G94" s="4" t="s">
        <v>54</v>
      </c>
      <c r="K94" s="4">
        <v>6</v>
      </c>
    </row>
    <row r="95" spans="1:11" ht="17" x14ac:dyDescent="0.2">
      <c r="A95" t="s">
        <v>1350</v>
      </c>
      <c r="B95" s="4" t="s">
        <v>26</v>
      </c>
      <c r="C95" s="4" t="s">
        <v>55</v>
      </c>
      <c r="E95" s="2" t="s">
        <v>1356</v>
      </c>
      <c r="G95" s="4" t="s">
        <v>54</v>
      </c>
      <c r="K95" s="4">
        <v>7</v>
      </c>
    </row>
    <row r="96" spans="1:11" ht="17" x14ac:dyDescent="0.2">
      <c r="A96" t="s">
        <v>1350</v>
      </c>
      <c r="B96" s="4" t="s">
        <v>26</v>
      </c>
      <c r="C96" s="4" t="s">
        <v>55</v>
      </c>
      <c r="E96" s="2" t="s">
        <v>1357</v>
      </c>
      <c r="G96" s="4" t="s">
        <v>54</v>
      </c>
      <c r="K96" s="4">
        <v>8</v>
      </c>
    </row>
    <row r="97" spans="1:11" ht="17" x14ac:dyDescent="0.2">
      <c r="A97" t="s">
        <v>1350</v>
      </c>
      <c r="B97" s="4" t="s">
        <v>26</v>
      </c>
      <c r="C97" s="4" t="s">
        <v>55</v>
      </c>
      <c r="E97" s="2" t="s">
        <v>1358</v>
      </c>
      <c r="G97" s="4" t="s">
        <v>54</v>
      </c>
      <c r="K97" s="4">
        <v>9</v>
      </c>
    </row>
    <row r="98" spans="1:11" x14ac:dyDescent="0.2">
      <c r="A98" t="s">
        <v>1350</v>
      </c>
      <c r="B98" s="4" t="s">
        <v>26</v>
      </c>
      <c r="C98" s="4" t="s">
        <v>55</v>
      </c>
      <c r="D98" s="4" t="s">
        <v>1359</v>
      </c>
      <c r="E98" s="32" t="s">
        <v>1360</v>
      </c>
      <c r="G98" s="4" t="s">
        <v>54</v>
      </c>
      <c r="K98" s="4">
        <v>10</v>
      </c>
    </row>
  </sheetData>
  <hyperlinks>
    <hyperlink ref="E98" r:id="rId1" xr:uid="{0ACED111-27C4-D24A-8D2D-292F7EF8BCCB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210"/>
  <sheetViews>
    <sheetView topLeftCell="A188" zoomScale="109" workbookViewId="0">
      <selection activeCell="D194" sqref="D194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562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587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568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  <row r="191" spans="1:14" x14ac:dyDescent="0.2">
      <c r="A191" t="s">
        <v>1274</v>
      </c>
      <c r="B191">
        <v>1</v>
      </c>
      <c r="C191" t="s">
        <v>45</v>
      </c>
      <c r="D191" t="s">
        <v>1095</v>
      </c>
      <c r="N191" t="s">
        <v>90</v>
      </c>
    </row>
    <row r="192" spans="1:14" x14ac:dyDescent="0.2">
      <c r="A192" t="s">
        <v>1274</v>
      </c>
      <c r="B192">
        <v>2</v>
      </c>
      <c r="C192" t="s">
        <v>46</v>
      </c>
      <c r="D192" t="s">
        <v>50</v>
      </c>
      <c r="M192" t="s">
        <v>99</v>
      </c>
      <c r="N192" t="s">
        <v>90</v>
      </c>
    </row>
    <row r="193" spans="1:14" x14ac:dyDescent="0.2">
      <c r="A193" t="s">
        <v>1274</v>
      </c>
      <c r="B193">
        <v>3</v>
      </c>
      <c r="C193" t="s">
        <v>45</v>
      </c>
      <c r="D193" t="s">
        <v>1277</v>
      </c>
      <c r="N193" t="s">
        <v>90</v>
      </c>
    </row>
    <row r="194" spans="1:14" x14ac:dyDescent="0.2">
      <c r="A194" t="s">
        <v>1274</v>
      </c>
      <c r="B194">
        <v>4</v>
      </c>
      <c r="C194" t="s">
        <v>45</v>
      </c>
      <c r="D194" t="s">
        <v>1278</v>
      </c>
      <c r="N194" t="s">
        <v>90</v>
      </c>
    </row>
    <row r="195" spans="1:14" x14ac:dyDescent="0.2">
      <c r="A195" t="s">
        <v>1274</v>
      </c>
      <c r="B195">
        <v>5</v>
      </c>
      <c r="C195" t="s">
        <v>46</v>
      </c>
      <c r="D195" t="s">
        <v>50</v>
      </c>
      <c r="M195" t="s">
        <v>99</v>
      </c>
      <c r="N195" t="s">
        <v>90</v>
      </c>
    </row>
    <row r="196" spans="1:14" x14ac:dyDescent="0.2">
      <c r="A196" t="s">
        <v>1274</v>
      </c>
      <c r="B196">
        <v>6</v>
      </c>
      <c r="C196" t="s">
        <v>45</v>
      </c>
      <c r="D196" t="s">
        <v>1279</v>
      </c>
      <c r="N196" t="s">
        <v>90</v>
      </c>
    </row>
    <row r="198" spans="1:14" x14ac:dyDescent="0.2">
      <c r="A198" t="s">
        <v>1275</v>
      </c>
      <c r="B198">
        <v>1</v>
      </c>
      <c r="C198" t="s">
        <v>45</v>
      </c>
      <c r="D198" t="s">
        <v>1095</v>
      </c>
      <c r="N198" t="s">
        <v>90</v>
      </c>
    </row>
    <row r="199" spans="1:14" x14ac:dyDescent="0.2">
      <c r="A199" t="s">
        <v>1275</v>
      </c>
      <c r="B199">
        <v>2</v>
      </c>
      <c r="C199" t="s">
        <v>46</v>
      </c>
      <c r="D199" t="s">
        <v>50</v>
      </c>
      <c r="M199" t="s">
        <v>99</v>
      </c>
      <c r="N199" t="s">
        <v>90</v>
      </c>
    </row>
    <row r="200" spans="1:14" x14ac:dyDescent="0.2">
      <c r="A200" t="s">
        <v>1275</v>
      </c>
      <c r="B200">
        <v>3</v>
      </c>
      <c r="C200" t="s">
        <v>45</v>
      </c>
      <c r="D200" t="s">
        <v>1277</v>
      </c>
      <c r="N200" t="s">
        <v>90</v>
      </c>
    </row>
    <row r="201" spans="1:14" x14ac:dyDescent="0.2">
      <c r="A201" t="s">
        <v>1275</v>
      </c>
      <c r="B201">
        <v>4</v>
      </c>
      <c r="C201" t="s">
        <v>45</v>
      </c>
      <c r="D201" t="s">
        <v>1280</v>
      </c>
      <c r="N201" t="s">
        <v>90</v>
      </c>
    </row>
    <row r="202" spans="1:14" x14ac:dyDescent="0.2">
      <c r="A202" t="s">
        <v>1275</v>
      </c>
      <c r="B202">
        <v>5</v>
      </c>
      <c r="C202" t="s">
        <v>46</v>
      </c>
      <c r="D202" t="s">
        <v>50</v>
      </c>
      <c r="M202" t="s">
        <v>99</v>
      </c>
      <c r="N202" t="s">
        <v>90</v>
      </c>
    </row>
    <row r="203" spans="1:14" x14ac:dyDescent="0.2">
      <c r="A203" t="s">
        <v>1275</v>
      </c>
      <c r="B203">
        <v>6</v>
      </c>
      <c r="C203" t="s">
        <v>45</v>
      </c>
      <c r="D203" t="s">
        <v>1279</v>
      </c>
      <c r="N203" t="s">
        <v>90</v>
      </c>
    </row>
    <row r="205" spans="1:14" ht="17" x14ac:dyDescent="0.2">
      <c r="A205" s="5" t="s">
        <v>1276</v>
      </c>
      <c r="B205">
        <v>1</v>
      </c>
      <c r="C205" t="s">
        <v>45</v>
      </c>
      <c r="D205" t="s">
        <v>1095</v>
      </c>
      <c r="N205" t="s">
        <v>90</v>
      </c>
    </row>
    <row r="206" spans="1:14" ht="17" x14ac:dyDescent="0.2">
      <c r="A206" s="5" t="s">
        <v>1276</v>
      </c>
      <c r="B206">
        <v>2</v>
      </c>
      <c r="C206" t="s">
        <v>46</v>
      </c>
      <c r="D206" t="s">
        <v>50</v>
      </c>
      <c r="M206" t="s">
        <v>99</v>
      </c>
      <c r="N206" t="s">
        <v>90</v>
      </c>
    </row>
    <row r="207" spans="1:14" ht="17" x14ac:dyDescent="0.2">
      <c r="A207" s="5" t="s">
        <v>1276</v>
      </c>
      <c r="B207">
        <v>3</v>
      </c>
      <c r="C207" t="s">
        <v>45</v>
      </c>
      <c r="D207" t="s">
        <v>1279</v>
      </c>
      <c r="N207" t="s">
        <v>90</v>
      </c>
    </row>
    <row r="208" spans="1:14" ht="17" x14ac:dyDescent="0.2">
      <c r="A208" s="5" t="s">
        <v>1276</v>
      </c>
      <c r="B208">
        <v>4</v>
      </c>
      <c r="C208" t="s">
        <v>45</v>
      </c>
      <c r="D208" t="s">
        <v>1280</v>
      </c>
      <c r="N208" t="s">
        <v>90</v>
      </c>
    </row>
    <row r="209" spans="1:14" ht="17" x14ac:dyDescent="0.2">
      <c r="A209" s="5" t="s">
        <v>1276</v>
      </c>
      <c r="B209">
        <v>5</v>
      </c>
      <c r="C209" t="s">
        <v>46</v>
      </c>
      <c r="D209" t="s">
        <v>50</v>
      </c>
      <c r="M209" t="s">
        <v>99</v>
      </c>
      <c r="N209" t="s">
        <v>90</v>
      </c>
    </row>
    <row r="210" spans="1:14" ht="17" x14ac:dyDescent="0.2">
      <c r="A210" s="5" t="s">
        <v>1276</v>
      </c>
      <c r="B210">
        <v>6</v>
      </c>
      <c r="C210" t="s">
        <v>45</v>
      </c>
      <c r="D210" t="s">
        <v>1277</v>
      </c>
      <c r="N210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93"/>
  <sheetViews>
    <sheetView zoomScale="116" zoomScaleNormal="100" workbookViewId="0">
      <pane ySplit="1" topLeftCell="A21" activePane="bottomLeft" state="frozen"/>
      <selection pane="bottomLeft" activeCell="A30" sqref="A30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24.33203125" customWidth="1"/>
    <col min="6" max="6" width="7.6640625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>_xlfn.TEXTJOIN("", TRUE, D55:H55)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276</v>
      </c>
      <c r="E56" t="s">
        <v>258</v>
      </c>
      <c r="G56" t="s">
        <v>216</v>
      </c>
      <c r="H56" t="s">
        <v>113</v>
      </c>
      <c r="L56" t="str">
        <f>_xlfn.TEXTJOIN("", TRUE, D56:K56)</f>
        <v>02_Slots/Gaben/0030_Gefluegel/0010_Apd_Abk_01.png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ref="L57:L58" si="8">_xlfn.TEXTJOIN("", TRUE, D57:J57)</f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1202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1202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1212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1202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1202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1202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1203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1204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1202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1202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1202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1205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1213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1221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1222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1223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1223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1223</v>
      </c>
      <c r="G346" t="s">
        <v>1027</v>
      </c>
      <c r="I346" t="s">
        <v>1198</v>
      </c>
      <c r="J346" t="s">
        <v>1202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1223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1223</v>
      </c>
      <c r="G348" t="s">
        <v>1029</v>
      </c>
      <c r="I348" t="s">
        <v>1198</v>
      </c>
      <c r="J348" t="s">
        <v>1207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1223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1223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1223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1223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t="s">
        <v>1030</v>
      </c>
      <c r="B361" s="27">
        <v>2</v>
      </c>
      <c r="C361" t="s">
        <v>105</v>
      </c>
      <c r="E361" t="s">
        <v>1223</v>
      </c>
      <c r="F361" t="s">
        <v>1037</v>
      </c>
      <c r="G361" t="s">
        <v>1039</v>
      </c>
      <c r="I361" t="s">
        <v>1198</v>
      </c>
      <c r="J361" t="s">
        <v>1207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t="s">
        <v>1030</v>
      </c>
      <c r="B362" s="27">
        <v>2</v>
      </c>
      <c r="C362" t="s">
        <v>27</v>
      </c>
      <c r="L362" t="s">
        <v>1093</v>
      </c>
    </row>
    <row r="368" spans="1:12" x14ac:dyDescent="0.2">
      <c r="A368" t="s">
        <v>60</v>
      </c>
      <c r="B368" s="28">
        <v>20</v>
      </c>
      <c r="C368" t="s">
        <v>39</v>
      </c>
      <c r="L368" t="s">
        <v>177</v>
      </c>
    </row>
    <row r="369" spans="1:12" x14ac:dyDescent="0.2">
      <c r="A369" t="s">
        <v>60</v>
      </c>
      <c r="B369" s="28">
        <v>20</v>
      </c>
      <c r="C369" t="s">
        <v>105</v>
      </c>
      <c r="E369" t="s">
        <v>1224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t="s">
        <v>60</v>
      </c>
      <c r="B370" s="28">
        <v>20</v>
      </c>
      <c r="C370" t="s">
        <v>105</v>
      </c>
      <c r="E370" t="s">
        <v>1224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t="s">
        <v>60</v>
      </c>
      <c r="B371" s="28">
        <v>20</v>
      </c>
      <c r="C371" t="s">
        <v>105</v>
      </c>
      <c r="E371" t="s">
        <v>1224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t="s">
        <v>60</v>
      </c>
      <c r="B372" s="28">
        <v>20</v>
      </c>
      <c r="C372" t="s">
        <v>106</v>
      </c>
      <c r="E372" t="s">
        <v>1224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t="s">
        <v>60</v>
      </c>
      <c r="B373" s="28">
        <v>20</v>
      </c>
      <c r="C373" t="s">
        <v>107</v>
      </c>
      <c r="L373" t="s">
        <v>112</v>
      </c>
    </row>
    <row r="374" spans="1:12" x14ac:dyDescent="0.2">
      <c r="A374" t="s">
        <v>60</v>
      </c>
      <c r="B374" s="28">
        <v>20</v>
      </c>
      <c r="C374" t="s">
        <v>108</v>
      </c>
      <c r="L374" t="s">
        <v>1170</v>
      </c>
    </row>
    <row r="376" spans="1:12" x14ac:dyDescent="0.2">
      <c r="A376" t="s">
        <v>610</v>
      </c>
      <c r="B376" s="27">
        <v>1</v>
      </c>
      <c r="C376" t="s">
        <v>39</v>
      </c>
      <c r="L376" t="s">
        <v>174</v>
      </c>
    </row>
    <row r="377" spans="1:12" x14ac:dyDescent="0.2">
      <c r="A377" t="s">
        <v>610</v>
      </c>
      <c r="B377" s="27">
        <v>1</v>
      </c>
      <c r="C377" t="s">
        <v>105</v>
      </c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t="s">
        <v>610</v>
      </c>
      <c r="B378" s="27">
        <v>1</v>
      </c>
      <c r="C378" t="s">
        <v>27</v>
      </c>
      <c r="L378" t="s">
        <v>175</v>
      </c>
    </row>
    <row r="380" spans="1:12" x14ac:dyDescent="0.2">
      <c r="A380" t="s">
        <v>60</v>
      </c>
      <c r="B380" s="28">
        <v>30</v>
      </c>
      <c r="C380" t="s">
        <v>39</v>
      </c>
      <c r="G380" t="s">
        <v>127</v>
      </c>
      <c r="L380" t="s">
        <v>176</v>
      </c>
    </row>
    <row r="381" spans="1:12" x14ac:dyDescent="0.2">
      <c r="A381" t="s">
        <v>60</v>
      </c>
      <c r="B381" s="28">
        <v>30</v>
      </c>
      <c r="C381" t="s">
        <v>105</v>
      </c>
      <c r="E381" t="s">
        <v>1225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t="s">
        <v>60</v>
      </c>
      <c r="B382" s="28">
        <v>30</v>
      </c>
      <c r="C382" t="s">
        <v>106</v>
      </c>
    </row>
    <row r="383" spans="1:12" x14ac:dyDescent="0.2">
      <c r="A383" t="s">
        <v>60</v>
      </c>
      <c r="B383" s="28">
        <v>30</v>
      </c>
      <c r="C383" t="s">
        <v>107</v>
      </c>
      <c r="L383" t="s">
        <v>128</v>
      </c>
    </row>
    <row r="384" spans="1:12" x14ac:dyDescent="0.2">
      <c r="A384" t="s">
        <v>60</v>
      </c>
      <c r="B384" s="28">
        <v>30</v>
      </c>
      <c r="C384" t="s">
        <v>108</v>
      </c>
    </row>
    <row r="385" spans="1:12" x14ac:dyDescent="0.2">
      <c r="B385" s="28"/>
    </row>
    <row r="386" spans="1:12" x14ac:dyDescent="0.2">
      <c r="A386" t="s">
        <v>60</v>
      </c>
      <c r="B386" s="28">
        <v>40</v>
      </c>
      <c r="C386" t="s">
        <v>39</v>
      </c>
      <c r="L386" t="s">
        <v>1228</v>
      </c>
    </row>
    <row r="387" spans="1:12" x14ac:dyDescent="0.2">
      <c r="A387" t="s">
        <v>60</v>
      </c>
      <c r="B387" s="28">
        <v>40</v>
      </c>
      <c r="C387" t="s">
        <v>105</v>
      </c>
      <c r="E387" t="s">
        <v>1226</v>
      </c>
      <c r="G387" t="s">
        <v>1227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t="s">
        <v>60</v>
      </c>
      <c r="B388" s="28">
        <v>40</v>
      </c>
      <c r="C388" t="s">
        <v>106</v>
      </c>
    </row>
    <row r="389" spans="1:12" x14ac:dyDescent="0.2">
      <c r="A389" t="s">
        <v>60</v>
      </c>
      <c r="B389" s="28">
        <v>40</v>
      </c>
      <c r="C389" t="s">
        <v>107</v>
      </c>
      <c r="L389" t="s">
        <v>129</v>
      </c>
    </row>
    <row r="390" spans="1:12" x14ac:dyDescent="0.2">
      <c r="A390" t="s">
        <v>60</v>
      </c>
      <c r="B390" s="28">
        <v>40</v>
      </c>
      <c r="C390" t="s">
        <v>108</v>
      </c>
    </row>
    <row r="391" spans="1:12" x14ac:dyDescent="0.2">
      <c r="B391" s="28"/>
    </row>
    <row r="392" spans="1:12" x14ac:dyDescent="0.2">
      <c r="A392" t="s">
        <v>60</v>
      </c>
      <c r="B392" s="28">
        <v>50</v>
      </c>
      <c r="C392" t="s">
        <v>39</v>
      </c>
      <c r="L392" t="s">
        <v>588</v>
      </c>
    </row>
    <row r="393" spans="1:12" x14ac:dyDescent="0.2">
      <c r="A393" t="s">
        <v>60</v>
      </c>
      <c r="B393" s="28">
        <v>50</v>
      </c>
      <c r="C393" t="s">
        <v>105</v>
      </c>
      <c r="E393" t="s">
        <v>1229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t="s">
        <v>60</v>
      </c>
      <c r="B394" s="28">
        <v>50</v>
      </c>
      <c r="C394" t="s">
        <v>105</v>
      </c>
      <c r="E394" t="s">
        <v>1229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t="s">
        <v>60</v>
      </c>
      <c r="B395" s="28">
        <v>50</v>
      </c>
      <c r="C395" t="s">
        <v>105</v>
      </c>
      <c r="E395" t="s">
        <v>1229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t="s">
        <v>60</v>
      </c>
      <c r="B396" s="28">
        <v>50</v>
      </c>
      <c r="C396" t="s">
        <v>105</v>
      </c>
      <c r="E396" t="s">
        <v>1229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t="s">
        <v>60</v>
      </c>
      <c r="B397" s="28">
        <v>50</v>
      </c>
      <c r="C397" t="s">
        <v>105</v>
      </c>
      <c r="E397" t="s">
        <v>1229</v>
      </c>
      <c r="G397" t="s">
        <v>593</v>
      </c>
      <c r="H397" t="s">
        <v>113</v>
      </c>
      <c r="I397" t="s">
        <v>1198</v>
      </c>
      <c r="J397" t="s">
        <v>1202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t="s">
        <v>60</v>
      </c>
      <c r="B398" s="28">
        <v>50</v>
      </c>
      <c r="C398" t="s">
        <v>105</v>
      </c>
      <c r="E398" t="s">
        <v>1229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t="s">
        <v>60</v>
      </c>
      <c r="B399" s="28">
        <v>50</v>
      </c>
      <c r="C399" t="s">
        <v>105</v>
      </c>
      <c r="E399" t="s">
        <v>1229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t="s">
        <v>60</v>
      </c>
      <c r="B400" s="28">
        <v>50</v>
      </c>
      <c r="C400" t="s">
        <v>106</v>
      </c>
    </row>
    <row r="401" spans="1:12" x14ac:dyDescent="0.2">
      <c r="A401" t="s">
        <v>60</v>
      </c>
      <c r="B401" s="28">
        <v>50</v>
      </c>
      <c r="C401" t="s">
        <v>107</v>
      </c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1230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1230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1230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1230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1230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1230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1231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1231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1231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1231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1231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1231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1231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1231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1231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1231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1231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1231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1231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1231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1231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1231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1231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1231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1231</v>
      </c>
      <c r="F450" t="s">
        <v>632</v>
      </c>
      <c r="G450" t="s">
        <v>636</v>
      </c>
      <c r="H450" t="s">
        <v>113</v>
      </c>
      <c r="I450" t="s">
        <v>1198</v>
      </c>
      <c r="J450" t="s">
        <v>1202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1231</v>
      </c>
      <c r="F451" t="s">
        <v>632</v>
      </c>
      <c r="G451" t="s">
        <v>637</v>
      </c>
      <c r="H451" t="s">
        <v>113</v>
      </c>
      <c r="I451" t="s">
        <v>1198</v>
      </c>
      <c r="J451" t="s">
        <v>1202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1231</v>
      </c>
      <c r="F452" t="s">
        <v>632</v>
      </c>
      <c r="G452" t="s">
        <v>638</v>
      </c>
      <c r="H452" t="s">
        <v>113</v>
      </c>
      <c r="I452" t="s">
        <v>1198</v>
      </c>
      <c r="J452" t="s">
        <v>1206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1231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1231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1231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1232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1232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1232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1232</v>
      </c>
      <c r="G466" t="s">
        <v>646</v>
      </c>
      <c r="H466" t="s">
        <v>113</v>
      </c>
      <c r="I466" t="s">
        <v>1198</v>
      </c>
      <c r="J466" t="s">
        <v>1202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1232</v>
      </c>
      <c r="G467" t="s">
        <v>647</v>
      </c>
      <c r="H467" t="s">
        <v>113</v>
      </c>
      <c r="I467" t="s">
        <v>1198</v>
      </c>
      <c r="J467" t="s">
        <v>1202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1232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1232</v>
      </c>
      <c r="G469" t="s">
        <v>649</v>
      </c>
      <c r="H469" t="s">
        <v>113</v>
      </c>
      <c r="I469" t="s">
        <v>1198</v>
      </c>
      <c r="J469" t="s">
        <v>1207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1232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1232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1233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1233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1233</v>
      </c>
      <c r="G483" t="s">
        <v>659</v>
      </c>
      <c r="H483" t="s">
        <v>113</v>
      </c>
      <c r="I483" t="s">
        <v>1198</v>
      </c>
      <c r="J483" t="s">
        <v>1206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1233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1233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1233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1233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1233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1233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1233</v>
      </c>
      <c r="F507" t="s">
        <v>674</v>
      </c>
      <c r="G507" t="s">
        <v>678</v>
      </c>
      <c r="H507" t="s">
        <v>113</v>
      </c>
      <c r="I507" t="s">
        <v>1198</v>
      </c>
      <c r="J507" t="s">
        <v>1206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1233</v>
      </c>
      <c r="F511" t="s">
        <v>675</v>
      </c>
      <c r="G511" t="s">
        <v>679</v>
      </c>
      <c r="H511" t="s">
        <v>113</v>
      </c>
      <c r="I511" t="s">
        <v>1198</v>
      </c>
      <c r="J511" t="s">
        <v>1206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1233</v>
      </c>
      <c r="F515" t="s">
        <v>676</v>
      </c>
      <c r="G515" t="s">
        <v>680</v>
      </c>
      <c r="H515" t="s">
        <v>113</v>
      </c>
      <c r="I515" t="s">
        <v>1198</v>
      </c>
      <c r="J515" t="s">
        <v>1206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1233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1234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1234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1234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1234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1235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1235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1235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1235</v>
      </c>
      <c r="G538" t="s">
        <v>735</v>
      </c>
      <c r="H538" t="s">
        <v>113</v>
      </c>
      <c r="I538" t="s">
        <v>1198</v>
      </c>
      <c r="J538" t="s">
        <v>1202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1235</v>
      </c>
      <c r="G539" t="s">
        <v>736</v>
      </c>
      <c r="H539" t="s">
        <v>113</v>
      </c>
      <c r="I539" t="s">
        <v>1198</v>
      </c>
      <c r="J539" t="s">
        <v>1202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1235</v>
      </c>
      <c r="G540" t="s">
        <v>737</v>
      </c>
      <c r="H540" t="s">
        <v>113</v>
      </c>
      <c r="I540" t="s">
        <v>1198</v>
      </c>
      <c r="J540" t="s">
        <v>1202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1235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1235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1235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1235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1235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1235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1235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1235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1235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1235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1235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1235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1235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1235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1235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1235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1235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1235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1235</v>
      </c>
      <c r="F566" t="s">
        <v>756</v>
      </c>
      <c r="G566" t="s">
        <v>775</v>
      </c>
      <c r="I566" t="s">
        <v>1198</v>
      </c>
      <c r="J566" t="s">
        <v>1208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1235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1235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1235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1235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1235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1235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1235</v>
      </c>
      <c r="F582" t="s">
        <v>759</v>
      </c>
      <c r="G582" t="s">
        <v>782</v>
      </c>
      <c r="I582" t="s">
        <v>1198</v>
      </c>
      <c r="J582" t="s">
        <v>1208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1235</v>
      </c>
      <c r="F583" t="s">
        <v>759</v>
      </c>
      <c r="G583" t="s">
        <v>783</v>
      </c>
      <c r="I583" t="s">
        <v>1198</v>
      </c>
      <c r="J583" t="s">
        <v>1202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1235</v>
      </c>
      <c r="F584" t="s">
        <v>759</v>
      </c>
      <c r="G584" t="s">
        <v>784</v>
      </c>
      <c r="I584" t="s">
        <v>1198</v>
      </c>
      <c r="J584" t="s">
        <v>1218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1235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1235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1235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1236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1236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1236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1237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1237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1237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1237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1237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1237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1237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1237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1238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1238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1238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1238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1238</v>
      </c>
      <c r="G634" t="s">
        <v>811</v>
      </c>
      <c r="I634" t="s">
        <v>1198</v>
      </c>
      <c r="J634" t="s">
        <v>1202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1238</v>
      </c>
      <c r="G635" t="s">
        <v>812</v>
      </c>
      <c r="I635" t="s">
        <v>1198</v>
      </c>
      <c r="J635" t="s">
        <v>1207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1238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1238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1238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1238</v>
      </c>
      <c r="F639" t="s">
        <v>111</v>
      </c>
      <c r="G639" t="s">
        <v>815</v>
      </c>
      <c r="I639" t="s">
        <v>1198</v>
      </c>
      <c r="J639" t="s">
        <v>1202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1238</v>
      </c>
      <c r="F640" t="s">
        <v>111</v>
      </c>
      <c r="G640" t="s">
        <v>816</v>
      </c>
      <c r="I640" t="s">
        <v>1198</v>
      </c>
      <c r="J640" t="s">
        <v>1202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1238</v>
      </c>
      <c r="F641" t="s">
        <v>111</v>
      </c>
      <c r="G641" t="s">
        <v>817</v>
      </c>
      <c r="I641" t="s">
        <v>1198</v>
      </c>
      <c r="J641" t="s">
        <v>1207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1238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1238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1238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1238</v>
      </c>
      <c r="F649" t="s">
        <v>819</v>
      </c>
      <c r="G649" t="s">
        <v>828</v>
      </c>
      <c r="I649" t="s">
        <v>1198</v>
      </c>
      <c r="J649" t="s">
        <v>1202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1238</v>
      </c>
      <c r="F650" t="s">
        <v>819</v>
      </c>
      <c r="G650" t="s">
        <v>829</v>
      </c>
      <c r="I650" t="s">
        <v>1198</v>
      </c>
      <c r="J650" t="s">
        <v>1202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1238</v>
      </c>
      <c r="F651" t="s">
        <v>819</v>
      </c>
      <c r="G651" t="s">
        <v>830</v>
      </c>
      <c r="I651" t="s">
        <v>1198</v>
      </c>
      <c r="J651" t="s">
        <v>1202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1238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1238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1238</v>
      </c>
      <c r="F657" t="s">
        <v>824</v>
      </c>
      <c r="G657" t="s">
        <v>833</v>
      </c>
      <c r="I657" t="s">
        <v>1198</v>
      </c>
      <c r="J657" t="s">
        <v>1202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1238</v>
      </c>
      <c r="F658" t="s">
        <v>824</v>
      </c>
      <c r="G658" t="s">
        <v>834</v>
      </c>
      <c r="I658" t="s">
        <v>1198</v>
      </c>
      <c r="J658" t="s">
        <v>1202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1238</v>
      </c>
      <c r="F659" t="s">
        <v>824</v>
      </c>
      <c r="G659" t="s">
        <v>835</v>
      </c>
      <c r="I659" t="s">
        <v>1198</v>
      </c>
      <c r="J659" t="s">
        <v>1207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1239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1239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1239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1240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1240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1240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1240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1240</v>
      </c>
      <c r="G675" t="s">
        <v>844</v>
      </c>
      <c r="I675" t="s">
        <v>1198</v>
      </c>
      <c r="J675" t="s">
        <v>1202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1240</v>
      </c>
      <c r="G676" t="s">
        <v>845</v>
      </c>
      <c r="I676" t="s">
        <v>1198</v>
      </c>
      <c r="J676" t="s">
        <v>1202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1240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1240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1240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1240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1240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1240</v>
      </c>
      <c r="F682" t="s">
        <v>111</v>
      </c>
      <c r="G682" t="s">
        <v>850</v>
      </c>
      <c r="I682" t="s">
        <v>1198</v>
      </c>
      <c r="J682" t="s">
        <v>1202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1241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1241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1241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1241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1242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1242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1242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1242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1242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1242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1243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1243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1243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1243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1243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1243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1243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1243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1243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1243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1243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1243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1244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1244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1244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1244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1244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1245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1245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1245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1245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1245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1245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1246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1246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1246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1246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1246</v>
      </c>
      <c r="G762" t="s">
        <v>896</v>
      </c>
      <c r="I762" t="s">
        <v>1198</v>
      </c>
      <c r="J762" t="s">
        <v>1207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1246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1246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1247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1247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1247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1247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1247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1247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1247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1248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1248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1248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1248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1248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1249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1249</v>
      </c>
      <c r="G794" t="s">
        <v>912</v>
      </c>
      <c r="I794" t="s">
        <v>1198</v>
      </c>
      <c r="J794" t="s">
        <v>1207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1249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1249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1249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1249</v>
      </c>
      <c r="F798" t="s">
        <v>111</v>
      </c>
      <c r="G798" t="s">
        <v>916</v>
      </c>
      <c r="I798" t="s">
        <v>1198</v>
      </c>
      <c r="J798" t="s">
        <v>1202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1249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1249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1250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1251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1251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1251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1251</v>
      </c>
      <c r="G816" t="s">
        <v>922</v>
      </c>
      <c r="I816" t="s">
        <v>1198</v>
      </c>
      <c r="J816" t="s">
        <v>1206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1251</v>
      </c>
      <c r="G817" t="s">
        <v>923</v>
      </c>
      <c r="I817" t="s">
        <v>1198</v>
      </c>
      <c r="J817" t="s">
        <v>1206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1251</v>
      </c>
      <c r="G818" t="s">
        <v>924</v>
      </c>
      <c r="I818" t="s">
        <v>1198</v>
      </c>
      <c r="J818" t="s">
        <v>1206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1252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1252</v>
      </c>
      <c r="G826" t="s">
        <v>926</v>
      </c>
      <c r="I826" t="s">
        <v>1198</v>
      </c>
      <c r="J826" t="s">
        <v>1202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1252</v>
      </c>
      <c r="G827" t="s">
        <v>927</v>
      </c>
      <c r="I827" t="s">
        <v>1198</v>
      </c>
      <c r="J827" t="s">
        <v>1202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1252</v>
      </c>
      <c r="G828" t="s">
        <v>928</v>
      </c>
      <c r="I828" t="s">
        <v>1198</v>
      </c>
      <c r="J828" t="s">
        <v>1202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1252</v>
      </c>
      <c r="G829" t="s">
        <v>929</v>
      </c>
      <c r="I829" t="s">
        <v>1198</v>
      </c>
      <c r="J829" t="s">
        <v>1202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1252</v>
      </c>
      <c r="G830" t="s">
        <v>930</v>
      </c>
      <c r="I830" t="s">
        <v>1198</v>
      </c>
      <c r="J830" t="s">
        <v>1202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1252</v>
      </c>
      <c r="G831" t="s">
        <v>931</v>
      </c>
      <c r="I831" t="s">
        <v>1198</v>
      </c>
      <c r="J831" t="s">
        <v>1202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1252</v>
      </c>
      <c r="G832" t="s">
        <v>932</v>
      </c>
      <c r="I832" t="s">
        <v>1198</v>
      </c>
      <c r="J832" t="s">
        <v>1209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1252</v>
      </c>
      <c r="G833" t="s">
        <v>933</v>
      </c>
      <c r="I833" t="s">
        <v>1198</v>
      </c>
      <c r="J833" t="s">
        <v>1209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1252</v>
      </c>
      <c r="G834" t="s">
        <v>936</v>
      </c>
      <c r="I834" t="s">
        <v>1198</v>
      </c>
      <c r="J834" t="s">
        <v>1210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1252</v>
      </c>
      <c r="G835" t="s">
        <v>937</v>
      </c>
      <c r="I835" t="s">
        <v>1198</v>
      </c>
      <c r="J835" t="s">
        <v>1210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1252</v>
      </c>
      <c r="G836" t="s">
        <v>938</v>
      </c>
      <c r="I836" t="s">
        <v>1198</v>
      </c>
      <c r="J836" t="s">
        <v>1210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1252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1252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1253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1253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1253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1254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1254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1254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1254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1254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1254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1254</v>
      </c>
      <c r="F859" t="s">
        <v>111</v>
      </c>
      <c r="G859" t="s">
        <v>948</v>
      </c>
      <c r="I859" t="s">
        <v>1198</v>
      </c>
      <c r="J859" t="s">
        <v>1220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1254</v>
      </c>
      <c r="F864" t="s">
        <v>950</v>
      </c>
      <c r="G864" t="s">
        <v>951</v>
      </c>
      <c r="H864" t="s">
        <v>113</v>
      </c>
      <c r="I864" t="s">
        <v>1198</v>
      </c>
      <c r="J864" t="s">
        <v>1219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1255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1255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1255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1255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1255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1255</v>
      </c>
      <c r="G877" t="s">
        <v>957</v>
      </c>
      <c r="I877" t="s">
        <v>1198</v>
      </c>
      <c r="J877" t="s">
        <v>1202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1255</v>
      </c>
      <c r="G878" t="s">
        <v>958</v>
      </c>
      <c r="I878" t="s">
        <v>1198</v>
      </c>
      <c r="J878" t="s">
        <v>1214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1255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1255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1256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1256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1256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1256</v>
      </c>
      <c r="G889" t="s">
        <v>964</v>
      </c>
      <c r="I889" t="s">
        <v>1198</v>
      </c>
      <c r="J889" t="s">
        <v>1202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1256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1256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1256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1256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1256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1256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1257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1257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1257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1258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1258</v>
      </c>
      <c r="G929" t="s">
        <v>989</v>
      </c>
      <c r="I929" t="s">
        <v>1198</v>
      </c>
      <c r="J929" t="s">
        <v>1206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1258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1258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1259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1259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1259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1259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1259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1259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1259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1259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1260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1260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1260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1261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1261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1261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1261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1261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1262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1262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1262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1262</v>
      </c>
      <c r="G972" t="s">
        <v>1011</v>
      </c>
      <c r="I972" t="s">
        <v>1198</v>
      </c>
      <c r="J972" t="s">
        <v>1215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1262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1262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1262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1262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1262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1263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1263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1263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1263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1263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1263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1264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1264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1265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1265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1265</v>
      </c>
      <c r="G1004" t="s">
        <v>1043</v>
      </c>
      <c r="I1004" t="s">
        <v>1198</v>
      </c>
      <c r="J1004" t="s">
        <v>1202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1265</v>
      </c>
      <c r="G1005" t="s">
        <v>1044</v>
      </c>
      <c r="I1005" t="s">
        <v>1198</v>
      </c>
      <c r="J1005" t="s">
        <v>1216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1265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1265</v>
      </c>
      <c r="G1007" t="s">
        <v>1046</v>
      </c>
      <c r="I1007" t="s">
        <v>1198</v>
      </c>
      <c r="J1007" t="s">
        <v>1206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1265</v>
      </c>
      <c r="G1008" t="s">
        <v>1047</v>
      </c>
      <c r="I1008" t="s">
        <v>1198</v>
      </c>
      <c r="J1008" t="s">
        <v>1206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1265</v>
      </c>
      <c r="G1009" t="s">
        <v>1048</v>
      </c>
      <c r="I1009" t="s">
        <v>1198</v>
      </c>
      <c r="J1009" t="s">
        <v>1206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1265</v>
      </c>
      <c r="G1010" t="s">
        <v>1049</v>
      </c>
      <c r="I1010" t="s">
        <v>1198</v>
      </c>
      <c r="J1010" t="s">
        <v>1211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1265</v>
      </c>
      <c r="G1011" t="s">
        <v>1050</v>
      </c>
      <c r="I1011" t="s">
        <v>1198</v>
      </c>
      <c r="J1011" t="s">
        <v>1211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1265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1265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1265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1265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1265</v>
      </c>
      <c r="F1016" t="s">
        <v>111</v>
      </c>
      <c r="G1016" t="s">
        <v>1054</v>
      </c>
      <c r="I1016" t="s">
        <v>1198</v>
      </c>
      <c r="J1016" t="s">
        <v>1202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1266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1266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1266</v>
      </c>
      <c r="G1024" t="s">
        <v>1057</v>
      </c>
      <c r="I1024" t="s">
        <v>1198</v>
      </c>
      <c r="J1024" t="s">
        <v>1202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1266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1266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1267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1267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1267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1267</v>
      </c>
      <c r="G1036" t="s">
        <v>1064</v>
      </c>
      <c r="I1036" t="s">
        <v>1198</v>
      </c>
      <c r="J1036" t="s">
        <v>1202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1267</v>
      </c>
      <c r="G1037" t="s">
        <v>1065</v>
      </c>
      <c r="I1037" t="s">
        <v>1198</v>
      </c>
      <c r="J1037" t="s">
        <v>1202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1267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1267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1267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1267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1267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1267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1268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1268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1268</v>
      </c>
      <c r="G1051" t="s">
        <v>1073</v>
      </c>
      <c r="I1051" t="s">
        <v>1198</v>
      </c>
      <c r="J1051" t="s">
        <v>1202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1268</v>
      </c>
      <c r="G1052" t="s">
        <v>1074</v>
      </c>
      <c r="I1052" t="s">
        <v>1198</v>
      </c>
      <c r="J1052" t="s">
        <v>1202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1268</v>
      </c>
      <c r="G1053" t="s">
        <v>1075</v>
      </c>
      <c r="I1053" t="s">
        <v>1198</v>
      </c>
      <c r="J1053" t="s">
        <v>1202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1269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1269</v>
      </c>
      <c r="G1061" t="s">
        <v>1077</v>
      </c>
      <c r="I1061" t="s">
        <v>1198</v>
      </c>
      <c r="J1061" t="s">
        <v>1202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1269</v>
      </c>
      <c r="G1062" t="s">
        <v>1078</v>
      </c>
      <c r="I1062" t="s">
        <v>1198</v>
      </c>
      <c r="J1062" t="s">
        <v>1202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1269</v>
      </c>
      <c r="G1063" t="s">
        <v>1079</v>
      </c>
      <c r="I1063" t="s">
        <v>1198</v>
      </c>
      <c r="J1063" t="s">
        <v>1202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1269</v>
      </c>
      <c r="G1064" t="s">
        <v>1080</v>
      </c>
      <c r="I1064" t="s">
        <v>1198</v>
      </c>
      <c r="J1064" t="s">
        <v>1202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1269</v>
      </c>
      <c r="G1065" t="s">
        <v>1081</v>
      </c>
      <c r="I1065" t="s">
        <v>1198</v>
      </c>
      <c r="J1065" t="s">
        <v>1202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1269</v>
      </c>
      <c r="G1066" t="s">
        <v>1082</v>
      </c>
      <c r="I1066" t="s">
        <v>1198</v>
      </c>
      <c r="J1066" t="s">
        <v>1207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1269</v>
      </c>
      <c r="G1067" t="s">
        <v>1083</v>
      </c>
      <c r="I1067" t="s">
        <v>1198</v>
      </c>
      <c r="J1067" t="s">
        <v>1207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1269</v>
      </c>
      <c r="G1068" t="s">
        <v>1084</v>
      </c>
      <c r="I1068" t="s">
        <v>1198</v>
      </c>
      <c r="J1068" t="s">
        <v>1217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1269</v>
      </c>
      <c r="G1069" t="s">
        <v>1085</v>
      </c>
      <c r="I1069" t="s">
        <v>1198</v>
      </c>
      <c r="J1069" t="s">
        <v>1217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1269</v>
      </c>
      <c r="F1070" t="s">
        <v>111</v>
      </c>
      <c r="G1070" t="s">
        <v>1086</v>
      </c>
      <c r="I1070" t="s">
        <v>1198</v>
      </c>
      <c r="J1070" t="s">
        <v>1207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  <row r="1078" spans="1:12" x14ac:dyDescent="0.2">
      <c r="A1078" s="4" t="s">
        <v>1287</v>
      </c>
      <c r="B1078" s="27">
        <v>1</v>
      </c>
      <c r="C1078" t="s">
        <v>1343</v>
      </c>
      <c r="L1078" t="s">
        <v>1344</v>
      </c>
    </row>
    <row r="1079" spans="1:12" x14ac:dyDescent="0.2">
      <c r="A1079" s="4" t="s">
        <v>1287</v>
      </c>
      <c r="B1079" s="27">
        <v>1</v>
      </c>
      <c r="C1079" t="s">
        <v>1286</v>
      </c>
      <c r="E1079" t="s">
        <v>1340</v>
      </c>
      <c r="G1079" t="s">
        <v>1339</v>
      </c>
      <c r="H1079" t="s">
        <v>113</v>
      </c>
      <c r="L1079" t="str">
        <f t="shared" ref="L1079" si="140">_xlfn.TEXTJOIN("", TRUE, D1079:K1079)</f>
        <v>03_Hieroglyphen-selten/F63_xnty_01.png</v>
      </c>
    </row>
    <row r="1080" spans="1:12" x14ac:dyDescent="0.2">
      <c r="A1080" s="4" t="s">
        <v>1287</v>
      </c>
      <c r="B1080" s="27">
        <v>1</v>
      </c>
      <c r="C1080" t="s">
        <v>39</v>
      </c>
      <c r="L1080" t="s">
        <v>1341</v>
      </c>
    </row>
    <row r="1081" spans="1:12" x14ac:dyDescent="0.2">
      <c r="A1081" s="4" t="s">
        <v>1287</v>
      </c>
      <c r="B1081" s="27">
        <v>1</v>
      </c>
      <c r="C1081" t="s">
        <v>27</v>
      </c>
      <c r="L1081" t="s">
        <v>1342</v>
      </c>
    </row>
    <row r="1086" spans="1:12" x14ac:dyDescent="0.2">
      <c r="A1086" s="4" t="s">
        <v>1325</v>
      </c>
      <c r="B1086" s="27">
        <v>1</v>
      </c>
      <c r="C1086" t="s">
        <v>1343</v>
      </c>
      <c r="L1086" t="s">
        <v>1345</v>
      </c>
    </row>
    <row r="1087" spans="1:12" x14ac:dyDescent="0.2">
      <c r="A1087" s="4" t="s">
        <v>1325</v>
      </c>
      <c r="B1087" s="27">
        <v>1</v>
      </c>
      <c r="C1087" t="s">
        <v>1286</v>
      </c>
      <c r="E1087" t="s">
        <v>1340</v>
      </c>
      <c r="G1087" t="s">
        <v>1346</v>
      </c>
      <c r="H1087" t="s">
        <v>113</v>
      </c>
      <c r="L1087" t="str">
        <f t="shared" ref="L1087" si="141">_xlfn.TEXTJOIN("", TRUE, D1087:K1087)</f>
        <v>03_Hieroglyphen-selten/N6B_nsw-bjt_01.png</v>
      </c>
    </row>
    <row r="1088" spans="1:12" x14ac:dyDescent="0.2">
      <c r="A1088" s="4" t="s">
        <v>1325</v>
      </c>
      <c r="B1088" s="27">
        <v>1</v>
      </c>
      <c r="C1088" t="s">
        <v>39</v>
      </c>
      <c r="L1088" t="s">
        <v>528</v>
      </c>
    </row>
    <row r="1089" spans="1:12" x14ac:dyDescent="0.2">
      <c r="A1089" s="4" t="s">
        <v>1325</v>
      </c>
      <c r="B1089" s="27">
        <v>1</v>
      </c>
      <c r="C1089" t="s">
        <v>27</v>
      </c>
      <c r="L1089" t="s">
        <v>1347</v>
      </c>
    </row>
    <row r="1090" spans="1:12" x14ac:dyDescent="0.2">
      <c r="A1090" s="4" t="s">
        <v>1325</v>
      </c>
      <c r="B1090" s="27">
        <v>2</v>
      </c>
      <c r="C1090" t="s">
        <v>1343</v>
      </c>
      <c r="L1090" t="s">
        <v>1349</v>
      </c>
    </row>
    <row r="1091" spans="1:12" x14ac:dyDescent="0.2">
      <c r="A1091" s="4" t="s">
        <v>1325</v>
      </c>
      <c r="B1091" s="27">
        <v>2</v>
      </c>
      <c r="C1091" t="s">
        <v>1286</v>
      </c>
      <c r="E1091" t="s">
        <v>1340</v>
      </c>
      <c r="G1091" t="s">
        <v>1348</v>
      </c>
      <c r="H1091" t="s">
        <v>113</v>
      </c>
      <c r="L1091" t="str">
        <f t="shared" ref="L1091" si="142">_xlfn.TEXTJOIN("", TRUE, D1091:K1091)</f>
        <v>03_Hieroglyphen-selten/N102_jmn_01.png</v>
      </c>
    </row>
    <row r="1092" spans="1:12" x14ac:dyDescent="0.2">
      <c r="A1092" s="4" t="s">
        <v>1325</v>
      </c>
      <c r="B1092" s="27">
        <v>2</v>
      </c>
      <c r="C1092" t="s">
        <v>39</v>
      </c>
      <c r="L1092" t="s">
        <v>177</v>
      </c>
    </row>
    <row r="1093" spans="1:12" x14ac:dyDescent="0.2">
      <c r="A1093" s="4" t="s">
        <v>1325</v>
      </c>
      <c r="B1093" s="27">
        <v>2</v>
      </c>
      <c r="C1093" t="s">
        <v>27</v>
      </c>
      <c r="L1093" t="s">
        <v>112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2026-06-01T11:50:16Z</dcterms:modified>
</cp:coreProperties>
</file>