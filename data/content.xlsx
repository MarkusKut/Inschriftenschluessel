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F2A65100-16B1-4D45-93E5-4AADA291EF01}" xr6:coauthVersionLast="47" xr6:coauthVersionMax="47" xr10:uidLastSave="{00000000-0000-0000-0000-000000000000}"/>
  <bookViews>
    <workbookView xWindow="-28800" yWindow="500" windowWidth="28800" windowHeight="1750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05" i="4" l="1"/>
  <c r="L1001" i="4"/>
  <c r="L1000" i="4"/>
  <c r="L993" i="4"/>
  <c r="L992" i="4"/>
  <c r="L971" i="4"/>
  <c r="L68" i="5"/>
  <c r="L67" i="5"/>
  <c r="L66" i="5"/>
  <c r="L65" i="5"/>
  <c r="L72" i="5"/>
  <c r="L70" i="5"/>
  <c r="L74" i="5"/>
  <c r="L76" i="5"/>
  <c r="L54" i="5"/>
  <c r="L52" i="5"/>
  <c r="L58" i="5"/>
  <c r="L56" i="5"/>
  <c r="L60" i="5"/>
  <c r="L50" i="5"/>
  <c r="L38" i="5"/>
  <c r="L306" i="4"/>
  <c r="L305" i="4"/>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192" i="5"/>
  <c r="L193" i="5"/>
  <c r="L227" i="5"/>
  <c r="L224" i="5"/>
  <c r="L221" i="5"/>
  <c r="L220" i="5"/>
  <c r="L218" i="5"/>
  <c r="L217" i="5"/>
  <c r="L214" i="5"/>
  <c r="L212" i="5"/>
  <c r="L258" i="5"/>
  <c r="L256" i="5"/>
  <c r="L254" i="5"/>
  <c r="L252" i="5"/>
  <c r="L251" i="5"/>
  <c r="L248" i="5"/>
  <c r="L250" i="5"/>
  <c r="L245" i="5"/>
  <c r="L243" i="5"/>
  <c r="L241" i="5"/>
  <c r="L239" i="5"/>
  <c r="L237" i="5"/>
  <c r="L235" i="5"/>
  <c r="L234" i="5"/>
  <c r="L207" i="5"/>
  <c r="L206" i="5"/>
  <c r="L204" i="5"/>
  <c r="L202" i="5"/>
  <c r="L366" i="4" l="1"/>
  <c r="L362" i="4"/>
  <c r="L429" i="4"/>
  <c r="L428" i="4"/>
  <c r="L548" i="4"/>
  <c r="L543" i="4"/>
  <c r="L770" i="4"/>
  <c r="L768" i="4"/>
  <c r="L800" i="4"/>
  <c r="L788" i="4"/>
  <c r="L781" i="4"/>
  <c r="L780" i="4"/>
  <c r="L777" i="4"/>
  <c r="L778" i="4"/>
  <c r="L779" i="4"/>
  <c r="L754" i="4"/>
  <c r="L764" i="4"/>
  <c r="L765" i="4"/>
  <c r="L766" i="4"/>
  <c r="L767" i="4"/>
  <c r="L769" i="4"/>
  <c r="L771" i="4"/>
  <c r="L1146" i="4" l="1"/>
  <c r="L1142" i="4"/>
  <c r="L1134" i="4"/>
  <c r="L439" i="4"/>
  <c r="L412" i="4"/>
  <c r="L411" i="4"/>
  <c r="L407" i="4"/>
  <c r="L406" i="4"/>
  <c r="L405" i="4"/>
  <c r="L400" i="4"/>
  <c r="L399" i="4"/>
  <c r="L398" i="4"/>
  <c r="L397" i="4"/>
  <c r="L396" i="4"/>
  <c r="L395" i="4"/>
  <c r="L420" i="4"/>
  <c r="L421" i="4"/>
  <c r="L422" i="4"/>
  <c r="L423" i="4"/>
  <c r="L433" i="4"/>
  <c r="L1125" i="4"/>
  <c r="L1124" i="4"/>
  <c r="L1123" i="4"/>
  <c r="L1122" i="4"/>
  <c r="L1121" i="4"/>
  <c r="L1120" i="4"/>
  <c r="L1119" i="4"/>
  <c r="L1118" i="4"/>
  <c r="L1117" i="4"/>
  <c r="L1116" i="4"/>
  <c r="L1115" i="4"/>
  <c r="L1108" i="4"/>
  <c r="L1107" i="4"/>
  <c r="L1106" i="4"/>
  <c r="L1105" i="4"/>
  <c r="L1104" i="4"/>
  <c r="L1098" i="4"/>
  <c r="L1097" i="4"/>
  <c r="L1096" i="4"/>
  <c r="L1095" i="4"/>
  <c r="L1094" i="4"/>
  <c r="L1093" i="4"/>
  <c r="L1092" i="4"/>
  <c r="L1091" i="4"/>
  <c r="L1081" i="4"/>
  <c r="L1080" i="4"/>
  <c r="L1079" i="4"/>
  <c r="L1078" i="4"/>
  <c r="L1071" i="4"/>
  <c r="L1068" i="4"/>
  <c r="L1067" i="4"/>
  <c r="L1066" i="4"/>
  <c r="L1065" i="4"/>
  <c r="L1064" i="4"/>
  <c r="L1063" i="4"/>
  <c r="L1062" i="4"/>
  <c r="L1061" i="4"/>
  <c r="L1060" i="4"/>
  <c r="L1059" i="4"/>
  <c r="L1058" i="4"/>
  <c r="L1043" i="4"/>
  <c r="L1042" i="4"/>
  <c r="L1041" i="4"/>
  <c r="L1040" i="4"/>
  <c r="L1039" i="4"/>
  <c r="L1030" i="4"/>
  <c r="L1029" i="4"/>
  <c r="L1028" i="4"/>
  <c r="L1027" i="4"/>
  <c r="L1017" i="4"/>
  <c r="L994" i="4"/>
  <c r="L984" i="4"/>
  <c r="L983" i="4"/>
  <c r="L945" i="4"/>
  <c r="L931" i="4"/>
  <c r="L930" i="4"/>
  <c r="L920" i="4"/>
  <c r="L919" i="4"/>
  <c r="L918" i="4"/>
  <c r="L906" i="4"/>
  <c r="L901" i="4"/>
  <c r="L898" i="4"/>
  <c r="L897" i="4"/>
  <c r="L888" i="4"/>
  <c r="L887" i="4"/>
  <c r="L878" i="4"/>
  <c r="L877" i="4"/>
  <c r="L876" i="4"/>
  <c r="L875" i="4"/>
  <c r="L874" i="4"/>
  <c r="L873" i="4"/>
  <c r="L872" i="4"/>
  <c r="L871" i="4"/>
  <c r="L870" i="4"/>
  <c r="L869" i="4"/>
  <c r="L868" i="4"/>
  <c r="L867" i="4"/>
  <c r="L860" i="4"/>
  <c r="L859" i="4"/>
  <c r="L858" i="4"/>
  <c r="L857" i="4"/>
  <c r="L856" i="4"/>
  <c r="L842" i="4"/>
  <c r="L841" i="4"/>
  <c r="L840" i="4"/>
  <c r="L839" i="4"/>
  <c r="L838" i="4"/>
  <c r="L837" i="4"/>
  <c r="L836" i="4"/>
  <c r="L829" i="4"/>
  <c r="L828" i="4"/>
  <c r="L827" i="4"/>
  <c r="L819" i="4"/>
  <c r="L818" i="4"/>
  <c r="L817" i="4"/>
  <c r="L816" i="4"/>
  <c r="L815" i="4"/>
  <c r="L806" i="4"/>
  <c r="L805" i="4"/>
  <c r="L804" i="4"/>
  <c r="L803" i="4"/>
  <c r="L802" i="4"/>
  <c r="L801" i="4"/>
  <c r="L793" i="4"/>
  <c r="L792" i="4"/>
  <c r="L791" i="4"/>
  <c r="L790" i="4"/>
  <c r="L789" i="4"/>
  <c r="L757" i="4"/>
  <c r="L756" i="4"/>
  <c r="L755" i="4"/>
  <c r="L721" i="4"/>
  <c r="L720" i="4"/>
  <c r="L719" i="4"/>
  <c r="L718" i="4"/>
  <c r="L717" i="4"/>
  <c r="L716" i="4"/>
  <c r="L715" i="4"/>
  <c r="L714" i="4"/>
  <c r="L713" i="4"/>
  <c r="L712" i="4"/>
  <c r="L698" i="4"/>
  <c r="L697" i="4"/>
  <c r="L696" i="4"/>
  <c r="L695" i="4"/>
  <c r="L690" i="4"/>
  <c r="L689" i="4"/>
  <c r="L688" i="4"/>
  <c r="L687" i="4"/>
  <c r="L680" i="4"/>
  <c r="L679" i="4"/>
  <c r="L678" i="4"/>
  <c r="L677" i="4"/>
  <c r="L676" i="4"/>
  <c r="L675" i="4"/>
  <c r="L674" i="4"/>
  <c r="L673" i="4"/>
  <c r="L672" i="4"/>
  <c r="L671" i="4"/>
  <c r="L670" i="4"/>
  <c r="L653" i="4"/>
  <c r="L652" i="4"/>
  <c r="L643" i="4"/>
  <c r="L642" i="4"/>
  <c r="L623" i="4"/>
  <c r="L622" i="4"/>
  <c r="L621" i="4"/>
  <c r="L620" i="4"/>
  <c r="L619" i="4"/>
  <c r="L605" i="4"/>
  <c r="L593" i="4"/>
  <c r="L592" i="4"/>
  <c r="L583" i="4"/>
  <c r="L582" i="4"/>
  <c r="L581" i="4"/>
  <c r="L580" i="4"/>
  <c r="L579" i="4"/>
  <c r="L578" i="4"/>
  <c r="L577" i="4"/>
  <c r="L553" i="4"/>
  <c r="L537" i="4"/>
  <c r="L536" i="4"/>
  <c r="L535" i="4"/>
  <c r="L521" i="4"/>
  <c r="L520" i="4"/>
  <c r="L519" i="4"/>
  <c r="L518" i="4"/>
  <c r="L507" i="4"/>
  <c r="L506" i="4"/>
  <c r="L505" i="4"/>
  <c r="L504" i="4"/>
  <c r="L503" i="4"/>
  <c r="L502" i="4"/>
  <c r="L501" i="4"/>
  <c r="L500" i="4"/>
  <c r="L499" i="4"/>
  <c r="L495" i="4"/>
  <c r="L484" i="4"/>
  <c r="L483" i="4"/>
  <c r="L475" i="4"/>
  <c r="L464" i="4"/>
  <c r="L451" i="4"/>
  <c r="L450" i="4"/>
  <c r="L449" i="4"/>
  <c r="L448" i="4"/>
  <c r="L32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00" i="5"/>
  <c r="L199" i="5"/>
  <c r="L198" i="5"/>
  <c r="L197" i="5"/>
  <c r="L196" i="5"/>
  <c r="L189" i="5"/>
  <c r="L188" i="5"/>
  <c r="L187" i="5"/>
  <c r="L181" i="5"/>
  <c r="L184" i="5"/>
  <c r="L174" i="5"/>
  <c r="L172" i="5"/>
  <c r="L118" i="5"/>
  <c r="L116" i="5"/>
  <c r="L114" i="5"/>
  <c r="L113" i="5"/>
  <c r="L101" i="5" l="1"/>
  <c r="L109" i="5"/>
  <c r="L105" i="5"/>
  <c r="L103" i="5"/>
  <c r="L97" i="5"/>
  <c r="L108" i="5"/>
  <c r="L100" i="5"/>
  <c r="L96" i="5"/>
  <c r="L95" i="5"/>
  <c r="L253" i="4"/>
  <c r="L261" i="4"/>
  <c r="L257" i="4"/>
  <c r="L252" i="4"/>
  <c r="L258" i="4"/>
  <c r="L254" i="4"/>
  <c r="L350" i="4"/>
  <c r="L282" i="5"/>
  <c r="L283" i="5"/>
  <c r="L275" i="5"/>
  <c r="L276" i="5"/>
  <c r="L481" i="4"/>
  <c r="L482" i="4"/>
  <c r="L488" i="4"/>
  <c r="L492" i="4"/>
  <c r="L493" i="4"/>
  <c r="L494" i="4"/>
  <c r="L1090" i="4"/>
  <c r="L1089" i="4"/>
  <c r="L1088" i="4"/>
  <c r="L1077" i="4"/>
  <c r="L1069" i="4"/>
  <c r="L1070" i="4"/>
  <c r="L1057" i="4"/>
  <c r="L1038" i="4"/>
  <c r="L1031" i="4"/>
  <c r="L1026" i="4"/>
  <c r="L1025" i="4"/>
  <c r="L1024" i="4"/>
  <c r="L1015" i="4"/>
  <c r="L1014" i="4"/>
  <c r="L1016" i="4"/>
  <c r="L985" i="4"/>
  <c r="L980" i="4"/>
  <c r="L979" i="4"/>
  <c r="L982" i="4"/>
  <c r="L981" i="4"/>
  <c r="L972" i="4"/>
  <c r="L970" i="4"/>
  <c r="L961" i="4"/>
  <c r="L962" i="4"/>
  <c r="L957" i="4"/>
  <c r="L953" i="4"/>
  <c r="L949" i="4"/>
  <c r="L941" i="4"/>
  <c r="L937" i="4"/>
  <c r="L929" i="4"/>
  <c r="L928" i="4"/>
  <c r="L921" i="4"/>
  <c r="L917" i="4"/>
  <c r="L916" i="4"/>
  <c r="L915" i="4"/>
  <c r="L914" i="4"/>
  <c r="L899" i="4" l="1"/>
  <c r="L900" i="4"/>
  <c r="L896" i="4"/>
  <c r="L895" i="4"/>
  <c r="L886" i="4"/>
  <c r="L879" i="4"/>
  <c r="L855" i="4"/>
  <c r="L835" i="4"/>
  <c r="L826" i="4"/>
  <c r="L825" i="4"/>
  <c r="L814" i="4"/>
  <c r="L813" i="4"/>
  <c r="L758" i="4"/>
  <c r="L753" i="4"/>
  <c r="L744" i="4"/>
  <c r="L745" i="4"/>
  <c r="L746" i="4"/>
  <c r="L736" i="4"/>
  <c r="L737" i="4"/>
  <c r="L727" i="4"/>
  <c r="L728" i="4"/>
  <c r="L711" i="4"/>
  <c r="L710" i="4"/>
  <c r="L703" i="4"/>
  <c r="L704" i="4"/>
  <c r="L694" i="4"/>
  <c r="L686" i="4"/>
  <c r="L685" i="4"/>
  <c r="L669" i="4"/>
  <c r="L663" i="4"/>
  <c r="L664" i="4"/>
  <c r="L659" i="4"/>
  <c r="L654" i="4"/>
  <c r="L651" i="4"/>
  <c r="L650" i="4"/>
  <c r="L641" i="4"/>
  <c r="L627" i="4"/>
  <c r="L618" i="4"/>
  <c r="L617" i="4"/>
  <c r="L604" i="4"/>
  <c r="L600" i="4"/>
  <c r="L599" i="4"/>
  <c r="L598" i="4"/>
  <c r="L597" i="4"/>
  <c r="L602" i="4"/>
  <c r="L601" i="4"/>
  <c r="L603" i="4"/>
  <c r="L590" i="4"/>
  <c r="L589" i="4"/>
  <c r="L591" i="4"/>
  <c r="L632" i="4"/>
  <c r="L628" i="4"/>
  <c r="L613" i="4"/>
  <c r="L609" i="4"/>
  <c r="L584" i="4"/>
  <c r="L576" i="4"/>
  <c r="L575" i="4"/>
  <c r="L574" i="4"/>
  <c r="L1109" i="4"/>
  <c r="L1082" i="4"/>
  <c r="L1051" i="4"/>
  <c r="L1050" i="4"/>
  <c r="L1044" i="4"/>
  <c r="L1032" i="4"/>
  <c r="L1018" i="4"/>
  <c r="L995" i="4"/>
  <c r="L986" i="4"/>
  <c r="L973" i="4"/>
  <c r="L964" i="4"/>
  <c r="L963" i="4"/>
  <c r="L932" i="4"/>
  <c r="L922" i="4"/>
  <c r="L889" i="4"/>
  <c r="L880" i="4"/>
  <c r="L861" i="4"/>
  <c r="L849" i="4"/>
  <c r="L848" i="4"/>
  <c r="L807" i="4"/>
  <c r="L794" i="4"/>
  <c r="L782" i="4"/>
  <c r="L759" i="4"/>
  <c r="L739" i="4"/>
  <c r="L738" i="4"/>
  <c r="L730" i="4"/>
  <c r="L729" i="4"/>
  <c r="L702" i="4"/>
  <c r="L565" i="4"/>
  <c r="L564" i="4"/>
  <c r="L566" i="4"/>
  <c r="L567" i="4"/>
  <c r="L558" i="4"/>
  <c r="L549" i="4"/>
  <c r="L544" i="4"/>
  <c r="L534" i="4"/>
  <c r="L533" i="4"/>
  <c r="L527" i="4"/>
  <c r="L528" i="4"/>
  <c r="L517" i="4"/>
  <c r="L516" i="4"/>
  <c r="L515" i="4"/>
  <c r="L476" i="4"/>
  <c r="L474" i="4"/>
  <c r="L472" i="4"/>
  <c r="L471" i="4"/>
  <c r="L473" i="4"/>
  <c r="L463" i="4"/>
  <c r="L462" i="4"/>
  <c r="L460" i="4"/>
  <c r="L459" i="4"/>
  <c r="L461" i="4"/>
  <c r="L447" i="4"/>
  <c r="L445" i="4"/>
  <c r="L446" i="4"/>
  <c r="L392" i="4"/>
  <c r="L391" i="4"/>
  <c r="L390" i="4"/>
  <c r="L389" i="4"/>
  <c r="L388" i="4"/>
  <c r="L387" i="4"/>
  <c r="L386" i="4"/>
  <c r="L358" i="4" l="1"/>
  <c r="L354" i="4"/>
  <c r="L346" i="4"/>
  <c r="L345" i="4"/>
  <c r="L344" i="4"/>
  <c r="L340" i="4"/>
  <c r="L339" i="4"/>
  <c r="L338" i="4"/>
  <c r="L331" i="4"/>
  <c r="L325" i="4"/>
  <c r="L332" i="4"/>
  <c r="L320" i="4"/>
  <c r="L315" i="4"/>
  <c r="L310" i="4"/>
  <c r="L249" i="4"/>
  <c r="L246" i="4"/>
  <c r="L262" i="4"/>
  <c r="L155" i="5"/>
  <c r="L154" i="5"/>
  <c r="L152" i="5"/>
  <c r="L151" i="5"/>
  <c r="L150" i="5"/>
  <c r="L149" i="5"/>
  <c r="L143" i="5"/>
  <c r="L139" i="5"/>
  <c r="L138" i="5"/>
  <c r="L137" i="5"/>
  <c r="L136" i="5"/>
  <c r="L135" i="5"/>
  <c r="L134" i="5"/>
  <c r="L130" i="5"/>
  <c r="L228" i="4"/>
  <c r="L227" i="4"/>
  <c r="L229" i="4"/>
  <c r="L221" i="4"/>
  <c r="L220" i="4"/>
  <c r="L224" i="4"/>
  <c r="L223" i="4"/>
  <c r="L222" i="4"/>
  <c r="L193" i="4"/>
  <c r="L189" i="4"/>
  <c r="L188" i="4"/>
  <c r="L187" i="4"/>
  <c r="L183" i="4"/>
  <c r="L178" i="4"/>
  <c r="L177" i="4"/>
  <c r="L176" i="4"/>
  <c r="L175" i="4"/>
  <c r="L174" i="4"/>
  <c r="L166" i="4"/>
  <c r="L165" i="4"/>
  <c r="L91" i="5"/>
  <c r="L89" i="5"/>
  <c r="L86"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<sst xmlns="http://schemas.openxmlformats.org/spreadsheetml/2006/main" count="6758" uniqueCount="1513">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</sst>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541</v>
      </c>
      <c r="D8" s="21" t="s">
        <v>73</v>
      </c>
      <c r="F8" s="21">
        <v>60</v>
      </c>
    </row>
    <row r="9" spans="1:6" s="31" customFormat="1" x14ac:dyDescent="0.2">
      <c r="A9" s="31" t="s">
        <v>67</v>
      </c>
      <c r="B9" s="31" t="s">
        <v>11</v>
      </c>
      <c r="C9" s="31" t="s">
        <v>1089</v>
      </c>
      <c r="D9" s="31" t="s">
        <v>74</v>
      </c>
      <c r="F9" s="31">
        <v>70</v>
      </c>
    </row>
    <row r="10" spans="1:6" x14ac:dyDescent="0.2">
      <c r="A10" t="s">
        <v>68</v>
      </c>
      <c r="B10" t="s">
        <v>11</v>
      </c>
      <c r="C10" t="s">
        <v>1090</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477</v>
      </c>
      <c r="D15" t="s">
        <v>463</v>
      </c>
      <c r="F15">
        <v>140</v>
      </c>
    </row>
    <row r="16" spans="1:6" x14ac:dyDescent="0.2">
      <c r="A16" t="s">
        <v>545</v>
      </c>
      <c r="B16" t="s">
        <v>14</v>
      </c>
      <c r="C16" t="s">
        <v>544</v>
      </c>
      <c r="D16" t="s">
        <v>546</v>
      </c>
      <c r="F16">
        <v>150</v>
      </c>
    </row>
    <row r="17" spans="1:6" x14ac:dyDescent="0.2">
      <c r="A17" t="s">
        <v>1372</v>
      </c>
      <c r="B17" t="s">
        <v>14</v>
      </c>
      <c r="C17" t="s">
        <v>548</v>
      </c>
      <c r="D17" t="s">
        <v>1390</v>
      </c>
      <c r="F17">
        <v>150</v>
      </c>
    </row>
    <row r="18" spans="1:6" x14ac:dyDescent="0.2">
      <c r="A18" t="s">
        <v>1232</v>
      </c>
      <c r="B18" t="s">
        <v>14</v>
      </c>
      <c r="C18" t="s">
        <v>1233</v>
      </c>
      <c r="D18" t="s">
        <v>1234</v>
      </c>
      <c r="F18">
        <v>160</v>
      </c>
    </row>
    <row r="19" spans="1:6" x14ac:dyDescent="0.2">
      <c r="A19" t="s">
        <v>1299</v>
      </c>
      <c r="B19" t="s">
        <v>14</v>
      </c>
      <c r="C19" t="s">
        <v>1300</v>
      </c>
      <c r="D19" t="s">
        <v>1301</v>
      </c>
      <c r="F19">
        <v>170</v>
      </c>
    </row>
    <row r="20" spans="1:6" x14ac:dyDescent="0.2">
      <c r="A20" t="s">
        <v>1315</v>
      </c>
      <c r="B20" t="s">
        <v>14</v>
      </c>
      <c r="C20" t="s">
        <v>1316</v>
      </c>
      <c r="D20" t="s">
        <v>1317</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541</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1"/>
  <sheetViews>
    <sheetView topLeftCell="A7" zoomScale="108" zoomScaleNormal="90" workbookViewId="0">
      <selection activeCell="E15" sqref="E15"/>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1485</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1483</v>
      </c>
      <c r="F12" s="7">
        <v>4</v>
      </c>
    </row>
    <row r="13" spans="1:6" s="7" customFormat="1" ht="34" x14ac:dyDescent="0.2">
      <c r="A13" s="7" t="s">
        <v>62</v>
      </c>
      <c r="B13" s="7" t="s">
        <v>26</v>
      </c>
      <c r="D13" s="8" t="s">
        <v>1486</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1073</v>
      </c>
      <c r="F19" s="13">
        <v>3</v>
      </c>
    </row>
    <row r="20" spans="1:6" s="13" customFormat="1" x14ac:dyDescent="0.2">
      <c r="A20" s="13" t="s">
        <v>63</v>
      </c>
      <c r="B20" s="13" t="s">
        <v>32</v>
      </c>
      <c r="C20" s="13" t="s">
        <v>532</v>
      </c>
      <c r="D20" s="14"/>
      <c r="E20" s="13" t="s">
        <v>1075</v>
      </c>
      <c r="F20" s="13">
        <v>4</v>
      </c>
    </row>
    <row r="21" spans="1:6" s="13" customFormat="1" x14ac:dyDescent="0.2">
      <c r="A21" s="13" t="s">
        <v>63</v>
      </c>
      <c r="B21" s="13" t="s">
        <v>32</v>
      </c>
      <c r="C21" s="13" t="s">
        <v>536</v>
      </c>
      <c r="D21" s="14"/>
      <c r="E21" s="13" t="s">
        <v>1074</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1060</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x14ac:dyDescent="0.2">
      <c r="A29" s="19" t="s">
        <v>65</v>
      </c>
      <c r="B29" s="19" t="s">
        <v>32</v>
      </c>
      <c r="C29" s="19" t="s">
        <v>33</v>
      </c>
      <c r="D29" s="20"/>
      <c r="E29" s="19" t="s">
        <v>459</v>
      </c>
      <c r="F29" s="19">
        <v>3</v>
      </c>
    </row>
    <row r="31" spans="1:6" s="22" customFormat="1" x14ac:dyDescent="0.2">
      <c r="A31" s="22" t="s">
        <v>66</v>
      </c>
      <c r="B31" s="22" t="s">
        <v>24</v>
      </c>
      <c r="D31" s="33"/>
      <c r="E31" s="22" t="s">
        <v>543</v>
      </c>
      <c r="F31" s="22">
        <v>1</v>
      </c>
    </row>
    <row r="32" spans="1:6" s="22" customFormat="1" ht="34" x14ac:dyDescent="0.2">
      <c r="A32" s="22" t="s">
        <v>66</v>
      </c>
      <c r="B32" s="22" t="s">
        <v>26</v>
      </c>
      <c r="D32" s="34" t="s">
        <v>1368</v>
      </c>
      <c r="F32" s="22">
        <v>2</v>
      </c>
    </row>
    <row r="33" spans="1:6" s="22" customFormat="1" ht="34" x14ac:dyDescent="0.2">
      <c r="A33" s="22" t="s">
        <v>66</v>
      </c>
      <c r="B33" s="22" t="s">
        <v>26</v>
      </c>
      <c r="D33" s="34" t="s">
        <v>1369</v>
      </c>
      <c r="F33" s="22">
        <v>3</v>
      </c>
    </row>
    <row r="34" spans="1:6" s="22" customFormat="1" x14ac:dyDescent="0.2">
      <c r="A34" s="22" t="s">
        <v>66</v>
      </c>
      <c r="B34" s="22" t="s">
        <v>24</v>
      </c>
      <c r="C34" s="22" t="s">
        <v>502</v>
      </c>
      <c r="D34" s="33"/>
      <c r="E34" s="22" t="s">
        <v>1366</v>
      </c>
      <c r="F34" s="22">
        <v>4</v>
      </c>
    </row>
    <row r="35" spans="1:6" s="22" customFormat="1" ht="34" x14ac:dyDescent="0.2">
      <c r="A35" s="22" t="s">
        <v>66</v>
      </c>
      <c r="B35" s="22" t="s">
        <v>26</v>
      </c>
      <c r="D35" s="34" t="s">
        <v>1370</v>
      </c>
      <c r="F35" s="22">
        <v>5</v>
      </c>
    </row>
    <row r="36" spans="1:6" s="22" customFormat="1" ht="35" customHeight="1" x14ac:dyDescent="0.2">
      <c r="A36" s="22" t="s">
        <v>66</v>
      </c>
      <c r="B36" s="22" t="s">
        <v>26</v>
      </c>
      <c r="C36" s="22" t="s">
        <v>562</v>
      </c>
      <c r="D36" s="33" t="s">
        <v>1367</v>
      </c>
      <c r="F36" s="22">
        <v>6</v>
      </c>
    </row>
    <row r="37" spans="1:6" s="22" customFormat="1" x14ac:dyDescent="0.2">
      <c r="A37" s="22" t="s">
        <v>66</v>
      </c>
      <c r="B37" s="22" t="s">
        <v>24</v>
      </c>
      <c r="C37" s="22" t="s">
        <v>544</v>
      </c>
      <c r="D37" s="33"/>
      <c r="E37" s="22" t="s">
        <v>1091</v>
      </c>
      <c r="F37" s="22">
        <v>7</v>
      </c>
    </row>
    <row r="38" spans="1:6" s="22" customFormat="1" ht="34" x14ac:dyDescent="0.2">
      <c r="A38" s="22" t="s">
        <v>66</v>
      </c>
      <c r="B38" s="22" t="s">
        <v>26</v>
      </c>
      <c r="D38" s="34" t="s">
        <v>1389</v>
      </c>
      <c r="F38" s="22">
        <v>8</v>
      </c>
    </row>
    <row r="39" spans="1:6" s="22" customFormat="1" x14ac:dyDescent="0.2">
      <c r="A39" s="22" t="s">
        <v>66</v>
      </c>
      <c r="B39" s="22" t="s">
        <v>24</v>
      </c>
      <c r="C39" s="22" t="s">
        <v>548</v>
      </c>
      <c r="D39" s="33"/>
      <c r="E39" s="22" t="s">
        <v>1371</v>
      </c>
      <c r="F39" s="22">
        <v>9</v>
      </c>
    </row>
    <row r="40" spans="1:6" s="22" customFormat="1" ht="51" x14ac:dyDescent="0.2">
      <c r="A40" s="22" t="s">
        <v>66</v>
      </c>
      <c r="B40" s="22" t="s">
        <v>26</v>
      </c>
      <c r="D40" s="34" t="s">
        <v>1392</v>
      </c>
      <c r="F40" s="22">
        <v>10</v>
      </c>
    </row>
    <row r="41" spans="1:6" s="22" customFormat="1" ht="17" x14ac:dyDescent="0.2">
      <c r="A41" s="22" t="s">
        <v>66</v>
      </c>
      <c r="B41" s="22" t="s">
        <v>26</v>
      </c>
      <c r="D41" s="34" t="s">
        <v>1373</v>
      </c>
      <c r="F41"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29"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1043</v>
      </c>
      <c r="J1" s="3" t="s">
        <v>1050</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1051</v>
      </c>
      <c r="K4" s="4">
        <v>3</v>
      </c>
    </row>
    <row r="5" spans="1:11" x14ac:dyDescent="0.2">
      <c r="A5" s="4" t="s">
        <v>13</v>
      </c>
      <c r="B5" s="4" t="s">
        <v>28</v>
      </c>
      <c r="C5" s="4" t="s">
        <v>58</v>
      </c>
      <c r="D5" s="4" t="s">
        <v>59</v>
      </c>
      <c r="F5" s="4" t="s">
        <v>60</v>
      </c>
      <c r="G5" s="4" t="s">
        <v>61</v>
      </c>
      <c r="H5" s="4" t="s">
        <v>171</v>
      </c>
      <c r="J5" s="4" t="s">
        <v>1052</v>
      </c>
      <c r="K5" s="4">
        <v>4</v>
      </c>
    </row>
    <row r="7" spans="1:11" x14ac:dyDescent="0.2">
      <c r="A7" s="4" t="s">
        <v>76</v>
      </c>
      <c r="B7" s="4" t="s">
        <v>26</v>
      </c>
      <c r="C7" s="4" t="s">
        <v>53</v>
      </c>
      <c r="D7" s="4" t="s">
        <v>185</v>
      </c>
      <c r="E7" s="4" t="s">
        <v>1134</v>
      </c>
      <c r="G7" s="4" t="s">
        <v>54</v>
      </c>
      <c r="K7" s="4">
        <v>1</v>
      </c>
    </row>
    <row r="8" spans="1:11" x14ac:dyDescent="0.2">
      <c r="A8" s="4" t="s">
        <v>76</v>
      </c>
      <c r="B8" s="4" t="s">
        <v>28</v>
      </c>
      <c r="C8" s="4" t="s">
        <v>55</v>
      </c>
      <c r="D8" s="4" t="s">
        <v>186</v>
      </c>
      <c r="F8" s="4" t="s">
        <v>197</v>
      </c>
      <c r="G8" s="4" t="s">
        <v>54</v>
      </c>
      <c r="J8" s="4" t="s">
        <v>1052</v>
      </c>
      <c r="K8" s="4">
        <v>2</v>
      </c>
    </row>
    <row r="9" spans="1:11" x14ac:dyDescent="0.2">
      <c r="A9" s="4" t="s">
        <v>76</v>
      </c>
      <c r="B9" s="4" t="s">
        <v>28</v>
      </c>
      <c r="C9" s="4" t="s">
        <v>55</v>
      </c>
      <c r="D9" s="4" t="s">
        <v>1109</v>
      </c>
      <c r="F9" s="4" t="s">
        <v>194</v>
      </c>
      <c r="G9" s="4" t="s">
        <v>54</v>
      </c>
      <c r="J9" s="4" t="s">
        <v>1052</v>
      </c>
      <c r="K9" s="4">
        <v>3</v>
      </c>
    </row>
    <row r="10" spans="1:11" x14ac:dyDescent="0.2">
      <c r="A10" s="4" t="s">
        <v>76</v>
      </c>
      <c r="B10" s="4" t="s">
        <v>28</v>
      </c>
      <c r="C10" s="4" t="s">
        <v>55</v>
      </c>
      <c r="D10" s="4" t="s">
        <v>1110</v>
      </c>
      <c r="F10" s="4" t="s">
        <v>195</v>
      </c>
      <c r="G10" s="4" t="s">
        <v>54</v>
      </c>
      <c r="J10" s="4" t="s">
        <v>1053</v>
      </c>
      <c r="K10" s="4">
        <v>4</v>
      </c>
    </row>
    <row r="11" spans="1:11" x14ac:dyDescent="0.2">
      <c r="A11" s="4" t="s">
        <v>76</v>
      </c>
      <c r="B11" s="4" t="s">
        <v>28</v>
      </c>
      <c r="C11" s="4" t="s">
        <v>55</v>
      </c>
      <c r="D11" s="4" t="s">
        <v>1111</v>
      </c>
      <c r="F11" s="4" t="s">
        <v>196</v>
      </c>
      <c r="G11" s="4" t="s">
        <v>54</v>
      </c>
      <c r="J11" s="4" t="s">
        <v>1052</v>
      </c>
      <c r="K11" s="4">
        <v>5</v>
      </c>
    </row>
    <row r="13" spans="1:11" x14ac:dyDescent="0.2">
      <c r="A13" s="4" t="s">
        <v>77</v>
      </c>
      <c r="B13" s="4" t="s">
        <v>26</v>
      </c>
      <c r="C13" s="4" t="s">
        <v>53</v>
      </c>
      <c r="E13" s="4" t="s">
        <v>1132</v>
      </c>
      <c r="G13" s="4" t="s">
        <v>54</v>
      </c>
      <c r="K13" s="4">
        <v>1</v>
      </c>
    </row>
    <row r="14" spans="1:11" x14ac:dyDescent="0.2">
      <c r="A14" s="4" t="s">
        <v>77</v>
      </c>
      <c r="B14" s="4" t="s">
        <v>26</v>
      </c>
      <c r="C14" s="4" t="s">
        <v>55</v>
      </c>
      <c r="D14" s="4" t="s">
        <v>1112</v>
      </c>
      <c r="G14" s="4" t="s">
        <v>54</v>
      </c>
      <c r="K14" s="4">
        <v>2</v>
      </c>
    </row>
    <row r="15" spans="1:11" x14ac:dyDescent="0.2">
      <c r="A15" s="4" t="s">
        <v>77</v>
      </c>
      <c r="B15" s="4" t="s">
        <v>28</v>
      </c>
      <c r="C15" s="4" t="s">
        <v>55</v>
      </c>
      <c r="E15" s="4" t="s">
        <v>401</v>
      </c>
      <c r="F15" s="4" t="s">
        <v>378</v>
      </c>
      <c r="G15" s="4" t="s">
        <v>54</v>
      </c>
      <c r="J15" s="4" t="s">
        <v>1053</v>
      </c>
      <c r="K15" s="4">
        <v>3</v>
      </c>
    </row>
    <row r="16" spans="1:11" x14ac:dyDescent="0.2">
      <c r="A16" s="4" t="s">
        <v>77</v>
      </c>
      <c r="B16" s="4" t="s">
        <v>28</v>
      </c>
      <c r="C16" s="4" t="s">
        <v>55</v>
      </c>
      <c r="E16" s="4" t="s">
        <v>402</v>
      </c>
      <c r="F16" s="4" t="s">
        <v>403</v>
      </c>
      <c r="G16" s="4" t="s">
        <v>54</v>
      </c>
      <c r="J16" s="4" t="s">
        <v>1053</v>
      </c>
      <c r="K16" s="4">
        <v>4</v>
      </c>
    </row>
    <row r="17" spans="1:11" x14ac:dyDescent="0.2">
      <c r="A17" s="4" t="s">
        <v>77</v>
      </c>
      <c r="B17" s="4" t="s">
        <v>26</v>
      </c>
      <c r="C17" s="4" t="s">
        <v>55</v>
      </c>
      <c r="D17" s="4" t="s">
        <v>1113</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1044</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1045</v>
      </c>
      <c r="K21" s="4">
        <v>9</v>
      </c>
    </row>
    <row r="22" spans="1:11" x14ac:dyDescent="0.2">
      <c r="A22" s="4" t="s">
        <v>77</v>
      </c>
      <c r="B22" s="4" t="s">
        <v>28</v>
      </c>
      <c r="C22" s="4" t="s">
        <v>55</v>
      </c>
      <c r="D22" s="4" t="s">
        <v>1114</v>
      </c>
      <c r="F22" s="4" t="s">
        <v>425</v>
      </c>
      <c r="G22" s="4" t="s">
        <v>54</v>
      </c>
      <c r="J22" s="4" t="s">
        <v>1051</v>
      </c>
      <c r="K22" s="4">
        <v>10</v>
      </c>
    </row>
    <row r="23" spans="1:11" x14ac:dyDescent="0.2">
      <c r="A23" s="4" t="s">
        <v>77</v>
      </c>
      <c r="B23" s="4" t="s">
        <v>28</v>
      </c>
      <c r="C23" s="4" t="s">
        <v>55</v>
      </c>
      <c r="D23" s="4" t="s">
        <v>1115</v>
      </c>
      <c r="F23" s="4" t="s">
        <v>433</v>
      </c>
      <c r="G23" s="4" t="s">
        <v>54</v>
      </c>
      <c r="J23" s="4" t="s">
        <v>1053</v>
      </c>
      <c r="K23" s="4">
        <v>11</v>
      </c>
    </row>
    <row r="24" spans="1:11" x14ac:dyDescent="0.2">
      <c r="A24" s="4" t="s">
        <v>77</v>
      </c>
      <c r="B24" s="4" t="s">
        <v>26</v>
      </c>
      <c r="C24" s="4" t="s">
        <v>55</v>
      </c>
      <c r="D24" s="4" t="s">
        <v>1219</v>
      </c>
      <c r="G24" s="4" t="s">
        <v>54</v>
      </c>
      <c r="K24" s="4">
        <v>12</v>
      </c>
    </row>
    <row r="25" spans="1:11" x14ac:dyDescent="0.2">
      <c r="A25" s="4" t="s">
        <v>77</v>
      </c>
      <c r="B25" s="4" t="s">
        <v>26</v>
      </c>
      <c r="C25" s="4" t="s">
        <v>55</v>
      </c>
      <c r="E25" s="4" t="s">
        <v>1220</v>
      </c>
      <c r="G25" s="4" t="s">
        <v>54</v>
      </c>
      <c r="K25" s="4">
        <v>13</v>
      </c>
    </row>
    <row r="26" spans="1:11" x14ac:dyDescent="0.2">
      <c r="A26" s="4" t="s">
        <v>77</v>
      </c>
      <c r="B26" s="4" t="s">
        <v>24</v>
      </c>
      <c r="C26" s="4" t="s">
        <v>55</v>
      </c>
      <c r="G26" s="4" t="s">
        <v>54</v>
      </c>
      <c r="I26" s="4" t="s">
        <v>1223</v>
      </c>
      <c r="K26" s="4">
        <v>14</v>
      </c>
    </row>
    <row r="27" spans="1:11" x14ac:dyDescent="0.2">
      <c r="A27" s="4" t="s">
        <v>77</v>
      </c>
      <c r="B27" s="4" t="s">
        <v>26</v>
      </c>
      <c r="C27" s="4" t="s">
        <v>55</v>
      </c>
      <c r="E27" s="4" t="s">
        <v>1221</v>
      </c>
      <c r="G27" s="4" t="s">
        <v>54</v>
      </c>
      <c r="K27" s="4">
        <v>15</v>
      </c>
    </row>
    <row r="28" spans="1:11" x14ac:dyDescent="0.2">
      <c r="A28" s="4" t="s">
        <v>77</v>
      </c>
      <c r="B28" s="4" t="s">
        <v>24</v>
      </c>
      <c r="C28" s="4" t="s">
        <v>55</v>
      </c>
      <c r="G28" s="4" t="s">
        <v>54</v>
      </c>
      <c r="I28" s="4" t="s">
        <v>1224</v>
      </c>
      <c r="K28" s="4">
        <v>16</v>
      </c>
    </row>
    <row r="29" spans="1:11" x14ac:dyDescent="0.2">
      <c r="A29" s="4" t="s">
        <v>77</v>
      </c>
      <c r="B29" s="4" t="s">
        <v>26</v>
      </c>
      <c r="C29" s="4" t="s">
        <v>55</v>
      </c>
      <c r="E29" s="4" t="s">
        <v>1222</v>
      </c>
      <c r="G29" s="4" t="s">
        <v>54</v>
      </c>
      <c r="K29" s="4">
        <v>17</v>
      </c>
    </row>
    <row r="30" spans="1:11" x14ac:dyDescent="0.2">
      <c r="A30" s="4" t="s">
        <v>77</v>
      </c>
      <c r="B30" s="4" t="s">
        <v>24</v>
      </c>
      <c r="C30" s="4" t="s">
        <v>55</v>
      </c>
      <c r="G30" s="4" t="s">
        <v>54</v>
      </c>
      <c r="I30" s="4" t="s">
        <v>1225</v>
      </c>
      <c r="K30" s="4">
        <v>18</v>
      </c>
    </row>
    <row r="31" spans="1:11" x14ac:dyDescent="0.2">
      <c r="A31" s="4" t="s">
        <v>77</v>
      </c>
      <c r="B31" s="4" t="s">
        <v>26</v>
      </c>
      <c r="C31" s="4" t="s">
        <v>55</v>
      </c>
      <c r="E31" s="4" t="s">
        <v>1230</v>
      </c>
      <c r="G31" s="4" t="s">
        <v>54</v>
      </c>
      <c r="K31" s="4">
        <v>19</v>
      </c>
    </row>
    <row r="32" spans="1:11" x14ac:dyDescent="0.2">
      <c r="A32" s="4" t="s">
        <v>77</v>
      </c>
      <c r="B32" s="4" t="s">
        <v>26</v>
      </c>
      <c r="C32" s="4" t="s">
        <v>55</v>
      </c>
      <c r="E32" s="4" t="s">
        <v>1231</v>
      </c>
      <c r="G32" s="4" t="s">
        <v>54</v>
      </c>
      <c r="K32" s="4">
        <v>20</v>
      </c>
    </row>
    <row r="42" spans="1:11" x14ac:dyDescent="0.2">
      <c r="A42" s="4" t="s">
        <v>462</v>
      </c>
      <c r="B42" s="4" t="s">
        <v>28</v>
      </c>
      <c r="C42" s="4" t="s">
        <v>55</v>
      </c>
      <c r="D42" s="4" t="s">
        <v>1116</v>
      </c>
      <c r="F42" s="4" t="s">
        <v>478</v>
      </c>
      <c r="G42" s="4" t="s">
        <v>54</v>
      </c>
      <c r="J42" s="4" t="s">
        <v>1053</v>
      </c>
      <c r="K42" s="4">
        <v>1</v>
      </c>
    </row>
    <row r="43" spans="1:11" x14ac:dyDescent="0.2">
      <c r="A43" s="4" t="s">
        <v>462</v>
      </c>
      <c r="B43" s="4" t="s">
        <v>28</v>
      </c>
      <c r="C43" s="4" t="s">
        <v>55</v>
      </c>
      <c r="D43" s="4" t="s">
        <v>1117</v>
      </c>
      <c r="F43" s="4" t="s">
        <v>480</v>
      </c>
      <c r="G43" s="4" t="s">
        <v>54</v>
      </c>
      <c r="J43" s="4" t="s">
        <v>1053</v>
      </c>
      <c r="K43" s="4">
        <v>2</v>
      </c>
    </row>
    <row r="44" spans="1:11" x14ac:dyDescent="0.2">
      <c r="A44" s="4" t="s">
        <v>462</v>
      </c>
      <c r="B44" s="4" t="s">
        <v>28</v>
      </c>
      <c r="C44" s="4" t="s">
        <v>55</v>
      </c>
      <c r="D44" s="4" t="s">
        <v>1118</v>
      </c>
      <c r="F44" s="4" t="s">
        <v>481</v>
      </c>
      <c r="G44" s="4" t="s">
        <v>54</v>
      </c>
      <c r="J44" s="4" t="s">
        <v>1053</v>
      </c>
      <c r="K44" s="4">
        <v>3</v>
      </c>
    </row>
    <row r="45" spans="1:11" x14ac:dyDescent="0.2">
      <c r="A45" s="4" t="s">
        <v>462</v>
      </c>
      <c r="B45" s="4" t="s">
        <v>28</v>
      </c>
      <c r="C45" s="4" t="s">
        <v>55</v>
      </c>
      <c r="D45" s="4" t="s">
        <v>479</v>
      </c>
      <c r="F45" s="4" t="s">
        <v>482</v>
      </c>
      <c r="G45" s="4" t="s">
        <v>54</v>
      </c>
      <c r="J45" s="4" t="s">
        <v>1053</v>
      </c>
      <c r="K45" s="4">
        <v>4</v>
      </c>
    </row>
    <row r="47" spans="1:11" x14ac:dyDescent="0.2">
      <c r="A47" s="4" t="s">
        <v>78</v>
      </c>
      <c r="B47" s="4" t="s">
        <v>26</v>
      </c>
      <c r="C47" s="4" t="s">
        <v>53</v>
      </c>
      <c r="D47" s="4" t="s">
        <v>185</v>
      </c>
      <c r="E47" s="4" t="s">
        <v>1133</v>
      </c>
      <c r="G47" s="4" t="s">
        <v>54</v>
      </c>
      <c r="K47" s="4">
        <v>1</v>
      </c>
    </row>
    <row r="48" spans="1:11" x14ac:dyDescent="0.2">
      <c r="A48" s="4" t="s">
        <v>78</v>
      </c>
      <c r="B48" s="4" t="s">
        <v>28</v>
      </c>
      <c r="C48" s="4" t="s">
        <v>55</v>
      </c>
      <c r="D48" s="4" t="s">
        <v>1119</v>
      </c>
      <c r="F48" s="4" t="s">
        <v>501</v>
      </c>
      <c r="G48" s="4" t="s">
        <v>54</v>
      </c>
      <c r="J48" s="4" t="s">
        <v>1052</v>
      </c>
      <c r="K48" s="4">
        <v>2</v>
      </c>
    </row>
    <row r="49" spans="1:11" x14ac:dyDescent="0.2">
      <c r="A49" s="4" t="s">
        <v>78</v>
      </c>
      <c r="B49" s="4" t="s">
        <v>26</v>
      </c>
      <c r="C49" s="4" t="s">
        <v>55</v>
      </c>
      <c r="D49" s="4" t="s">
        <v>107</v>
      </c>
      <c r="E49" s="4" t="s">
        <v>524</v>
      </c>
      <c r="G49" s="4" t="s">
        <v>54</v>
      </c>
      <c r="K49" s="4">
        <v>3</v>
      </c>
    </row>
    <row r="50" spans="1:11" x14ac:dyDescent="0.2">
      <c r="A50" s="4" t="s">
        <v>78</v>
      </c>
      <c r="B50" s="4" t="s">
        <v>28</v>
      </c>
      <c r="C50" s="4" t="s">
        <v>55</v>
      </c>
      <c r="D50" s="4" t="s">
        <v>1115</v>
      </c>
      <c r="F50" s="4" t="s">
        <v>525</v>
      </c>
      <c r="G50" s="4" t="s">
        <v>54</v>
      </c>
      <c r="J50" s="4" t="s">
        <v>1053</v>
      </c>
      <c r="K50" s="4">
        <v>4</v>
      </c>
    </row>
    <row r="52" spans="1:11" x14ac:dyDescent="0.2">
      <c r="A52" s="4" t="s">
        <v>545</v>
      </c>
      <c r="B52" s="4" t="s">
        <v>24</v>
      </c>
      <c r="C52" s="4" t="s">
        <v>53</v>
      </c>
      <c r="D52" s="4" t="s">
        <v>185</v>
      </c>
      <c r="G52" s="4" t="s">
        <v>54</v>
      </c>
      <c r="I52" s="4" t="s">
        <v>1091</v>
      </c>
      <c r="K52" s="4">
        <v>1</v>
      </c>
    </row>
    <row r="53" spans="1:11" x14ac:dyDescent="0.2">
      <c r="A53" s="4" t="s">
        <v>545</v>
      </c>
      <c r="B53" s="4" t="s">
        <v>26</v>
      </c>
      <c r="C53" s="4" t="s">
        <v>55</v>
      </c>
      <c r="D53" s="4" t="s">
        <v>27</v>
      </c>
      <c r="E53" s="4" t="s">
        <v>1137</v>
      </c>
      <c r="G53" s="4" t="s">
        <v>54</v>
      </c>
      <c r="K53" s="4">
        <v>2</v>
      </c>
    </row>
    <row r="54" spans="1:11" x14ac:dyDescent="0.2">
      <c r="A54" s="4" t="s">
        <v>545</v>
      </c>
      <c r="B54" s="4" t="s">
        <v>28</v>
      </c>
      <c r="C54" s="4" t="s">
        <v>55</v>
      </c>
      <c r="D54" s="4" t="s">
        <v>29</v>
      </c>
      <c r="F54" s="4" t="s">
        <v>551</v>
      </c>
      <c r="G54" s="4" t="s">
        <v>54</v>
      </c>
      <c r="J54" s="4" t="s">
        <v>1052</v>
      </c>
      <c r="K54" s="4">
        <v>3</v>
      </c>
    </row>
    <row r="55" spans="1:11" x14ac:dyDescent="0.2">
      <c r="A55" s="4" t="s">
        <v>545</v>
      </c>
      <c r="B55" s="4" t="s">
        <v>32</v>
      </c>
      <c r="C55" s="4" t="s">
        <v>55</v>
      </c>
      <c r="D55" s="4" t="s">
        <v>33</v>
      </c>
      <c r="I55" s="4" t="s">
        <v>1096</v>
      </c>
      <c r="K55" s="4">
        <v>4</v>
      </c>
    </row>
    <row r="57" spans="1:11" x14ac:dyDescent="0.2">
      <c r="A57" s="4" t="s">
        <v>1372</v>
      </c>
      <c r="B57" s="4" t="s">
        <v>24</v>
      </c>
      <c r="C57" s="4" t="s">
        <v>53</v>
      </c>
      <c r="D57" s="4" t="s">
        <v>185</v>
      </c>
      <c r="G57" s="4" t="s">
        <v>54</v>
      </c>
      <c r="I57" s="4" t="s">
        <v>1371</v>
      </c>
      <c r="K57" s="4">
        <v>1</v>
      </c>
    </row>
    <row r="58" spans="1:11" x14ac:dyDescent="0.2">
      <c r="A58" s="4" t="s">
        <v>1372</v>
      </c>
      <c r="B58" s="4" t="s">
        <v>26</v>
      </c>
      <c r="C58" s="4" t="s">
        <v>55</v>
      </c>
      <c r="D58" s="4" t="s">
        <v>27</v>
      </c>
      <c r="E58" s="4" t="s">
        <v>1374</v>
      </c>
      <c r="G58" s="4" t="s">
        <v>54</v>
      </c>
      <c r="K58" s="4">
        <v>2</v>
      </c>
    </row>
    <row r="59" spans="1:11" x14ac:dyDescent="0.2">
      <c r="A59" s="4" t="s">
        <v>1372</v>
      </c>
      <c r="B59" s="4" t="s">
        <v>32</v>
      </c>
      <c r="C59" s="4" t="s">
        <v>55</v>
      </c>
      <c r="D59" s="4" t="s">
        <v>1421</v>
      </c>
      <c r="G59" s="4" t="s">
        <v>54</v>
      </c>
      <c r="I59" s="4" t="s">
        <v>1420</v>
      </c>
      <c r="K59" s="4">
        <v>3</v>
      </c>
    </row>
    <row r="60" spans="1:11" x14ac:dyDescent="0.2">
      <c r="A60" s="4" t="s">
        <v>1372</v>
      </c>
      <c r="B60" s="4" t="s">
        <v>32</v>
      </c>
      <c r="C60" s="4" t="s">
        <v>55</v>
      </c>
      <c r="D60" s="4" t="s">
        <v>33</v>
      </c>
      <c r="G60" s="4" t="s">
        <v>54</v>
      </c>
      <c r="I60" s="4" t="s">
        <v>1393</v>
      </c>
      <c r="K60" s="4">
        <v>4</v>
      </c>
    </row>
    <row r="61" spans="1:11" x14ac:dyDescent="0.2">
      <c r="A61" s="4" t="s">
        <v>1372</v>
      </c>
      <c r="B61" s="4" t="s">
        <v>26</v>
      </c>
      <c r="C61" s="4" t="s">
        <v>55</v>
      </c>
      <c r="D61" s="4" t="s">
        <v>35</v>
      </c>
      <c r="E61" t="s">
        <v>1432</v>
      </c>
      <c r="G61" s="4" t="s">
        <v>54</v>
      </c>
    </row>
    <row r="81" spans="1:11" x14ac:dyDescent="0.2">
      <c r="A81" s="4" t="s">
        <v>1232</v>
      </c>
      <c r="B81" s="4" t="s">
        <v>28</v>
      </c>
      <c r="C81" s="4" t="s">
        <v>55</v>
      </c>
      <c r="D81" s="4" t="s">
        <v>1237</v>
      </c>
      <c r="F81" s="4" t="s">
        <v>1263</v>
      </c>
      <c r="G81" s="4" t="s">
        <v>54</v>
      </c>
      <c r="J81" s="4" t="s">
        <v>1053</v>
      </c>
      <c r="K81" s="4">
        <v>1</v>
      </c>
    </row>
    <row r="82" spans="1:11" x14ac:dyDescent="0.2">
      <c r="A82" s="4" t="s">
        <v>1232</v>
      </c>
      <c r="B82" s="4" t="s">
        <v>28</v>
      </c>
      <c r="C82" s="4" t="s">
        <v>55</v>
      </c>
      <c r="D82" s="4" t="s">
        <v>1238</v>
      </c>
      <c r="F82" s="4" t="s">
        <v>1264</v>
      </c>
      <c r="G82" s="4" t="s">
        <v>54</v>
      </c>
      <c r="J82" s="4" t="s">
        <v>1053</v>
      </c>
      <c r="K82" s="4">
        <v>2</v>
      </c>
    </row>
    <row r="83" spans="1:11" x14ac:dyDescent="0.2">
      <c r="A83" s="4" t="s">
        <v>1232</v>
      </c>
      <c r="B83" s="4" t="s">
        <v>28</v>
      </c>
      <c r="C83" s="4" t="s">
        <v>55</v>
      </c>
      <c r="D83" s="4" t="s">
        <v>1239</v>
      </c>
      <c r="F83" s="4" t="s">
        <v>1265</v>
      </c>
      <c r="G83" s="4" t="s">
        <v>54</v>
      </c>
      <c r="J83" s="4" t="s">
        <v>1053</v>
      </c>
      <c r="K83" s="4">
        <v>3</v>
      </c>
    </row>
    <row r="84" spans="1:11" x14ac:dyDescent="0.2">
      <c r="A84" s="4" t="s">
        <v>1232</v>
      </c>
      <c r="B84" s="4" t="s">
        <v>28</v>
      </c>
      <c r="C84" s="4" t="s">
        <v>55</v>
      </c>
      <c r="D84" s="4" t="s">
        <v>1240</v>
      </c>
      <c r="F84" s="4" t="s">
        <v>1266</v>
      </c>
      <c r="G84" s="4" t="s">
        <v>54</v>
      </c>
      <c r="J84" s="4" t="s">
        <v>1053</v>
      </c>
      <c r="K84" s="4">
        <v>4</v>
      </c>
    </row>
    <row r="85" spans="1:11" x14ac:dyDescent="0.2">
      <c r="A85" s="4" t="s">
        <v>1232</v>
      </c>
      <c r="B85" s="4" t="s">
        <v>28</v>
      </c>
      <c r="C85" s="4" t="s">
        <v>55</v>
      </c>
      <c r="D85" s="4" t="s">
        <v>1241</v>
      </c>
      <c r="F85" s="4" t="s">
        <v>1267</v>
      </c>
      <c r="G85" s="4" t="s">
        <v>54</v>
      </c>
      <c r="J85" s="4" t="s">
        <v>1053</v>
      </c>
      <c r="K85" s="4">
        <v>5</v>
      </c>
    </row>
    <row r="86" spans="1:11" x14ac:dyDescent="0.2">
      <c r="A86" s="4" t="s">
        <v>1232</v>
      </c>
      <c r="B86" s="4" t="s">
        <v>28</v>
      </c>
      <c r="C86" s="4" t="s">
        <v>55</v>
      </c>
      <c r="D86" s="4" t="s">
        <v>1242</v>
      </c>
      <c r="F86" s="4" t="s">
        <v>1236</v>
      </c>
      <c r="G86" s="4" t="s">
        <v>54</v>
      </c>
      <c r="J86" s="4" t="s">
        <v>1053</v>
      </c>
      <c r="K86" s="4">
        <v>6</v>
      </c>
    </row>
    <row r="87" spans="1:11" x14ac:dyDescent="0.2">
      <c r="A87" s="4" t="s">
        <v>1232</v>
      </c>
      <c r="B87" s="4" t="s">
        <v>28</v>
      </c>
      <c r="C87" s="4" t="s">
        <v>55</v>
      </c>
      <c r="D87" s="4" t="s">
        <v>1243</v>
      </c>
      <c r="F87" s="4" t="s">
        <v>1268</v>
      </c>
      <c r="G87" s="4" t="s">
        <v>54</v>
      </c>
      <c r="J87" s="4" t="s">
        <v>1053</v>
      </c>
      <c r="K87" s="4">
        <v>7</v>
      </c>
    </row>
    <row r="88" spans="1:11" x14ac:dyDescent="0.2">
      <c r="A88" s="4" t="s">
        <v>1232</v>
      </c>
      <c r="B88" s="4" t="s">
        <v>28</v>
      </c>
      <c r="C88" s="4" t="s">
        <v>55</v>
      </c>
      <c r="D88" s="4" t="s">
        <v>1244</v>
      </c>
      <c r="F88" s="4" t="s">
        <v>1269</v>
      </c>
      <c r="G88" s="4" t="s">
        <v>54</v>
      </c>
      <c r="J88" s="4" t="s">
        <v>1053</v>
      </c>
      <c r="K88" s="4">
        <v>8</v>
      </c>
    </row>
    <row r="89" spans="1:11" x14ac:dyDescent="0.2">
      <c r="A89" s="4" t="s">
        <v>1232</v>
      </c>
      <c r="B89" s="4" t="s">
        <v>28</v>
      </c>
      <c r="C89" s="4" t="s">
        <v>55</v>
      </c>
      <c r="D89" s="4" t="s">
        <v>1245</v>
      </c>
      <c r="F89" s="4" t="s">
        <v>1270</v>
      </c>
      <c r="G89" s="4" t="s">
        <v>54</v>
      </c>
      <c r="J89" s="4" t="s">
        <v>1053</v>
      </c>
      <c r="K89" s="4">
        <v>9</v>
      </c>
    </row>
    <row r="90" spans="1:11" x14ac:dyDescent="0.2">
      <c r="A90" s="4" t="s">
        <v>1232</v>
      </c>
      <c r="B90" s="4" t="s">
        <v>28</v>
      </c>
      <c r="C90" s="4" t="s">
        <v>55</v>
      </c>
      <c r="D90" s="4" t="s">
        <v>1246</v>
      </c>
      <c r="F90" s="4" t="s">
        <v>1271</v>
      </c>
      <c r="G90" s="4" t="s">
        <v>54</v>
      </c>
      <c r="J90" s="4" t="s">
        <v>1053</v>
      </c>
      <c r="K90" s="4">
        <v>10</v>
      </c>
    </row>
    <row r="91" spans="1:11" x14ac:dyDescent="0.2">
      <c r="A91" s="4" t="s">
        <v>1232</v>
      </c>
      <c r="B91" s="4" t="s">
        <v>28</v>
      </c>
      <c r="C91" s="4" t="s">
        <v>55</v>
      </c>
      <c r="D91" s="4" t="s">
        <v>1247</v>
      </c>
      <c r="F91" s="4" t="s">
        <v>1272</v>
      </c>
      <c r="G91" s="4" t="s">
        <v>54</v>
      </c>
      <c r="J91" s="4" t="s">
        <v>1053</v>
      </c>
      <c r="K91" s="4">
        <v>11</v>
      </c>
    </row>
    <row r="92" spans="1:11" x14ac:dyDescent="0.2">
      <c r="A92" s="4" t="s">
        <v>1232</v>
      </c>
      <c r="B92" s="4" t="s">
        <v>28</v>
      </c>
      <c r="C92" s="4" t="s">
        <v>55</v>
      </c>
      <c r="D92" s="4" t="s">
        <v>1248</v>
      </c>
      <c r="F92" s="4" t="s">
        <v>1273</v>
      </c>
      <c r="G92" s="4" t="s">
        <v>54</v>
      </c>
      <c r="J92" s="4" t="s">
        <v>1053</v>
      </c>
      <c r="K92" s="4">
        <v>12</v>
      </c>
    </row>
    <row r="93" spans="1:11" x14ac:dyDescent="0.2">
      <c r="A93" s="4" t="s">
        <v>1232</v>
      </c>
      <c r="B93" s="4" t="s">
        <v>28</v>
      </c>
      <c r="C93" s="4" t="s">
        <v>55</v>
      </c>
      <c r="D93" s="4" t="s">
        <v>1249</v>
      </c>
      <c r="F93" s="4" t="s">
        <v>1274</v>
      </c>
      <c r="G93" s="4" t="s">
        <v>54</v>
      </c>
      <c r="J93" s="4" t="s">
        <v>1053</v>
      </c>
      <c r="K93" s="4">
        <v>13</v>
      </c>
    </row>
    <row r="94" spans="1:11" x14ac:dyDescent="0.2">
      <c r="A94" s="4" t="s">
        <v>1232</v>
      </c>
      <c r="B94" s="4" t="s">
        <v>28</v>
      </c>
      <c r="C94" s="4" t="s">
        <v>55</v>
      </c>
      <c r="D94" s="4" t="s">
        <v>1250</v>
      </c>
      <c r="F94" s="4" t="s">
        <v>1275</v>
      </c>
      <c r="G94" s="4" t="s">
        <v>54</v>
      </c>
      <c r="J94" s="4" t="s">
        <v>1053</v>
      </c>
      <c r="K94" s="4">
        <v>14</v>
      </c>
    </row>
    <row r="95" spans="1:11" x14ac:dyDescent="0.2">
      <c r="A95" s="4" t="s">
        <v>1232</v>
      </c>
      <c r="B95" s="4" t="s">
        <v>28</v>
      </c>
      <c r="C95" s="4" t="s">
        <v>55</v>
      </c>
      <c r="D95" s="4" t="s">
        <v>1251</v>
      </c>
      <c r="F95" s="4" t="s">
        <v>1276</v>
      </c>
      <c r="G95" s="4" t="s">
        <v>54</v>
      </c>
      <c r="J95" s="4" t="s">
        <v>1053</v>
      </c>
      <c r="K95" s="4">
        <v>15</v>
      </c>
    </row>
    <row r="96" spans="1:11" x14ac:dyDescent="0.2">
      <c r="A96" s="4" t="s">
        <v>1232</v>
      </c>
      <c r="B96" s="4" t="s">
        <v>28</v>
      </c>
      <c r="C96" s="4" t="s">
        <v>55</v>
      </c>
      <c r="D96" s="4" t="s">
        <v>1252</v>
      </c>
      <c r="F96" s="4" t="s">
        <v>1277</v>
      </c>
      <c r="G96" s="4" t="s">
        <v>54</v>
      </c>
      <c r="J96" s="4" t="s">
        <v>1053</v>
      </c>
      <c r="K96" s="4">
        <v>16</v>
      </c>
    </row>
    <row r="97" spans="1:11" x14ac:dyDescent="0.2">
      <c r="A97" s="4" t="s">
        <v>1232</v>
      </c>
      <c r="B97" s="4" t="s">
        <v>28</v>
      </c>
      <c r="C97" s="4" t="s">
        <v>55</v>
      </c>
      <c r="D97" s="4" t="s">
        <v>1253</v>
      </c>
      <c r="F97" s="4" t="s">
        <v>1278</v>
      </c>
      <c r="G97" s="4" t="s">
        <v>54</v>
      </c>
      <c r="J97" s="4" t="s">
        <v>1053</v>
      </c>
      <c r="K97" s="4">
        <v>17</v>
      </c>
    </row>
    <row r="98" spans="1:11" x14ac:dyDescent="0.2">
      <c r="A98" s="4" t="s">
        <v>1232</v>
      </c>
      <c r="B98" s="4" t="s">
        <v>28</v>
      </c>
      <c r="C98" s="4" t="s">
        <v>55</v>
      </c>
      <c r="D98" s="4" t="s">
        <v>1254</v>
      </c>
      <c r="F98" s="4" t="s">
        <v>1279</v>
      </c>
      <c r="G98" s="4" t="s">
        <v>54</v>
      </c>
      <c r="J98" s="4" t="s">
        <v>1053</v>
      </c>
      <c r="K98" s="4">
        <v>18</v>
      </c>
    </row>
    <row r="99" spans="1:11" x14ac:dyDescent="0.2">
      <c r="A99" s="4" t="s">
        <v>1232</v>
      </c>
      <c r="B99" s="4" t="s">
        <v>28</v>
      </c>
      <c r="C99" s="4" t="s">
        <v>55</v>
      </c>
      <c r="D99" s="4" t="s">
        <v>1255</v>
      </c>
      <c r="F99" s="4" t="s">
        <v>1280</v>
      </c>
      <c r="G99" s="4" t="s">
        <v>54</v>
      </c>
      <c r="J99" s="4" t="s">
        <v>1053</v>
      </c>
      <c r="K99" s="4">
        <v>19</v>
      </c>
    </row>
    <row r="100" spans="1:11" x14ac:dyDescent="0.2">
      <c r="A100" s="4" t="s">
        <v>1232</v>
      </c>
      <c r="B100" s="4" t="s">
        <v>28</v>
      </c>
      <c r="C100" s="4" t="s">
        <v>55</v>
      </c>
      <c r="D100" s="4" t="s">
        <v>1256</v>
      </c>
      <c r="F100" s="4" t="s">
        <v>1281</v>
      </c>
      <c r="G100" s="4" t="s">
        <v>54</v>
      </c>
      <c r="J100" s="4" t="s">
        <v>1053</v>
      </c>
      <c r="K100" s="4">
        <v>20</v>
      </c>
    </row>
    <row r="101" spans="1:11" x14ac:dyDescent="0.2">
      <c r="A101" s="4" t="s">
        <v>1232</v>
      </c>
      <c r="B101" s="4" t="s">
        <v>28</v>
      </c>
      <c r="C101" s="4" t="s">
        <v>55</v>
      </c>
      <c r="D101" s="4" t="s">
        <v>1257</v>
      </c>
      <c r="F101" s="4" t="s">
        <v>1282</v>
      </c>
      <c r="G101" s="4" t="s">
        <v>54</v>
      </c>
      <c r="J101" s="4" t="s">
        <v>1053</v>
      </c>
      <c r="K101" s="4">
        <v>21</v>
      </c>
    </row>
    <row r="102" spans="1:11" x14ac:dyDescent="0.2">
      <c r="A102" s="4" t="s">
        <v>1232</v>
      </c>
      <c r="B102" s="4" t="s">
        <v>28</v>
      </c>
      <c r="C102" s="4" t="s">
        <v>55</v>
      </c>
      <c r="D102" s="4" t="s">
        <v>1258</v>
      </c>
      <c r="F102" s="4" t="s">
        <v>1283</v>
      </c>
      <c r="G102" s="4" t="s">
        <v>54</v>
      </c>
      <c r="J102" s="4" t="s">
        <v>1053</v>
      </c>
      <c r="K102" s="4">
        <v>22</v>
      </c>
    </row>
    <row r="103" spans="1:11" x14ac:dyDescent="0.2">
      <c r="A103" s="4" t="s">
        <v>1232</v>
      </c>
      <c r="B103" s="4" t="s">
        <v>28</v>
      </c>
      <c r="C103" s="4" t="s">
        <v>55</v>
      </c>
      <c r="D103" s="4" t="s">
        <v>1259</v>
      </c>
      <c r="F103" s="4" t="s">
        <v>1284</v>
      </c>
      <c r="G103" s="4" t="s">
        <v>54</v>
      </c>
      <c r="J103" s="4" t="s">
        <v>1053</v>
      </c>
      <c r="K103" s="4">
        <v>23</v>
      </c>
    </row>
    <row r="104" spans="1:11" x14ac:dyDescent="0.2">
      <c r="A104" s="4" t="s">
        <v>1232</v>
      </c>
      <c r="B104" s="4" t="s">
        <v>28</v>
      </c>
      <c r="C104" s="4" t="s">
        <v>55</v>
      </c>
      <c r="D104" s="4" t="s">
        <v>1260</v>
      </c>
      <c r="F104" s="4" t="s">
        <v>1285</v>
      </c>
      <c r="G104" s="4" t="s">
        <v>54</v>
      </c>
      <c r="J104" s="4" t="s">
        <v>1053</v>
      </c>
      <c r="K104" s="4">
        <v>24</v>
      </c>
    </row>
    <row r="105" spans="1:11" x14ac:dyDescent="0.2">
      <c r="A105" s="4" t="s">
        <v>1232</v>
      </c>
      <c r="B105" s="4" t="s">
        <v>28</v>
      </c>
      <c r="C105" s="4" t="s">
        <v>55</v>
      </c>
      <c r="D105" s="4" t="s">
        <v>1261</v>
      </c>
      <c r="F105" s="4" t="s">
        <v>1286</v>
      </c>
      <c r="G105" s="4" t="s">
        <v>54</v>
      </c>
      <c r="J105" s="4" t="s">
        <v>1053</v>
      </c>
      <c r="K105" s="4">
        <v>25</v>
      </c>
    </row>
    <row r="106" spans="1:11" x14ac:dyDescent="0.2">
      <c r="A106" s="4" t="s">
        <v>1232</v>
      </c>
      <c r="B106" s="4" t="s">
        <v>28</v>
      </c>
      <c r="C106" s="4" t="s">
        <v>55</v>
      </c>
      <c r="D106" s="4" t="s">
        <v>1262</v>
      </c>
      <c r="F106" s="4" t="s">
        <v>1287</v>
      </c>
      <c r="G106" s="4" t="s">
        <v>54</v>
      </c>
      <c r="J106" s="4" t="s">
        <v>1053</v>
      </c>
      <c r="K106" s="4">
        <v>26</v>
      </c>
    </row>
    <row r="110" spans="1:11" x14ac:dyDescent="0.2">
      <c r="A110" s="4" t="s">
        <v>1299</v>
      </c>
      <c r="B110" s="4" t="s">
        <v>26</v>
      </c>
      <c r="C110" s="4" t="s">
        <v>53</v>
      </c>
      <c r="D110" s="4" t="s">
        <v>1310</v>
      </c>
      <c r="G110" s="4" t="s">
        <v>54</v>
      </c>
      <c r="K110" s="4">
        <v>1</v>
      </c>
    </row>
    <row r="111" spans="1:11" x14ac:dyDescent="0.2">
      <c r="A111" s="4" t="s">
        <v>1299</v>
      </c>
      <c r="B111" s="4" t="s">
        <v>26</v>
      </c>
      <c r="C111" s="4" t="s">
        <v>53</v>
      </c>
      <c r="E111" s="37" t="s">
        <v>1314</v>
      </c>
      <c r="G111" s="4" t="s">
        <v>54</v>
      </c>
      <c r="K111" s="4">
        <v>1</v>
      </c>
    </row>
    <row r="112" spans="1:11" x14ac:dyDescent="0.2">
      <c r="A112" s="4" t="s">
        <v>1299</v>
      </c>
      <c r="B112" s="4" t="s">
        <v>26</v>
      </c>
      <c r="C112" s="4" t="s">
        <v>53</v>
      </c>
      <c r="E112" s="37" t="s">
        <v>1311</v>
      </c>
      <c r="G112" s="4" t="s">
        <v>54</v>
      </c>
      <c r="K112" s="4">
        <v>2</v>
      </c>
    </row>
    <row r="113" spans="1:11" x14ac:dyDescent="0.2">
      <c r="A113" s="4" t="s">
        <v>1299</v>
      </c>
      <c r="B113" s="4" t="s">
        <v>26</v>
      </c>
      <c r="C113" s="4" t="s">
        <v>53</v>
      </c>
      <c r="E113" s="37" t="s">
        <v>1312</v>
      </c>
      <c r="G113" s="4" t="s">
        <v>54</v>
      </c>
      <c r="K113" s="4">
        <v>3</v>
      </c>
    </row>
    <row r="114" spans="1:11" x14ac:dyDescent="0.2">
      <c r="A114" s="4" t="s">
        <v>1299</v>
      </c>
      <c r="B114" s="4" t="s">
        <v>26</v>
      </c>
      <c r="C114" s="4" t="s">
        <v>55</v>
      </c>
      <c r="D114" s="4" t="s">
        <v>1302</v>
      </c>
      <c r="E114" s="4" t="s">
        <v>1313</v>
      </c>
      <c r="G114" s="4" t="s">
        <v>54</v>
      </c>
      <c r="K114" s="4">
        <v>4</v>
      </c>
    </row>
    <row r="115" spans="1:11" x14ac:dyDescent="0.2">
      <c r="A115" s="4" t="s">
        <v>1299</v>
      </c>
      <c r="B115" s="4" t="s">
        <v>26</v>
      </c>
      <c r="C115" s="4" t="s">
        <v>55</v>
      </c>
      <c r="E115" s="4" t="s">
        <v>1303</v>
      </c>
      <c r="G115" s="4" t="s">
        <v>54</v>
      </c>
      <c r="K115" s="4">
        <v>5</v>
      </c>
    </row>
    <row r="116" spans="1:11" x14ac:dyDescent="0.2">
      <c r="A116" s="4" t="s">
        <v>1299</v>
      </c>
      <c r="B116" s="4" t="s">
        <v>26</v>
      </c>
      <c r="C116" s="4" t="s">
        <v>55</v>
      </c>
      <c r="E116" s="4" t="s">
        <v>1304</v>
      </c>
      <c r="G116" s="4" t="s">
        <v>54</v>
      </c>
      <c r="K116" s="4">
        <v>6</v>
      </c>
    </row>
    <row r="117" spans="1:11" x14ac:dyDescent="0.2">
      <c r="A117" s="4" t="s">
        <v>1299</v>
      </c>
      <c r="B117" s="4" t="s">
        <v>26</v>
      </c>
      <c r="C117" s="4" t="s">
        <v>55</v>
      </c>
      <c r="E117" s="4" t="s">
        <v>1305</v>
      </c>
      <c r="G117" s="4" t="s">
        <v>54</v>
      </c>
      <c r="K117" s="4">
        <v>7</v>
      </c>
    </row>
    <row r="118" spans="1:11" x14ac:dyDescent="0.2">
      <c r="A118" s="4" t="s">
        <v>1299</v>
      </c>
      <c r="B118" s="4" t="s">
        <v>26</v>
      </c>
      <c r="C118" s="4" t="s">
        <v>55</v>
      </c>
      <c r="E118" s="4" t="s">
        <v>1306</v>
      </c>
      <c r="G118" s="4" t="s">
        <v>54</v>
      </c>
      <c r="K118" s="4">
        <v>8</v>
      </c>
    </row>
    <row r="119" spans="1:11" x14ac:dyDescent="0.2">
      <c r="A119" s="4" t="s">
        <v>1299</v>
      </c>
      <c r="B119" s="4" t="s">
        <v>26</v>
      </c>
      <c r="C119" s="4" t="s">
        <v>55</v>
      </c>
      <c r="E119" s="4" t="s">
        <v>1307</v>
      </c>
      <c r="G119" s="4" t="s">
        <v>54</v>
      </c>
      <c r="K119" s="4">
        <v>9</v>
      </c>
    </row>
    <row r="120" spans="1:11" x14ac:dyDescent="0.2">
      <c r="A120" s="4" t="s">
        <v>1299</v>
      </c>
      <c r="B120" s="4" t="s">
        <v>26</v>
      </c>
      <c r="C120" s="4" t="s">
        <v>55</v>
      </c>
      <c r="D120" s="4" t="s">
        <v>1308</v>
      </c>
      <c r="E120" s="35" t="s">
        <v>1309</v>
      </c>
      <c r="G120" s="4" t="s">
        <v>54</v>
      </c>
      <c r="K120" s="4">
        <v>10</v>
      </c>
    </row>
    <row r="123" spans="1:11" x14ac:dyDescent="0.2">
      <c r="A123" s="4" t="s">
        <v>1315</v>
      </c>
      <c r="B123" s="4" t="s">
        <v>26</v>
      </c>
      <c r="C123" s="4" t="s">
        <v>53</v>
      </c>
      <c r="D123" s="36" t="s">
        <v>1318</v>
      </c>
      <c r="G123" s="4" t="s">
        <v>54</v>
      </c>
      <c r="K123" s="4">
        <v>1</v>
      </c>
    </row>
    <row r="124" spans="1:11" x14ac:dyDescent="0.2">
      <c r="A124" s="4" t="s">
        <v>1315</v>
      </c>
      <c r="B124" s="4" t="s">
        <v>26</v>
      </c>
      <c r="C124" s="4" t="s">
        <v>53</v>
      </c>
      <c r="E124" s="38" t="s">
        <v>1319</v>
      </c>
      <c r="G124" s="4" t="s">
        <v>54</v>
      </c>
      <c r="K124" s="4">
        <v>2</v>
      </c>
    </row>
    <row r="125" spans="1:11" x14ac:dyDescent="0.2">
      <c r="A125" s="4" t="s">
        <v>1315</v>
      </c>
      <c r="B125" s="4" t="s">
        <v>26</v>
      </c>
      <c r="C125" s="4" t="s">
        <v>55</v>
      </c>
      <c r="D125" s="36" t="s">
        <v>1320</v>
      </c>
      <c r="G125" s="4" t="s">
        <v>54</v>
      </c>
      <c r="K125" s="4">
        <v>3</v>
      </c>
    </row>
    <row r="126" spans="1:11" x14ac:dyDescent="0.2">
      <c r="A126" s="4" t="s">
        <v>1315</v>
      </c>
      <c r="B126" s="4" t="s">
        <v>26</v>
      </c>
      <c r="C126" s="4" t="s">
        <v>55</v>
      </c>
      <c r="E126" s="4" t="s">
        <v>1324</v>
      </c>
      <c r="G126" s="4" t="s">
        <v>54</v>
      </c>
      <c r="K126" s="4">
        <v>4</v>
      </c>
    </row>
    <row r="127" spans="1:11" x14ac:dyDescent="0.2">
      <c r="A127" s="4" t="s">
        <v>1315</v>
      </c>
      <c r="B127" s="4" t="s">
        <v>26</v>
      </c>
      <c r="C127" s="4" t="s">
        <v>55</v>
      </c>
      <c r="E127" s="4" t="s">
        <v>1325</v>
      </c>
      <c r="G127" s="4" t="s">
        <v>54</v>
      </c>
      <c r="K127" s="4">
        <v>5</v>
      </c>
    </row>
    <row r="128" spans="1:11" x14ac:dyDescent="0.2">
      <c r="A128" s="4" t="s">
        <v>1315</v>
      </c>
      <c r="B128" s="4" t="s">
        <v>26</v>
      </c>
      <c r="C128" s="4" t="s">
        <v>55</v>
      </c>
      <c r="E128" s="4" t="s">
        <v>1325</v>
      </c>
      <c r="G128" s="4" t="s">
        <v>54</v>
      </c>
      <c r="K128" s="4">
        <v>6</v>
      </c>
    </row>
    <row r="129" spans="1:11" x14ac:dyDescent="0.2">
      <c r="A129" s="4" t="s">
        <v>1315</v>
      </c>
      <c r="B129" s="4" t="s">
        <v>26</v>
      </c>
      <c r="C129" s="4" t="s">
        <v>55</v>
      </c>
      <c r="D129" s="36" t="s">
        <v>29</v>
      </c>
      <c r="G129" s="4" t="s">
        <v>54</v>
      </c>
      <c r="K129" s="4">
        <v>7</v>
      </c>
    </row>
    <row r="130" spans="1:11" x14ac:dyDescent="0.2">
      <c r="A130" s="4" t="s">
        <v>1315</v>
      </c>
      <c r="B130" s="4" t="s">
        <v>26</v>
      </c>
      <c r="C130" s="4" t="s">
        <v>55</v>
      </c>
      <c r="E130" s="4" t="s">
        <v>1326</v>
      </c>
      <c r="G130" s="4" t="s">
        <v>54</v>
      </c>
      <c r="K130" s="4">
        <v>8</v>
      </c>
    </row>
    <row r="131" spans="1:11" x14ac:dyDescent="0.2">
      <c r="A131" s="4" t="s">
        <v>1315</v>
      </c>
      <c r="B131" s="4" t="s">
        <v>26</v>
      </c>
      <c r="C131" s="4" t="s">
        <v>55</v>
      </c>
      <c r="E131" s="4" t="s">
        <v>1328</v>
      </c>
      <c r="G131" s="4" t="s">
        <v>54</v>
      </c>
      <c r="K131" s="4">
        <v>9</v>
      </c>
    </row>
    <row r="132" spans="1:11" x14ac:dyDescent="0.2">
      <c r="A132" s="4" t="s">
        <v>1315</v>
      </c>
      <c r="B132" s="4" t="s">
        <v>26</v>
      </c>
      <c r="C132" s="4" t="s">
        <v>55</v>
      </c>
      <c r="E132" s="4" t="s">
        <v>1321</v>
      </c>
      <c r="G132" s="4" t="s">
        <v>54</v>
      </c>
      <c r="K132" s="4">
        <v>10</v>
      </c>
    </row>
    <row r="133" spans="1:11" x14ac:dyDescent="0.2">
      <c r="A133" s="4" t="s">
        <v>1315</v>
      </c>
      <c r="B133" s="4" t="s">
        <v>26</v>
      </c>
      <c r="C133" s="4" t="s">
        <v>55</v>
      </c>
      <c r="E133" s="4" t="s">
        <v>1327</v>
      </c>
      <c r="K133" s="4">
        <v>11</v>
      </c>
    </row>
    <row r="134" spans="1:11" x14ac:dyDescent="0.2">
      <c r="A134" s="4" t="s">
        <v>1315</v>
      </c>
      <c r="B134" s="4" t="s">
        <v>26</v>
      </c>
      <c r="C134" s="4" t="s">
        <v>55</v>
      </c>
      <c r="E134" s="4" t="s">
        <v>1322</v>
      </c>
      <c r="G134" s="4" t="s">
        <v>54</v>
      </c>
      <c r="K134" s="4">
        <v>12</v>
      </c>
    </row>
    <row r="135" spans="1:11" x14ac:dyDescent="0.2">
      <c r="A135" s="4" t="s">
        <v>1315</v>
      </c>
      <c r="B135" s="4" t="s">
        <v>26</v>
      </c>
      <c r="C135" s="4" t="s">
        <v>55</v>
      </c>
      <c r="E135" s="4" t="s">
        <v>1323</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08"/>
  <sheetViews>
    <sheetView topLeftCell="A43" zoomScale="109" workbookViewId="0">
      <selection activeCell="F74" sqref="F74"/>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1140</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1141</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1142</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1140</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1140</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1140</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1479</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1478</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1484</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1488</v>
      </c>
      <c r="N51" s="6" t="s">
        <v>93</v>
      </c>
    </row>
    <row r="52" spans="1:14" s="6" customFormat="1" x14ac:dyDescent="0.2">
      <c r="A52" s="7" t="s">
        <v>350</v>
      </c>
      <c r="B52" s="6">
        <v>20</v>
      </c>
      <c r="C52" s="6" t="s">
        <v>47</v>
      </c>
      <c r="F52" s="6" t="s">
        <v>329</v>
      </c>
      <c r="G52" s="6" t="s">
        <v>1489</v>
      </c>
      <c r="H52" s="6" t="s">
        <v>1490</v>
      </c>
      <c r="L52" s="6" t="str">
        <f t="shared" ref="L52:L54" si="5">_xlfn.TEXTJOIN("", TRUE, E52:K52)</f>
        <v>01_Textgattung/02_Denkmaelerformel/02-1_jt/0001_jt_AR_01.png</v>
      </c>
      <c r="N52" s="6" t="s">
        <v>93</v>
      </c>
    </row>
    <row r="53" spans="1:14" s="6" customFormat="1" x14ac:dyDescent="0.2">
      <c r="A53" s="7" t="s">
        <v>350</v>
      </c>
      <c r="B53" s="6">
        <v>21</v>
      </c>
      <c r="C53" s="6" t="s">
        <v>45</v>
      </c>
      <c r="D53" s="6" t="s">
        <v>1145</v>
      </c>
      <c r="N53" s="6" t="s">
        <v>93</v>
      </c>
    </row>
    <row r="54" spans="1:14" s="6" customFormat="1" x14ac:dyDescent="0.2">
      <c r="A54" s="7" t="s">
        <v>350</v>
      </c>
      <c r="B54" s="6">
        <v>22</v>
      </c>
      <c r="C54" s="6" t="s">
        <v>47</v>
      </c>
      <c r="F54" s="6" t="s">
        <v>329</v>
      </c>
      <c r="G54" s="6" t="s">
        <v>1489</v>
      </c>
      <c r="H54" s="6" t="s">
        <v>1491</v>
      </c>
      <c r="L54" s="6" t="str">
        <f t="shared" si="5"/>
        <v>01_Textgattung/02_Denkmaelerformel/02-1_jt/0010_jt_AR_02.png</v>
      </c>
      <c r="N54" s="6" t="s">
        <v>93</v>
      </c>
    </row>
    <row r="55" spans="1:14" s="6" customFormat="1" x14ac:dyDescent="0.2">
      <c r="A55" s="7" t="s">
        <v>350</v>
      </c>
      <c r="B55" s="6">
        <v>23</v>
      </c>
      <c r="C55" s="6" t="s">
        <v>45</v>
      </c>
      <c r="D55" s="6" t="s">
        <v>1145</v>
      </c>
      <c r="N55" s="6" t="s">
        <v>93</v>
      </c>
    </row>
    <row r="56" spans="1:14" s="6" customFormat="1" x14ac:dyDescent="0.2">
      <c r="A56" s="7" t="s">
        <v>350</v>
      </c>
      <c r="B56" s="6">
        <v>24</v>
      </c>
      <c r="C56" s="6" t="s">
        <v>47</v>
      </c>
      <c r="F56" s="6" t="s">
        <v>329</v>
      </c>
      <c r="G56" s="6" t="s">
        <v>1489</v>
      </c>
      <c r="H56" s="6" t="s">
        <v>1492</v>
      </c>
      <c r="L56" s="6" t="str">
        <f t="shared" ref="L56:L58" si="6">_xlfn.TEXTJOIN("", TRUE, E56:K56)</f>
        <v>01_Textgattung/02_Denkmaelerformel/02-1_jt/0020_jt_AR_03.png</v>
      </c>
      <c r="N56" s="6" t="s">
        <v>93</v>
      </c>
    </row>
    <row r="57" spans="1:14" s="6" customFormat="1" x14ac:dyDescent="0.2">
      <c r="A57" s="7" t="s">
        <v>350</v>
      </c>
      <c r="B57" s="6">
        <v>25</v>
      </c>
      <c r="C57" s="6" t="s">
        <v>45</v>
      </c>
      <c r="D57" s="6" t="s">
        <v>1145</v>
      </c>
      <c r="N57" s="6" t="s">
        <v>93</v>
      </c>
    </row>
    <row r="58" spans="1:14" s="6" customFormat="1" x14ac:dyDescent="0.2">
      <c r="A58" s="7" t="s">
        <v>350</v>
      </c>
      <c r="B58" s="6">
        <v>26</v>
      </c>
      <c r="C58" s="6" t="s">
        <v>47</v>
      </c>
      <c r="F58" s="6" t="s">
        <v>329</v>
      </c>
      <c r="G58" s="6" t="s">
        <v>1489</v>
      </c>
      <c r="H58" s="6" t="s">
        <v>1493</v>
      </c>
      <c r="L58" s="6" t="str">
        <f t="shared" si="6"/>
        <v>01_Textgattung/02_Denkmaelerformel/02-1_jt/0030_jt_MR_01.png</v>
      </c>
      <c r="N58" s="6" t="s">
        <v>93</v>
      </c>
    </row>
    <row r="59" spans="1:14" s="6" customFormat="1" x14ac:dyDescent="0.2">
      <c r="A59" s="7" t="s">
        <v>350</v>
      </c>
      <c r="B59" s="6">
        <v>27</v>
      </c>
      <c r="C59" s="6" t="s">
        <v>45</v>
      </c>
      <c r="D59" s="6" t="s">
        <v>1408</v>
      </c>
      <c r="N59" s="6" t="s">
        <v>93</v>
      </c>
    </row>
    <row r="60" spans="1:14" s="6" customFormat="1" x14ac:dyDescent="0.2">
      <c r="A60" s="7" t="s">
        <v>350</v>
      </c>
      <c r="B60" s="6">
        <v>28</v>
      </c>
      <c r="C60" s="6" t="s">
        <v>47</v>
      </c>
      <c r="F60" s="6" t="s">
        <v>329</v>
      </c>
      <c r="G60" s="6" t="s">
        <v>1489</v>
      </c>
      <c r="H60" s="6" t="s">
        <v>1494</v>
      </c>
      <c r="L60" s="6" t="str">
        <f t="shared" ref="L60" si="7">_xlfn.TEXTJOIN("", TRUE, E60:K60)</f>
        <v>01_Textgattung/02_Denkmaelerformel/02-1_jt/0040_jt_Gr_01.png</v>
      </c>
      <c r="N60" s="6" t="s">
        <v>93</v>
      </c>
    </row>
    <row r="61" spans="1:14" s="6" customFormat="1" x14ac:dyDescent="0.2">
      <c r="A61" s="7" t="s">
        <v>350</v>
      </c>
      <c r="B61" s="6">
        <v>29</v>
      </c>
      <c r="C61" s="6" t="s">
        <v>45</v>
      </c>
      <c r="D61" s="6" t="s">
        <v>1146</v>
      </c>
      <c r="N61" s="6" t="s">
        <v>93</v>
      </c>
    </row>
    <row r="62" spans="1:14" s="6" customFormat="1" x14ac:dyDescent="0.2">
      <c r="A62" s="7" t="s">
        <v>350</v>
      </c>
      <c r="B62" s="6">
        <v>30</v>
      </c>
      <c r="C62" s="6" t="s">
        <v>47</v>
      </c>
      <c r="F62" s="6" t="s">
        <v>329</v>
      </c>
      <c r="G62" s="6" t="s">
        <v>1489</v>
      </c>
      <c r="H62" s="6" t="s">
        <v>1495</v>
      </c>
      <c r="L62" s="6" t="str">
        <f t="shared" ref="L62" si="8">_xlfn.TEXTJOIN("", TRUE, E62:K62)</f>
        <v>01_Textgattung/02_Denkmaelerformel/02-1_jt/0050_jt_Gr_02.png</v>
      </c>
      <c r="N62" s="6" t="s">
        <v>93</v>
      </c>
    </row>
    <row r="63" spans="1:14" s="6" customFormat="1" x14ac:dyDescent="0.2">
      <c r="A63" s="7" t="s">
        <v>350</v>
      </c>
      <c r="B63" s="6">
        <v>31</v>
      </c>
      <c r="C63" s="6" t="s">
        <v>45</v>
      </c>
      <c r="D63" s="6" t="s">
        <v>1146</v>
      </c>
      <c r="N63" s="6" t="s">
        <v>93</v>
      </c>
    </row>
    <row r="64" spans="1:14" s="6" customFormat="1" x14ac:dyDescent="0.2">
      <c r="A64" s="7" t="s">
        <v>350</v>
      </c>
      <c r="B64" s="6">
        <v>32</v>
      </c>
      <c r="C64" s="6" t="s">
        <v>17</v>
      </c>
      <c r="D64" s="6" t="s">
        <v>661</v>
      </c>
      <c r="N64" s="6" t="s">
        <v>95</v>
      </c>
    </row>
    <row r="65" spans="1:14" s="6" customFormat="1" x14ac:dyDescent="0.2">
      <c r="A65" s="7" t="s">
        <v>350</v>
      </c>
      <c r="B65" s="6">
        <v>33</v>
      </c>
      <c r="C65" s="6" t="s">
        <v>47</v>
      </c>
      <c r="F65" s="6" t="s">
        <v>329</v>
      </c>
      <c r="G65" s="6" t="s">
        <v>1496</v>
      </c>
      <c r="H65" s="6" t="s">
        <v>810</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1496</v>
      </c>
      <c r="H66" s="6" t="s">
        <v>811</v>
      </c>
      <c r="L66" s="6" t="str">
        <f t="shared" si="9"/>
        <v>01_Textgattung/02_Denkmaelerformel/03-1_mw.t/0010_mw.t_02.png</v>
      </c>
      <c r="N66" s="6" t="s">
        <v>95</v>
      </c>
    </row>
    <row r="67" spans="1:14" s="6" customFormat="1" x14ac:dyDescent="0.2">
      <c r="A67" s="7" t="s">
        <v>350</v>
      </c>
      <c r="B67" s="6">
        <v>35</v>
      </c>
      <c r="C67" s="6" t="s">
        <v>47</v>
      </c>
      <c r="F67" s="6" t="s">
        <v>329</v>
      </c>
      <c r="G67" s="6" t="s">
        <v>1496</v>
      </c>
      <c r="H67" s="6" t="s">
        <v>812</v>
      </c>
      <c r="L67" s="6" t="str">
        <f t="shared" si="9"/>
        <v>01_Textgattung/02_Denkmaelerformel/03-1_mw.t/0020_mw.t_03.png</v>
      </c>
      <c r="N67" s="6" t="s">
        <v>95</v>
      </c>
    </row>
    <row r="68" spans="1:14" s="6" customFormat="1" x14ac:dyDescent="0.2">
      <c r="A68" s="7" t="s">
        <v>350</v>
      </c>
      <c r="B68" s="6">
        <v>36</v>
      </c>
      <c r="C68" s="6" t="s">
        <v>47</v>
      </c>
      <c r="F68" s="6" t="s">
        <v>329</v>
      </c>
      <c r="G68" s="6" t="s">
        <v>1496</v>
      </c>
      <c r="H68" s="6" t="s">
        <v>1497</v>
      </c>
      <c r="L68" s="6" t="str">
        <f t="shared" si="9"/>
        <v>01_Textgattung/02_Denkmaelerformel/03-1_mw.t/0030_mw.t_seit-MR_01.png</v>
      </c>
      <c r="N68" s="6" t="s">
        <v>95</v>
      </c>
    </row>
    <row r="69" spans="1:14" s="6" customFormat="1" x14ac:dyDescent="0.2">
      <c r="A69" s="7" t="s">
        <v>350</v>
      </c>
      <c r="B69" s="6">
        <v>37</v>
      </c>
      <c r="C69" s="6" t="s">
        <v>45</v>
      </c>
      <c r="D69" s="6" t="s">
        <v>1408</v>
      </c>
      <c r="N69" s="6" t="s">
        <v>95</v>
      </c>
    </row>
    <row r="70" spans="1:14" s="6" customFormat="1" x14ac:dyDescent="0.2">
      <c r="A70" s="7" t="s">
        <v>350</v>
      </c>
      <c r="B70" s="6">
        <v>38</v>
      </c>
      <c r="C70" s="6" t="s">
        <v>47</v>
      </c>
      <c r="F70" s="6" t="s">
        <v>329</v>
      </c>
      <c r="G70" s="6" t="s">
        <v>1496</v>
      </c>
      <c r="H70" s="6" t="s">
        <v>1498</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1408</v>
      </c>
      <c r="N71" s="6" t="s">
        <v>95</v>
      </c>
    </row>
    <row r="72" spans="1:14" s="6" customFormat="1" x14ac:dyDescent="0.2">
      <c r="A72" s="7" t="s">
        <v>350</v>
      </c>
      <c r="B72" s="6">
        <v>40</v>
      </c>
      <c r="C72" s="6" t="s">
        <v>47</v>
      </c>
      <c r="F72" s="6" t="s">
        <v>329</v>
      </c>
      <c r="G72" s="6" t="s">
        <v>1496</v>
      </c>
      <c r="H72" s="6" t="s">
        <v>1499</v>
      </c>
      <c r="L72" s="6" t="str">
        <f t="shared" si="10"/>
        <v>01_Textgattung/02_Denkmaelerformel/03-1_mw.t/0050_mw.t_seit-MR_03.png</v>
      </c>
      <c r="N72" s="6" t="s">
        <v>95</v>
      </c>
    </row>
    <row r="73" spans="1:14" s="6" customFormat="1" x14ac:dyDescent="0.2">
      <c r="A73" s="7" t="s">
        <v>350</v>
      </c>
      <c r="B73" s="6">
        <v>41</v>
      </c>
      <c r="C73" s="6" t="s">
        <v>45</v>
      </c>
      <c r="D73" s="6" t="s">
        <v>1408</v>
      </c>
      <c r="N73" s="6" t="s">
        <v>95</v>
      </c>
    </row>
    <row r="74" spans="1:14" s="6" customFormat="1" x14ac:dyDescent="0.2">
      <c r="A74" s="7" t="s">
        <v>350</v>
      </c>
      <c r="B74" s="6">
        <v>42</v>
      </c>
      <c r="C74" s="6" t="s">
        <v>47</v>
      </c>
      <c r="F74" s="6" t="s">
        <v>329</v>
      </c>
      <c r="G74" s="6" t="s">
        <v>1496</v>
      </c>
      <c r="H74" s="6" t="s">
        <v>1500</v>
      </c>
      <c r="L74" s="6" t="str">
        <f t="shared" ref="L74" si="11">_xlfn.TEXTJOIN("", TRUE, E74:K74)</f>
        <v>01_Textgattung/02_Denkmaelerformel/03-1_mw.t/0060_mw.t_NR_01.png</v>
      </c>
      <c r="N74" s="6" t="s">
        <v>95</v>
      </c>
    </row>
    <row r="75" spans="1:14" s="6" customFormat="1" x14ac:dyDescent="0.2">
      <c r="A75" s="7" t="s">
        <v>350</v>
      </c>
      <c r="B75" s="6">
        <v>43</v>
      </c>
      <c r="C75" s="6" t="s">
        <v>45</v>
      </c>
      <c r="D75" s="6" t="s">
        <v>1144</v>
      </c>
      <c r="N75" s="6" t="s">
        <v>95</v>
      </c>
    </row>
    <row r="76" spans="1:14" s="6" customFormat="1" x14ac:dyDescent="0.2">
      <c r="A76" s="7" t="s">
        <v>350</v>
      </c>
      <c r="B76" s="6">
        <v>44</v>
      </c>
      <c r="C76" s="6" t="s">
        <v>47</v>
      </c>
      <c r="F76" s="6" t="s">
        <v>329</v>
      </c>
      <c r="G76" s="6" t="s">
        <v>1496</v>
      </c>
      <c r="H76" s="6" t="s">
        <v>1501</v>
      </c>
      <c r="L76" s="6" t="str">
        <f t="shared" ref="L76" si="12">_xlfn.TEXTJOIN("", TRUE, E76:K76)</f>
        <v>01_Textgattung/02_Denkmaelerformel/03-1_mw.t/0070_mw.t_Sp_01.png</v>
      </c>
      <c r="N76" s="6" t="s">
        <v>95</v>
      </c>
    </row>
    <row r="77" spans="1:14" s="6" customFormat="1" x14ac:dyDescent="0.2">
      <c r="A77" s="7" t="s">
        <v>350</v>
      </c>
      <c r="B77" s="6">
        <v>45</v>
      </c>
      <c r="C77" s="6" t="s">
        <v>45</v>
      </c>
      <c r="D77" s="6" t="s">
        <v>1409</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47</v>
      </c>
      <c r="F86" s="12" t="s">
        <v>447</v>
      </c>
      <c r="G86" s="12" t="s">
        <v>370</v>
      </c>
      <c r="H86" s="12" t="s">
        <v>371</v>
      </c>
      <c r="I86" s="12" t="s">
        <v>112</v>
      </c>
      <c r="L86" s="12" t="str">
        <f t="shared" ref="L86" si="16">_xlfn.TEXTJOIN("", TRUE, E86:K86)</f>
        <v>01_Textgattung/03_Hymnus/04_jn/0001_jn_01.png</v>
      </c>
      <c r="N86" s="12" t="s">
        <v>90</v>
      </c>
    </row>
    <row r="87" spans="1:14" s="12" customFormat="1" x14ac:dyDescent="0.2">
      <c r="A87" s="13" t="s">
        <v>358</v>
      </c>
      <c r="B87" s="12">
        <v>9</v>
      </c>
      <c r="C87" s="12" t="s">
        <v>45</v>
      </c>
      <c r="D87" s="12" t="s">
        <v>369</v>
      </c>
      <c r="N87" s="12" t="s">
        <v>90</v>
      </c>
    </row>
    <row r="88" spans="1:14" s="12" customFormat="1" x14ac:dyDescent="0.2">
      <c r="A88" s="13" t="s">
        <v>358</v>
      </c>
      <c r="B88" s="12">
        <v>10</v>
      </c>
      <c r="C88" s="12" t="s">
        <v>46</v>
      </c>
      <c r="D88" s="12" t="s">
        <v>50</v>
      </c>
      <c r="M88" s="12" t="s">
        <v>99</v>
      </c>
      <c r="N88" s="12" t="s">
        <v>90</v>
      </c>
    </row>
    <row r="89" spans="1:14" s="12" customFormat="1" x14ac:dyDescent="0.2">
      <c r="A89" s="13" t="s">
        <v>358</v>
      </c>
      <c r="B89" s="12">
        <v>11</v>
      </c>
      <c r="C89" s="12" t="s">
        <v>47</v>
      </c>
      <c r="F89" s="12" t="s">
        <v>447</v>
      </c>
      <c r="G89" s="12" t="s">
        <v>373</v>
      </c>
      <c r="H89" s="12" t="s">
        <v>374</v>
      </c>
      <c r="I89" s="12" t="s">
        <v>112</v>
      </c>
      <c r="L89" s="12" t="str">
        <f t="shared" ref="L89" si="17">_xlfn.TEXTJOIN("", TRUE, E89:K89)</f>
        <v>01_Textgattung/03_Hymnus/05_Dd=f/0001_Dd=f_01.png</v>
      </c>
      <c r="N89" s="12" t="s">
        <v>90</v>
      </c>
    </row>
    <row r="90" spans="1:14" s="12" customFormat="1" x14ac:dyDescent="0.2">
      <c r="A90" s="13" t="s">
        <v>358</v>
      </c>
      <c r="B90" s="12">
        <v>12</v>
      </c>
      <c r="C90" s="12" t="s">
        <v>45</v>
      </c>
      <c r="D90" s="12" t="s">
        <v>372</v>
      </c>
      <c r="N90" s="12" t="s">
        <v>90</v>
      </c>
    </row>
    <row r="91" spans="1:14" s="12" customFormat="1" x14ac:dyDescent="0.2">
      <c r="A91" s="13" t="s">
        <v>358</v>
      </c>
      <c r="B91" s="12">
        <v>13</v>
      </c>
      <c r="C91" s="12" t="s">
        <v>47</v>
      </c>
      <c r="F91" s="12" t="s">
        <v>447</v>
      </c>
      <c r="G91" s="12" t="s">
        <v>375</v>
      </c>
      <c r="H91" s="12" t="s">
        <v>376</v>
      </c>
      <c r="I91" s="12" t="s">
        <v>112</v>
      </c>
      <c r="L91" s="12" t="str">
        <f t="shared" ref="L91" si="18">_xlfn.TEXTJOIN("", TRUE, E91:K91)</f>
        <v>01_Textgattung/03_Hymnus/06_jnD-Hr/0001_jnD-Hr_01.png</v>
      </c>
      <c r="N91" s="12" t="s">
        <v>90</v>
      </c>
    </row>
    <row r="92" spans="1:14" s="12" customFormat="1" x14ac:dyDescent="0.2">
      <c r="A92" s="13" t="s">
        <v>358</v>
      </c>
      <c r="B92" s="12">
        <v>14</v>
      </c>
      <c r="C92" s="12" t="s">
        <v>45</v>
      </c>
      <c r="D92" s="12" t="s">
        <v>539</v>
      </c>
      <c r="N92" s="12" t="s">
        <v>90</v>
      </c>
    </row>
    <row r="93" spans="1:14" s="12" customFormat="1" x14ac:dyDescent="0.2">
      <c r="A93" s="13" t="s">
        <v>358</v>
      </c>
      <c r="B93" s="12">
        <v>15</v>
      </c>
      <c r="C93" s="12" t="s">
        <v>91</v>
      </c>
      <c r="N93" s="12" t="s">
        <v>90</v>
      </c>
    </row>
    <row r="94" spans="1:14" s="12" customFormat="1" x14ac:dyDescent="0.2">
      <c r="A94" s="13" t="s">
        <v>1073</v>
      </c>
      <c r="B94" s="12">
        <v>16</v>
      </c>
      <c r="C94" s="12" t="s">
        <v>17</v>
      </c>
      <c r="D94" s="12" t="s">
        <v>360</v>
      </c>
      <c r="N94" s="12" t="s">
        <v>92</v>
      </c>
    </row>
    <row r="95" spans="1:14" s="12" customFormat="1" x14ac:dyDescent="0.2">
      <c r="A95" s="13" t="s">
        <v>1073</v>
      </c>
      <c r="B95" s="12">
        <v>17</v>
      </c>
      <c r="C95" s="12" t="s">
        <v>47</v>
      </c>
      <c r="F95" s="12" t="s">
        <v>447</v>
      </c>
      <c r="G95" s="12" t="s">
        <v>362</v>
      </c>
      <c r="H95" s="12" t="s">
        <v>1080</v>
      </c>
      <c r="L95" s="12" t="str">
        <f t="shared" ref="L95:L108" si="19">_xlfn.TEXTJOIN("", TRUE, E95:K95)</f>
        <v>01_Textgattung/03_Hymnus/01_dwA/0001_dwA_01.png</v>
      </c>
      <c r="N95" s="12" t="s">
        <v>92</v>
      </c>
    </row>
    <row r="96" spans="1:14" s="12" customFormat="1" x14ac:dyDescent="0.2">
      <c r="A96" s="13" t="s">
        <v>1073</v>
      </c>
      <c r="B96" s="12">
        <v>18</v>
      </c>
      <c r="C96" s="12" t="s">
        <v>47</v>
      </c>
      <c r="F96" s="12" t="s">
        <v>447</v>
      </c>
      <c r="G96" s="12" t="s">
        <v>362</v>
      </c>
      <c r="H96" s="12" t="s">
        <v>1081</v>
      </c>
      <c r="L96" s="12" t="str">
        <f t="shared" si="19"/>
        <v>01_Textgattung/03_Hymnus/01_dwA/0010_dwA_02.png</v>
      </c>
      <c r="N96" s="12" t="s">
        <v>92</v>
      </c>
    </row>
    <row r="97" spans="1:14" s="12" customFormat="1" x14ac:dyDescent="0.2">
      <c r="A97" s="13" t="s">
        <v>1073</v>
      </c>
      <c r="B97" s="12">
        <v>19</v>
      </c>
      <c r="C97" s="12" t="s">
        <v>47</v>
      </c>
      <c r="F97" s="12" t="s">
        <v>447</v>
      </c>
      <c r="G97" s="12" t="s">
        <v>362</v>
      </c>
      <c r="H97" s="12" t="s">
        <v>1084</v>
      </c>
      <c r="L97" s="12" t="str">
        <f t="shared" ref="L97" si="20">_xlfn.TEXTJOIN("", TRUE, E97:K97)</f>
        <v>01_Textgattung/03_Hymnus/01_dwA/0020_dwA_seit-MR_01.png</v>
      </c>
      <c r="N97" s="12" t="s">
        <v>92</v>
      </c>
    </row>
    <row r="98" spans="1:14" s="12" customFormat="1" x14ac:dyDescent="0.2">
      <c r="A98" s="13" t="s">
        <v>1073</v>
      </c>
      <c r="B98" s="12">
        <v>20</v>
      </c>
      <c r="C98" s="12" t="s">
        <v>45</v>
      </c>
      <c r="D98" s="12" t="s">
        <v>1143</v>
      </c>
      <c r="N98" s="12" t="s">
        <v>92</v>
      </c>
    </row>
    <row r="99" spans="1:14" s="12" customFormat="1" x14ac:dyDescent="0.2">
      <c r="A99" s="13" t="s">
        <v>1073</v>
      </c>
      <c r="B99" s="12">
        <v>21</v>
      </c>
      <c r="C99" s="12" t="s">
        <v>17</v>
      </c>
      <c r="D99" s="12" t="s">
        <v>540</v>
      </c>
      <c r="N99" s="12" t="s">
        <v>93</v>
      </c>
    </row>
    <row r="100" spans="1:14" s="12" customFormat="1" x14ac:dyDescent="0.2">
      <c r="A100" s="13" t="s">
        <v>1073</v>
      </c>
      <c r="B100" s="12">
        <v>22</v>
      </c>
      <c r="C100" s="12" t="s">
        <v>47</v>
      </c>
      <c r="F100" s="12" t="s">
        <v>447</v>
      </c>
      <c r="G100" s="12" t="s">
        <v>363</v>
      </c>
      <c r="H100" s="12" t="s">
        <v>1076</v>
      </c>
      <c r="L100" s="12" t="str">
        <f t="shared" si="19"/>
        <v>01_Textgattung/03_Hymnus/02_rDj.t-jAw/0001_rDj.t-jAw_01.png</v>
      </c>
      <c r="N100" s="12" t="s">
        <v>93</v>
      </c>
    </row>
    <row r="101" spans="1:14" s="12" customFormat="1" x14ac:dyDescent="0.2">
      <c r="A101" s="13" t="s">
        <v>1073</v>
      </c>
      <c r="B101" s="12">
        <v>23</v>
      </c>
      <c r="C101" s="12" t="s">
        <v>47</v>
      </c>
      <c r="F101" s="12" t="s">
        <v>447</v>
      </c>
      <c r="G101" s="12" t="s">
        <v>363</v>
      </c>
      <c r="H101" s="12" t="s">
        <v>1078</v>
      </c>
      <c r="L101" s="12" t="str">
        <f t="shared" si="19"/>
        <v>01_Textgattung/03_Hymnus/02_rDj.t-jAw/0010_rDj.t-jAw_NR_01.png</v>
      </c>
      <c r="N101" s="12" t="s">
        <v>93</v>
      </c>
    </row>
    <row r="102" spans="1:14" s="12" customFormat="1" x14ac:dyDescent="0.2">
      <c r="A102" s="13" t="s">
        <v>1073</v>
      </c>
      <c r="B102" s="12">
        <v>24</v>
      </c>
      <c r="C102" s="12" t="s">
        <v>45</v>
      </c>
      <c r="D102" s="12" t="s">
        <v>1144</v>
      </c>
      <c r="N102" s="12" t="s">
        <v>93</v>
      </c>
    </row>
    <row r="103" spans="1:14" s="12" customFormat="1" x14ac:dyDescent="0.2">
      <c r="A103" s="13" t="s">
        <v>1073</v>
      </c>
      <c r="B103" s="12">
        <v>25</v>
      </c>
      <c r="C103" s="12" t="s">
        <v>47</v>
      </c>
      <c r="F103" s="12" t="s">
        <v>447</v>
      </c>
      <c r="G103" s="12" t="s">
        <v>363</v>
      </c>
      <c r="H103" s="12" t="s">
        <v>1079</v>
      </c>
      <c r="L103" s="12" t="str">
        <f t="shared" ref="L103" si="21">_xlfn.TEXTJOIN("", TRUE, E103:K103)</f>
        <v>01_Textgattung/03_Hymnus/02_rDj.t-jAw/0020_rDj.t-jAw_NR_02.png</v>
      </c>
      <c r="N103" s="12" t="s">
        <v>93</v>
      </c>
    </row>
    <row r="104" spans="1:14" s="12" customFormat="1" x14ac:dyDescent="0.2">
      <c r="A104" s="13" t="s">
        <v>1073</v>
      </c>
      <c r="B104" s="12">
        <v>26</v>
      </c>
      <c r="C104" s="12" t="s">
        <v>45</v>
      </c>
      <c r="D104" s="12" t="s">
        <v>1144</v>
      </c>
      <c r="N104" s="12" t="s">
        <v>93</v>
      </c>
    </row>
    <row r="105" spans="1:14" s="12" customFormat="1" x14ac:dyDescent="0.2">
      <c r="A105" s="13" t="s">
        <v>1073</v>
      </c>
      <c r="B105" s="12">
        <v>27</v>
      </c>
      <c r="C105" s="12" t="s">
        <v>47</v>
      </c>
      <c r="F105" s="12" t="s">
        <v>447</v>
      </c>
      <c r="G105" s="12" t="s">
        <v>363</v>
      </c>
      <c r="H105" s="12" t="s">
        <v>1077</v>
      </c>
      <c r="L105" s="12" t="str">
        <f t="shared" ref="L105" si="22">_xlfn.TEXTJOIN("", TRUE, E105:K105)</f>
        <v>01_Textgattung/03_Hymnus/02_rDj.t-jAw/0030_rDj.t-jAw_NR_03.png</v>
      </c>
      <c r="N105" s="12" t="s">
        <v>93</v>
      </c>
    </row>
    <row r="106" spans="1:14" s="12" customFormat="1" x14ac:dyDescent="0.2">
      <c r="A106" s="13" t="s">
        <v>1073</v>
      </c>
      <c r="B106" s="12">
        <v>28</v>
      </c>
      <c r="C106" s="12" t="s">
        <v>45</v>
      </c>
      <c r="D106" s="12" t="s">
        <v>1144</v>
      </c>
      <c r="N106" s="12" t="s">
        <v>93</v>
      </c>
    </row>
    <row r="107" spans="1:14" s="12" customFormat="1" x14ac:dyDescent="0.2">
      <c r="A107" s="13" t="s">
        <v>1073</v>
      </c>
      <c r="B107" s="12">
        <v>29</v>
      </c>
      <c r="C107" s="12" t="s">
        <v>17</v>
      </c>
      <c r="D107" s="12" t="s">
        <v>368</v>
      </c>
      <c r="N107" s="12" t="s">
        <v>95</v>
      </c>
    </row>
    <row r="108" spans="1:14" s="12" customFormat="1" x14ac:dyDescent="0.2">
      <c r="A108" s="13" t="s">
        <v>1073</v>
      </c>
      <c r="B108" s="12">
        <v>30</v>
      </c>
      <c r="C108" s="12" t="s">
        <v>47</v>
      </c>
      <c r="F108" s="12" t="s">
        <v>447</v>
      </c>
      <c r="G108" s="12" t="s">
        <v>366</v>
      </c>
      <c r="H108" s="12" t="s">
        <v>1082</v>
      </c>
      <c r="L108" s="12" t="str">
        <f t="shared" si="19"/>
        <v>01_Textgattung/03_Hymnus/03_sn-tA-n/0001_sn-tA-n_01.png</v>
      </c>
      <c r="N108" s="12" t="s">
        <v>95</v>
      </c>
    </row>
    <row r="109" spans="1:14" s="12" customFormat="1" x14ac:dyDescent="0.2">
      <c r="A109" s="13" t="s">
        <v>1073</v>
      </c>
      <c r="B109" s="12">
        <v>31</v>
      </c>
      <c r="C109" s="12" t="s">
        <v>47</v>
      </c>
      <c r="F109" s="12" t="s">
        <v>447</v>
      </c>
      <c r="G109" s="12" t="s">
        <v>366</v>
      </c>
      <c r="H109" s="12" t="s">
        <v>1083</v>
      </c>
      <c r="L109" s="12" t="str">
        <f t="shared" ref="L109" si="23">_xlfn.TEXTJOIN("", TRUE, E109:K109)</f>
        <v>01_Textgattung/03_Hymnus/03_sn-tA-n/0010_sn-tA-n_NR_01.png</v>
      </c>
      <c r="N109" s="12" t="s">
        <v>95</v>
      </c>
    </row>
    <row r="110" spans="1:14" s="12" customFormat="1" x14ac:dyDescent="0.2">
      <c r="A110" s="13" t="s">
        <v>1073</v>
      </c>
      <c r="B110" s="12">
        <v>32</v>
      </c>
      <c r="C110" s="12" t="s">
        <v>45</v>
      </c>
      <c r="D110" s="12" t="s">
        <v>1144</v>
      </c>
      <c r="N110" s="12" t="s">
        <v>95</v>
      </c>
    </row>
    <row r="111" spans="1:14" s="12" customFormat="1" x14ac:dyDescent="0.2">
      <c r="A111" s="13" t="s">
        <v>1073</v>
      </c>
      <c r="B111" s="12">
        <v>33</v>
      </c>
      <c r="C111" s="12" t="s">
        <v>91</v>
      </c>
      <c r="N111" s="12" t="s">
        <v>90</v>
      </c>
    </row>
    <row r="112" spans="1:14" s="12" customFormat="1" x14ac:dyDescent="0.2">
      <c r="A112" s="13" t="s">
        <v>1075</v>
      </c>
      <c r="B112" s="12">
        <v>34</v>
      </c>
      <c r="C112" s="12" t="s">
        <v>17</v>
      </c>
      <c r="D112" s="12" t="s">
        <v>369</v>
      </c>
      <c r="N112" s="12" t="s">
        <v>92</v>
      </c>
    </row>
    <row r="113" spans="1:14" s="12" customFormat="1" x14ac:dyDescent="0.2">
      <c r="A113" s="13" t="s">
        <v>1075</v>
      </c>
      <c r="B113" s="12">
        <v>35</v>
      </c>
      <c r="C113" s="12" t="s">
        <v>47</v>
      </c>
      <c r="F113" s="12" t="s">
        <v>447</v>
      </c>
      <c r="G113" s="12" t="s">
        <v>370</v>
      </c>
      <c r="H113" s="12" t="s">
        <v>1085</v>
      </c>
      <c r="L113" s="12" t="str">
        <f t="shared" ref="L113:L114" si="24">_xlfn.TEXTJOIN("", TRUE, E113:K113)</f>
        <v>01_Textgattung/03_Hymnus/04_jn/0001_jn_01.png</v>
      </c>
      <c r="N113" s="12" t="s">
        <v>92</v>
      </c>
    </row>
    <row r="114" spans="1:14" s="12" customFormat="1" x14ac:dyDescent="0.2">
      <c r="A114" s="13" t="s">
        <v>1075</v>
      </c>
      <c r="B114" s="12">
        <v>36</v>
      </c>
      <c r="C114" s="12" t="s">
        <v>47</v>
      </c>
      <c r="F114" s="12" t="s">
        <v>447</v>
      </c>
      <c r="G114" s="12" t="s">
        <v>370</v>
      </c>
      <c r="H114" s="12" t="s">
        <v>1086</v>
      </c>
      <c r="L114" s="12" t="str">
        <f t="shared" si="24"/>
        <v>01_Textgattung/03_Hymnus/04_jn/0010_jn_02.png</v>
      </c>
      <c r="N114" s="12" t="s">
        <v>92</v>
      </c>
    </row>
    <row r="115" spans="1:14" s="12" customFormat="1" x14ac:dyDescent="0.2">
      <c r="A115" s="13" t="s">
        <v>1075</v>
      </c>
      <c r="B115" s="12">
        <v>37</v>
      </c>
      <c r="C115" s="12" t="s">
        <v>17</v>
      </c>
      <c r="D115" s="12" t="s">
        <v>372</v>
      </c>
      <c r="N115" s="12" t="s">
        <v>93</v>
      </c>
    </row>
    <row r="116" spans="1:14" s="12" customFormat="1" x14ac:dyDescent="0.2">
      <c r="A116" s="13" t="s">
        <v>1075</v>
      </c>
      <c r="B116" s="12">
        <v>38</v>
      </c>
      <c r="C116" s="12" t="s">
        <v>47</v>
      </c>
      <c r="F116" s="12" t="s">
        <v>447</v>
      </c>
      <c r="G116" s="12" t="s">
        <v>373</v>
      </c>
      <c r="H116" s="12" t="s">
        <v>374</v>
      </c>
      <c r="I116" s="12" t="s">
        <v>112</v>
      </c>
      <c r="L116" s="12" t="str">
        <f t="shared" ref="L116" si="25">_xlfn.TEXTJOIN("", TRUE, E116:K116)</f>
        <v>01_Textgattung/03_Hymnus/05_Dd=f/0001_Dd=f_01.png</v>
      </c>
      <c r="N116" s="12" t="s">
        <v>93</v>
      </c>
    </row>
    <row r="117" spans="1:14" s="12" customFormat="1" x14ac:dyDescent="0.2">
      <c r="A117" s="13" t="s">
        <v>1074</v>
      </c>
      <c r="B117" s="12">
        <v>39</v>
      </c>
      <c r="C117" s="12" t="s">
        <v>17</v>
      </c>
      <c r="D117" s="12" t="s">
        <v>1087</v>
      </c>
      <c r="N117" s="12" t="s">
        <v>92</v>
      </c>
    </row>
    <row r="118" spans="1:14" s="12" customFormat="1" x14ac:dyDescent="0.2">
      <c r="A118" s="13" t="s">
        <v>1074</v>
      </c>
      <c r="B118" s="12">
        <v>40</v>
      </c>
      <c r="C118" s="12" t="s">
        <v>47</v>
      </c>
      <c r="F118" s="12" t="s">
        <v>447</v>
      </c>
      <c r="G118" s="12" t="s">
        <v>375</v>
      </c>
      <c r="H118" s="12" t="s">
        <v>376</v>
      </c>
      <c r="I118" s="12" t="s">
        <v>112</v>
      </c>
      <c r="L118" s="12" t="str">
        <f t="shared" ref="L118" si="26">_xlfn.TEXTJOIN("", TRUE, E118:K118)</f>
        <v>01_Textgattung/03_Hymnus/06_jnD-Hr/0001_jnD-Hr_01.png</v>
      </c>
      <c r="N118" s="12" t="s">
        <v>92</v>
      </c>
    </row>
    <row r="128" spans="1:14" s="16" customFormat="1" x14ac:dyDescent="0.2">
      <c r="A128" s="17" t="s">
        <v>445</v>
      </c>
      <c r="B128" s="16">
        <v>1</v>
      </c>
      <c r="C128" s="16" t="s">
        <v>46</v>
      </c>
      <c r="D128" s="16" t="s">
        <v>324</v>
      </c>
      <c r="M128" s="16" t="s">
        <v>325</v>
      </c>
      <c r="N128" s="16" t="s">
        <v>90</v>
      </c>
    </row>
    <row r="129" spans="1:14" s="16" customFormat="1" x14ac:dyDescent="0.2">
      <c r="A129" s="17" t="s">
        <v>445</v>
      </c>
      <c r="B129" s="16">
        <v>2</v>
      </c>
      <c r="C129" s="16" t="s">
        <v>46</v>
      </c>
      <c r="D129" s="16" t="s">
        <v>48</v>
      </c>
      <c r="M129" s="16" t="s">
        <v>97</v>
      </c>
      <c r="N129" s="16" t="s">
        <v>90</v>
      </c>
    </row>
    <row r="130" spans="1:14" s="16" customFormat="1" x14ac:dyDescent="0.2">
      <c r="A130" s="17" t="s">
        <v>445</v>
      </c>
      <c r="B130" s="16">
        <v>3</v>
      </c>
      <c r="C130" s="16" t="s">
        <v>47</v>
      </c>
      <c r="F130" s="16" t="s">
        <v>456</v>
      </c>
      <c r="G130" s="16" t="s">
        <v>449</v>
      </c>
      <c r="H130" s="16" t="s">
        <v>448</v>
      </c>
      <c r="I130" s="16" t="s">
        <v>112</v>
      </c>
      <c r="L130" s="16" t="str">
        <f t="shared" ref="L130" si="27">_xlfn.TEXTJOIN("", TRUE, E130:K130)</f>
        <v>01_Textgattung/04_Koenig-geliebt-von-Gottheit-Formel/01_mry/0001_mry_01.png</v>
      </c>
      <c r="N130" s="16" t="s">
        <v>90</v>
      </c>
    </row>
    <row r="131" spans="1:14" s="16" customFormat="1" x14ac:dyDescent="0.2">
      <c r="A131" s="17" t="s">
        <v>445</v>
      </c>
      <c r="B131" s="16">
        <v>4</v>
      </c>
      <c r="C131" s="16" t="s">
        <v>45</v>
      </c>
      <c r="D131" s="16" t="s">
        <v>446</v>
      </c>
      <c r="N131" s="16" t="s">
        <v>90</v>
      </c>
    </row>
    <row r="132" spans="1:14" s="16" customFormat="1" x14ac:dyDescent="0.2">
      <c r="A132" s="17" t="s">
        <v>445</v>
      </c>
      <c r="B132" s="16">
        <v>5</v>
      </c>
      <c r="C132" s="16" t="s">
        <v>91</v>
      </c>
      <c r="N132" s="16" t="s">
        <v>90</v>
      </c>
    </row>
    <row r="133" spans="1:14" s="16" customFormat="1" x14ac:dyDescent="0.2">
      <c r="A133" s="17" t="s">
        <v>450</v>
      </c>
      <c r="B133" s="16">
        <v>6</v>
      </c>
      <c r="C133" s="16" t="s">
        <v>17</v>
      </c>
      <c r="D133" s="16" t="s">
        <v>446</v>
      </c>
      <c r="N133" s="16" t="s">
        <v>92</v>
      </c>
    </row>
    <row r="134" spans="1:14" s="16" customFormat="1" x14ac:dyDescent="0.2">
      <c r="A134" s="17" t="s">
        <v>450</v>
      </c>
      <c r="B134" s="16">
        <v>7</v>
      </c>
      <c r="C134" s="16" t="s">
        <v>47</v>
      </c>
      <c r="F134" s="16" t="s">
        <v>456</v>
      </c>
      <c r="G134" s="16" t="s">
        <v>449</v>
      </c>
      <c r="H134" s="16" t="s">
        <v>448</v>
      </c>
      <c r="I134" s="16" t="s">
        <v>112</v>
      </c>
      <c r="L134" s="16" t="str">
        <f t="shared" ref="L134" si="28">_xlfn.TEXTJOIN("", TRUE, E134:K134)</f>
        <v>01_Textgattung/04_Koenig-geliebt-von-Gottheit-Formel/01_mry/0001_mry_01.png</v>
      </c>
      <c r="N134" s="16" t="s">
        <v>92</v>
      </c>
    </row>
    <row r="135" spans="1:14" s="16" customFormat="1" x14ac:dyDescent="0.2">
      <c r="A135" s="17" t="s">
        <v>450</v>
      </c>
      <c r="B135" s="16">
        <v>8</v>
      </c>
      <c r="C135" s="16" t="s">
        <v>47</v>
      </c>
      <c r="F135" s="16" t="s">
        <v>456</v>
      </c>
      <c r="G135" s="16" t="s">
        <v>449</v>
      </c>
      <c r="H135" s="16" t="s">
        <v>451</v>
      </c>
      <c r="I135" s="16" t="s">
        <v>112</v>
      </c>
      <c r="L135" s="16" t="str">
        <f t="shared" ref="L135:L138" si="29">_xlfn.TEXTJOIN("", TRUE, E135:K135)</f>
        <v>01_Textgattung/04_Koenig-geliebt-von-Gottheit-Formel/01_mry/0010_mry_02.png</v>
      </c>
      <c r="N135" s="16" t="s">
        <v>92</v>
      </c>
    </row>
    <row r="136" spans="1:14" s="16" customFormat="1" x14ac:dyDescent="0.2">
      <c r="A136" s="17" t="s">
        <v>450</v>
      </c>
      <c r="B136" s="16">
        <v>9</v>
      </c>
      <c r="C136" s="16" t="s">
        <v>47</v>
      </c>
      <c r="F136" s="16" t="s">
        <v>456</v>
      </c>
      <c r="G136" s="16" t="s">
        <v>449</v>
      </c>
      <c r="H136" s="16" t="s">
        <v>452</v>
      </c>
      <c r="I136" s="16" t="s">
        <v>112</v>
      </c>
      <c r="L136" s="16" t="str">
        <f t="shared" si="29"/>
        <v>01_Textgattung/04_Koenig-geliebt-von-Gottheit-Formel/01_mry/0020_mry_03.png</v>
      </c>
      <c r="N136" s="16" t="s">
        <v>92</v>
      </c>
    </row>
    <row r="137" spans="1:14" s="16" customFormat="1" x14ac:dyDescent="0.2">
      <c r="A137" s="17" t="s">
        <v>450</v>
      </c>
      <c r="B137" s="16">
        <v>10</v>
      </c>
      <c r="C137" s="16" t="s">
        <v>47</v>
      </c>
      <c r="F137" s="16" t="s">
        <v>456</v>
      </c>
      <c r="G137" s="16" t="s">
        <v>449</v>
      </c>
      <c r="H137" s="16" t="s">
        <v>453</v>
      </c>
      <c r="I137" s="16" t="s">
        <v>112</v>
      </c>
      <c r="L137" s="16" t="str">
        <f t="shared" si="29"/>
        <v>01_Textgattung/04_Koenig-geliebt-von-Gottheit-Formel/01_mry/0030_mry_04.png</v>
      </c>
      <c r="N137" s="16" t="s">
        <v>92</v>
      </c>
    </row>
    <row r="138" spans="1:14" s="16" customFormat="1" x14ac:dyDescent="0.2">
      <c r="A138" s="17" t="s">
        <v>450</v>
      </c>
      <c r="B138" s="16">
        <v>11</v>
      </c>
      <c r="C138" s="16" t="s">
        <v>47</v>
      </c>
      <c r="F138" s="16" t="s">
        <v>456</v>
      </c>
      <c r="G138" s="16" t="s">
        <v>449</v>
      </c>
      <c r="H138" s="16" t="s">
        <v>454</v>
      </c>
      <c r="I138" s="16" t="s">
        <v>112</v>
      </c>
      <c r="L138" s="16" t="str">
        <f t="shared" si="29"/>
        <v>01_Textgattung/04_Koenig-geliebt-von-Gottheit-Formel/01_mry/0040_mry_05.png</v>
      </c>
      <c r="N138" s="16" t="s">
        <v>92</v>
      </c>
    </row>
    <row r="139" spans="1:14" s="16" customFormat="1" x14ac:dyDescent="0.2">
      <c r="A139" s="17" t="s">
        <v>450</v>
      </c>
      <c r="B139" s="16">
        <v>12</v>
      </c>
      <c r="C139" s="16" t="s">
        <v>47</v>
      </c>
      <c r="F139" s="16" t="s">
        <v>456</v>
      </c>
      <c r="G139" s="16" t="s">
        <v>449</v>
      </c>
      <c r="H139" s="16" t="s">
        <v>455</v>
      </c>
      <c r="I139" s="16" t="s">
        <v>112</v>
      </c>
      <c r="L139" s="16" t="str">
        <f t="shared" ref="L139" si="30">_xlfn.TEXTJOIN("", TRUE, E139:K139)</f>
        <v>01_Textgattung/04_Koenig-geliebt-von-Gottheit-Formel/01_mry/0050_mry_AR_02.png</v>
      </c>
      <c r="N139" s="16" t="s">
        <v>92</v>
      </c>
    </row>
    <row r="140" spans="1:14" s="16" customFormat="1" x14ac:dyDescent="0.2">
      <c r="A140" s="17" t="s">
        <v>450</v>
      </c>
      <c r="B140" s="16">
        <v>13</v>
      </c>
      <c r="C140" s="16" t="s">
        <v>45</v>
      </c>
      <c r="D140" s="16" t="s">
        <v>1145</v>
      </c>
      <c r="N140" s="16" t="s">
        <v>92</v>
      </c>
    </row>
    <row r="142" spans="1:14" s="18" customFormat="1" x14ac:dyDescent="0.2">
      <c r="A142" s="18" t="s">
        <v>458</v>
      </c>
      <c r="B142" s="18">
        <v>1</v>
      </c>
      <c r="C142" s="18" t="s">
        <v>46</v>
      </c>
      <c r="D142" s="18" t="s">
        <v>477</v>
      </c>
      <c r="M142" s="18" t="s">
        <v>461</v>
      </c>
      <c r="N142" s="18" t="s">
        <v>90</v>
      </c>
    </row>
    <row r="143" spans="1:14" s="18" customFormat="1" x14ac:dyDescent="0.2">
      <c r="A143" s="18" t="s">
        <v>458</v>
      </c>
      <c r="B143" s="18">
        <v>2</v>
      </c>
      <c r="C143" s="18" t="s">
        <v>47</v>
      </c>
      <c r="F143" s="18" t="s">
        <v>464</v>
      </c>
      <c r="G143" s="18" t="s">
        <v>465</v>
      </c>
      <c r="H143" s="18" t="s">
        <v>467</v>
      </c>
      <c r="I143" s="18" t="s">
        <v>112</v>
      </c>
      <c r="L143" s="18" t="str">
        <f t="shared" ref="L143" si="31">_xlfn.TEXTJOIN("", TRUE, E143:K143)</f>
        <v>01_Textgattung/05_Historische-Koenigsinschrift/01_xr-Hm-n/0001_xr Hm n_01.png</v>
      </c>
      <c r="N143" s="18" t="s">
        <v>90</v>
      </c>
    </row>
    <row r="144" spans="1:14" s="18" customFormat="1" x14ac:dyDescent="0.2">
      <c r="A144" s="18" t="s">
        <v>458</v>
      </c>
      <c r="B144" s="18">
        <v>3</v>
      </c>
      <c r="C144" s="18" t="s">
        <v>45</v>
      </c>
      <c r="D144" s="18" t="s">
        <v>466</v>
      </c>
      <c r="N144" s="18" t="s">
        <v>90</v>
      </c>
    </row>
    <row r="145" spans="1:14" s="18" customFormat="1" x14ac:dyDescent="0.2">
      <c r="A145" s="18" t="s">
        <v>458</v>
      </c>
      <c r="B145" s="18">
        <v>4</v>
      </c>
      <c r="C145" s="18" t="s">
        <v>46</v>
      </c>
      <c r="D145" s="18" t="s">
        <v>324</v>
      </c>
      <c r="M145" s="18" t="s">
        <v>325</v>
      </c>
      <c r="N145" s="18" t="s">
        <v>90</v>
      </c>
    </row>
    <row r="146" spans="1:14" s="18" customFormat="1" x14ac:dyDescent="0.2">
      <c r="A146" s="18" t="s">
        <v>458</v>
      </c>
      <c r="B146" s="18">
        <v>5</v>
      </c>
      <c r="C146" s="18" t="s">
        <v>45</v>
      </c>
      <c r="D146" s="18" t="s">
        <v>471</v>
      </c>
      <c r="N146" s="18" t="s">
        <v>90</v>
      </c>
    </row>
    <row r="147" spans="1:14" s="18" customFormat="1" x14ac:dyDescent="0.2">
      <c r="A147" s="18" t="s">
        <v>458</v>
      </c>
      <c r="B147" s="18">
        <v>6</v>
      </c>
      <c r="C147" s="18" t="s">
        <v>91</v>
      </c>
      <c r="N147" s="18" t="s">
        <v>90</v>
      </c>
    </row>
    <row r="148" spans="1:14" s="18" customFormat="1" x14ac:dyDescent="0.2">
      <c r="A148" s="18" t="s">
        <v>459</v>
      </c>
      <c r="B148" s="18">
        <v>7</v>
      </c>
      <c r="C148" s="18" t="s">
        <v>17</v>
      </c>
      <c r="D148" s="18" t="s">
        <v>472</v>
      </c>
      <c r="N148" s="18" t="s">
        <v>92</v>
      </c>
    </row>
    <row r="149" spans="1:14" s="18" customFormat="1" x14ac:dyDescent="0.2">
      <c r="A149" s="18" t="s">
        <v>459</v>
      </c>
      <c r="B149" s="18">
        <v>8</v>
      </c>
      <c r="C149" s="18" t="s">
        <v>47</v>
      </c>
      <c r="F149" s="18" t="s">
        <v>464</v>
      </c>
      <c r="G149" s="18" t="s">
        <v>465</v>
      </c>
      <c r="H149" s="18" t="s">
        <v>467</v>
      </c>
      <c r="I149" s="18" t="s">
        <v>112</v>
      </c>
      <c r="L149" s="18" t="str">
        <f t="shared" ref="L149" si="32">_xlfn.TEXTJOIN("", TRUE, E149:K149)</f>
        <v>01_Textgattung/05_Historische-Koenigsinschrift/01_xr-Hm-n/0001_xr Hm n_01.png</v>
      </c>
      <c r="N149" s="18" t="s">
        <v>92</v>
      </c>
    </row>
    <row r="150" spans="1:14" s="18" customFormat="1" x14ac:dyDescent="0.2">
      <c r="A150" s="18" t="s">
        <v>459</v>
      </c>
      <c r="B150" s="18">
        <v>9</v>
      </c>
      <c r="C150" s="18" t="s">
        <v>47</v>
      </c>
      <c r="F150" s="18" t="s">
        <v>464</v>
      </c>
      <c r="G150" s="18" t="s">
        <v>465</v>
      </c>
      <c r="H150" s="18" t="s">
        <v>474</v>
      </c>
      <c r="I150" s="18" t="s">
        <v>112</v>
      </c>
      <c r="L150" s="18" t="str">
        <f t="shared" ref="L150:L152" si="33">_xlfn.TEXTJOIN("", TRUE, E150:K150)</f>
        <v>01_Textgattung/05_Historische-Koenigsinschrift/01_xr-Hm-n/0010_xr Hm n_02.png</v>
      </c>
      <c r="N150" s="18" t="s">
        <v>92</v>
      </c>
    </row>
    <row r="151" spans="1:14" s="18" customFormat="1" x14ac:dyDescent="0.2">
      <c r="A151" s="18" t="s">
        <v>459</v>
      </c>
      <c r="B151" s="18">
        <v>10</v>
      </c>
      <c r="C151" s="18" t="s">
        <v>47</v>
      </c>
      <c r="F151" s="18" t="s">
        <v>464</v>
      </c>
      <c r="G151" s="18" t="s">
        <v>465</v>
      </c>
      <c r="H151" s="18" t="s">
        <v>475</v>
      </c>
      <c r="I151" s="18" t="s">
        <v>112</v>
      </c>
      <c r="L151" s="18" t="str">
        <f t="shared" si="33"/>
        <v>01_Textgattung/05_Historische-Koenigsinschrift/01_xr-Hm-n/0020_Hm n_01.png</v>
      </c>
      <c r="N151" s="18" t="s">
        <v>92</v>
      </c>
    </row>
    <row r="152" spans="1:14" s="18" customFormat="1" x14ac:dyDescent="0.2">
      <c r="A152" s="18" t="s">
        <v>459</v>
      </c>
      <c r="B152" s="18">
        <v>11</v>
      </c>
      <c r="C152" s="18" t="s">
        <v>47</v>
      </c>
      <c r="F152" s="18" t="s">
        <v>464</v>
      </c>
      <c r="G152" s="18" t="s">
        <v>465</v>
      </c>
      <c r="H152" s="18" t="s">
        <v>476</v>
      </c>
      <c r="I152" s="18" t="s">
        <v>112</v>
      </c>
      <c r="L152" s="18" t="str">
        <f t="shared" si="33"/>
        <v>01_Textgattung/05_Historische-Koenigsinschrift/01_xr-Hm-n/0030_Hm n_02.png</v>
      </c>
      <c r="N152" s="18" t="s">
        <v>92</v>
      </c>
    </row>
    <row r="153" spans="1:14" s="18" customFormat="1" x14ac:dyDescent="0.2">
      <c r="A153" s="18" t="s">
        <v>459</v>
      </c>
      <c r="B153" s="18">
        <v>12</v>
      </c>
      <c r="C153" s="18" t="s">
        <v>17</v>
      </c>
      <c r="D153" s="18" t="s">
        <v>470</v>
      </c>
      <c r="N153" s="18" t="s">
        <v>93</v>
      </c>
    </row>
    <row r="154" spans="1:14" s="18" customFormat="1" x14ac:dyDescent="0.2">
      <c r="A154" s="18" t="s">
        <v>459</v>
      </c>
      <c r="B154" s="18">
        <v>13</v>
      </c>
      <c r="C154" s="18" t="s">
        <v>47</v>
      </c>
      <c r="F154" s="18" t="s">
        <v>468</v>
      </c>
      <c r="H154" s="18" t="s">
        <v>469</v>
      </c>
      <c r="I154" s="18" t="s">
        <v>112</v>
      </c>
      <c r="L154" s="18" t="str">
        <f t="shared" ref="L154" si="34">_xlfn.TEXTJOIN("", TRUE, E154:K154)</f>
        <v>02_Slots/Koenig/04_Thronname_01.png</v>
      </c>
      <c r="N154" s="18" t="s">
        <v>93</v>
      </c>
    </row>
    <row r="155" spans="1:14" s="18" customFormat="1" x14ac:dyDescent="0.2">
      <c r="A155" s="18" t="s">
        <v>459</v>
      </c>
      <c r="B155" s="18">
        <v>14</v>
      </c>
      <c r="C155" s="18" t="s">
        <v>47</v>
      </c>
      <c r="F155" s="18" t="s">
        <v>468</v>
      </c>
      <c r="H155" s="18" t="s">
        <v>473</v>
      </c>
      <c r="I155" s="18" t="s">
        <v>112</v>
      </c>
      <c r="L155" s="18" t="str">
        <f t="shared" ref="L155" si="35">_xlfn.TEXTJOIN("", TRUE, E155:K155)</f>
        <v>02_Slots/Koenig/04_Thronname_Gr._02.png</v>
      </c>
      <c r="N155" s="18" t="s">
        <v>93</v>
      </c>
    </row>
    <row r="156" spans="1:14" s="18" customFormat="1" x14ac:dyDescent="0.2">
      <c r="A156" s="18" t="s">
        <v>459</v>
      </c>
      <c r="B156" s="18">
        <v>15</v>
      </c>
      <c r="C156" s="18" t="s">
        <v>45</v>
      </c>
      <c r="D156" s="18" t="s">
        <v>1146</v>
      </c>
      <c r="N156" s="18" t="s">
        <v>93</v>
      </c>
    </row>
    <row r="158" spans="1:14" s="21" customFormat="1" x14ac:dyDescent="0.2">
      <c r="A158" s="21" t="s">
        <v>543</v>
      </c>
      <c r="B158" s="21">
        <v>1</v>
      </c>
      <c r="C158" s="21" t="s">
        <v>45</v>
      </c>
      <c r="D158" s="21" t="s">
        <v>542</v>
      </c>
      <c r="N158" s="21" t="s">
        <v>90</v>
      </c>
    </row>
    <row r="159" spans="1:14" s="21" customFormat="1" x14ac:dyDescent="0.2">
      <c r="A159" s="21" t="s">
        <v>543</v>
      </c>
      <c r="B159" s="21">
        <v>2</v>
      </c>
      <c r="C159" s="21" t="s">
        <v>45</v>
      </c>
      <c r="D159" s="21" t="s">
        <v>562</v>
      </c>
      <c r="N159" s="21" t="s">
        <v>90</v>
      </c>
    </row>
    <row r="160" spans="1:14" s="21" customFormat="1" x14ac:dyDescent="0.2">
      <c r="A160" s="21" t="s">
        <v>543</v>
      </c>
      <c r="B160" s="21">
        <v>3</v>
      </c>
      <c r="C160" s="21" t="s">
        <v>46</v>
      </c>
      <c r="D160" s="21" t="s">
        <v>544</v>
      </c>
      <c r="M160" s="21" t="s">
        <v>547</v>
      </c>
      <c r="N160" s="21" t="s">
        <v>90</v>
      </c>
    </row>
    <row r="161" spans="1:14" s="21" customFormat="1" x14ac:dyDescent="0.2">
      <c r="A161" s="21" t="s">
        <v>543</v>
      </c>
      <c r="B161" s="21">
        <v>4</v>
      </c>
      <c r="C161" s="21" t="s">
        <v>46</v>
      </c>
      <c r="D161" s="21" t="s">
        <v>548</v>
      </c>
      <c r="M161" s="21" t="s">
        <v>1391</v>
      </c>
      <c r="N161" s="21" t="s">
        <v>90</v>
      </c>
    </row>
    <row r="162" spans="1:14" s="21" customFormat="1" x14ac:dyDescent="0.2">
      <c r="A162" s="21" t="s">
        <v>543</v>
      </c>
      <c r="B162" s="21">
        <v>5</v>
      </c>
      <c r="C162" s="21" t="s">
        <v>91</v>
      </c>
      <c r="N162" s="21" t="s">
        <v>90</v>
      </c>
    </row>
    <row r="163" spans="1:14" s="21" customFormat="1" x14ac:dyDescent="0.2">
      <c r="A163" s="22" t="s">
        <v>1366</v>
      </c>
      <c r="B163" s="21">
        <v>6</v>
      </c>
      <c r="C163" s="21" t="s">
        <v>45</v>
      </c>
      <c r="D163" s="21" t="s">
        <v>549</v>
      </c>
      <c r="N163" s="21" t="s">
        <v>90</v>
      </c>
    </row>
    <row r="164" spans="1:14" s="21" customFormat="1" x14ac:dyDescent="0.2">
      <c r="A164" s="22" t="s">
        <v>1366</v>
      </c>
      <c r="B164" s="21">
        <v>7</v>
      </c>
      <c r="C164" s="21" t="s">
        <v>46</v>
      </c>
      <c r="D164" s="21" t="s">
        <v>48</v>
      </c>
      <c r="M164" s="21" t="s">
        <v>97</v>
      </c>
      <c r="N164" s="21" t="s">
        <v>90</v>
      </c>
    </row>
    <row r="165" spans="1:14" s="21" customFormat="1" x14ac:dyDescent="0.2">
      <c r="A165" s="22" t="s">
        <v>1366</v>
      </c>
      <c r="B165" s="21">
        <v>8</v>
      </c>
      <c r="C165" s="21" t="s">
        <v>45</v>
      </c>
      <c r="D165" s="21" t="s">
        <v>326</v>
      </c>
      <c r="N165" s="21" t="s">
        <v>90</v>
      </c>
    </row>
    <row r="166" spans="1:14" s="21" customFormat="1" x14ac:dyDescent="0.2">
      <c r="A166" s="22" t="s">
        <v>1366</v>
      </c>
      <c r="B166" s="21">
        <v>9</v>
      </c>
      <c r="C166" s="21" t="s">
        <v>46</v>
      </c>
      <c r="D166" s="21" t="s">
        <v>324</v>
      </c>
      <c r="M166" s="21" t="s">
        <v>325</v>
      </c>
      <c r="N166" s="21" t="s">
        <v>90</v>
      </c>
    </row>
    <row r="167" spans="1:14" s="21" customFormat="1" x14ac:dyDescent="0.2">
      <c r="A167" s="22" t="s">
        <v>1366</v>
      </c>
      <c r="B167" s="21">
        <v>10</v>
      </c>
      <c r="C167" s="21" t="s">
        <v>45</v>
      </c>
      <c r="D167" s="21" t="s">
        <v>326</v>
      </c>
      <c r="N167" s="21" t="s">
        <v>90</v>
      </c>
    </row>
    <row r="168" spans="1:14" s="21" customFormat="1" x14ac:dyDescent="0.2">
      <c r="A168" s="22" t="s">
        <v>1366</v>
      </c>
      <c r="B168" s="21">
        <v>11</v>
      </c>
      <c r="C168" s="21" t="s">
        <v>46</v>
      </c>
      <c r="D168" s="21" t="s">
        <v>50</v>
      </c>
      <c r="M168" s="21" t="s">
        <v>99</v>
      </c>
      <c r="N168" s="21" t="s">
        <v>90</v>
      </c>
    </row>
    <row r="169" spans="1:14" s="21" customFormat="1" x14ac:dyDescent="0.2">
      <c r="A169" s="22" t="s">
        <v>1366</v>
      </c>
      <c r="B169" s="21">
        <v>12</v>
      </c>
      <c r="C169" s="21" t="s">
        <v>45</v>
      </c>
      <c r="D169" s="21" t="s">
        <v>326</v>
      </c>
      <c r="N169" s="21" t="s">
        <v>90</v>
      </c>
    </row>
    <row r="170" spans="1:14" s="21" customFormat="1" x14ac:dyDescent="0.2">
      <c r="A170" s="22" t="s">
        <v>1366</v>
      </c>
      <c r="B170" s="21">
        <v>13</v>
      </c>
      <c r="C170" s="21" t="s">
        <v>45</v>
      </c>
      <c r="D170" s="21" t="s">
        <v>550</v>
      </c>
      <c r="N170" s="21" t="s">
        <v>90</v>
      </c>
    </row>
    <row r="172" spans="1:14" ht="17" x14ac:dyDescent="0.2">
      <c r="A172" s="5" t="s">
        <v>1091</v>
      </c>
      <c r="B172">
        <v>1</v>
      </c>
      <c r="C172" t="s">
        <v>47</v>
      </c>
      <c r="F172" t="s">
        <v>1379</v>
      </c>
      <c r="G172" t="s">
        <v>1380</v>
      </c>
      <c r="H172" t="s">
        <v>1092</v>
      </c>
      <c r="I172" t="s">
        <v>112</v>
      </c>
      <c r="L172" t="str">
        <f t="shared" ref="L172" si="36">_xlfn.TEXTJOIN("", TRUE, E172:K172)</f>
        <v>01_Textgattung/07_Beischriften/03_Woertliche-Rede/01_Dd-mdw-jn/01_Dd-mdw/0001_Dd-mdw_01.png</v>
      </c>
      <c r="N172" t="s">
        <v>90</v>
      </c>
    </row>
    <row r="173" spans="1:14" ht="17" x14ac:dyDescent="0.2">
      <c r="A173" s="5" t="s">
        <v>1091</v>
      </c>
      <c r="B173">
        <v>2</v>
      </c>
      <c r="C173" t="s">
        <v>45</v>
      </c>
      <c r="D173" t="s">
        <v>1093</v>
      </c>
      <c r="N173" t="s">
        <v>90</v>
      </c>
    </row>
    <row r="174" spans="1:14" ht="17" x14ac:dyDescent="0.2">
      <c r="A174" s="5" t="s">
        <v>1091</v>
      </c>
      <c r="B174">
        <v>3</v>
      </c>
      <c r="C174" t="s">
        <v>47</v>
      </c>
      <c r="F174" t="s">
        <v>1379</v>
      </c>
      <c r="G174" t="s">
        <v>1430</v>
      </c>
      <c r="H174" t="s">
        <v>371</v>
      </c>
      <c r="I174" t="s">
        <v>112</v>
      </c>
      <c r="L174" t="str">
        <f t="shared" ref="L174" si="37">_xlfn.TEXTJOIN("", TRUE, E174:K174)</f>
        <v>01_Textgattung/07_Beischriften/03_Woertliche-Rede/01_Dd-mdw-jn/02_jn/0001_jn_01.png</v>
      </c>
      <c r="N174" t="s">
        <v>90</v>
      </c>
    </row>
    <row r="175" spans="1:14" ht="17" x14ac:dyDescent="0.2">
      <c r="A175" s="5" t="s">
        <v>1091</v>
      </c>
      <c r="B175">
        <v>4</v>
      </c>
      <c r="C175" t="s">
        <v>45</v>
      </c>
      <c r="D175" t="s">
        <v>369</v>
      </c>
      <c r="N175" t="s">
        <v>90</v>
      </c>
    </row>
    <row r="176" spans="1:14" ht="17" x14ac:dyDescent="0.2">
      <c r="A176" s="5" t="s">
        <v>1091</v>
      </c>
      <c r="B176">
        <v>5</v>
      </c>
      <c r="C176" t="s">
        <v>46</v>
      </c>
      <c r="D176" t="s">
        <v>48</v>
      </c>
      <c r="M176" t="s">
        <v>97</v>
      </c>
      <c r="N176" t="s">
        <v>90</v>
      </c>
    </row>
    <row r="177" spans="1:14" ht="17" x14ac:dyDescent="0.2">
      <c r="A177" s="5" t="s">
        <v>1091</v>
      </c>
      <c r="B177">
        <v>6</v>
      </c>
      <c r="C177" t="s">
        <v>45</v>
      </c>
      <c r="D177" t="s">
        <v>326</v>
      </c>
      <c r="N177" t="s">
        <v>90</v>
      </c>
    </row>
    <row r="178" spans="1:14" ht="17" x14ac:dyDescent="0.2">
      <c r="A178" s="5" t="s">
        <v>1091</v>
      </c>
      <c r="B178">
        <v>7</v>
      </c>
      <c r="C178" t="s">
        <v>46</v>
      </c>
      <c r="D178" t="s">
        <v>324</v>
      </c>
      <c r="M178" t="s">
        <v>325</v>
      </c>
      <c r="N178" t="s">
        <v>90</v>
      </c>
    </row>
    <row r="179" spans="1:14" ht="17" x14ac:dyDescent="0.2">
      <c r="A179" s="5" t="s">
        <v>1091</v>
      </c>
      <c r="B179">
        <v>8</v>
      </c>
      <c r="C179" t="s">
        <v>45</v>
      </c>
      <c r="D179" t="s">
        <v>326</v>
      </c>
      <c r="N179" t="s">
        <v>90</v>
      </c>
    </row>
    <row r="180" spans="1:14" ht="17" x14ac:dyDescent="0.2">
      <c r="A180" s="5" t="s">
        <v>1091</v>
      </c>
      <c r="B180">
        <v>9</v>
      </c>
      <c r="C180" t="s">
        <v>46</v>
      </c>
      <c r="D180" t="s">
        <v>50</v>
      </c>
      <c r="M180" t="s">
        <v>99</v>
      </c>
      <c r="N180" t="s">
        <v>90</v>
      </c>
    </row>
    <row r="181" spans="1:14" ht="17" x14ac:dyDescent="0.2">
      <c r="A181" s="5" t="s">
        <v>1091</v>
      </c>
      <c r="B181">
        <v>10</v>
      </c>
      <c r="C181" t="s">
        <v>47</v>
      </c>
      <c r="F181" t="s">
        <v>1098</v>
      </c>
      <c r="H181" t="s">
        <v>1099</v>
      </c>
      <c r="I181" t="s">
        <v>112</v>
      </c>
      <c r="L181" t="str">
        <f t="shared" ref="L181" si="38">_xlfn.TEXTJOIN("", TRUE, E181:K181)</f>
        <v>01_Textgattung/07_Beischriften/03_Woertliche-Rede/02_dj.n(=j)-n=k/0001_dj.n(=j)-n=k_01.png</v>
      </c>
      <c r="N181" t="s">
        <v>90</v>
      </c>
    </row>
    <row r="182" spans="1:14" ht="17" x14ac:dyDescent="0.2">
      <c r="A182" s="5" t="s">
        <v>1091</v>
      </c>
      <c r="B182">
        <v>11</v>
      </c>
      <c r="C182" t="s">
        <v>45</v>
      </c>
      <c r="D182" t="s">
        <v>1097</v>
      </c>
      <c r="N182" t="s">
        <v>90</v>
      </c>
    </row>
    <row r="183" spans="1:14" ht="17" x14ac:dyDescent="0.2">
      <c r="A183" s="5" t="s">
        <v>1091</v>
      </c>
      <c r="B183">
        <v>12</v>
      </c>
      <c r="C183" t="s">
        <v>46</v>
      </c>
      <c r="D183" t="s">
        <v>49</v>
      </c>
      <c r="M183" t="s">
        <v>98</v>
      </c>
      <c r="N183" t="s">
        <v>90</v>
      </c>
    </row>
    <row r="184" spans="1:14" ht="17" x14ac:dyDescent="0.2">
      <c r="A184" s="5" t="s">
        <v>1091</v>
      </c>
      <c r="B184">
        <v>13</v>
      </c>
      <c r="C184" t="s">
        <v>47</v>
      </c>
      <c r="F184" t="s">
        <v>1094</v>
      </c>
      <c r="H184" t="s">
        <v>1095</v>
      </c>
      <c r="I184" t="s">
        <v>112</v>
      </c>
      <c r="L184" t="str">
        <f t="shared" ref="L184" si="39">_xlfn.TEXTJOIN("", TRUE, E184:K184)</f>
        <v>01_Textgattung/07_Beischriften/03_Woertliche-Rede/03_xrj/04_xrj_01.png</v>
      </c>
      <c r="N184" t="s">
        <v>90</v>
      </c>
    </row>
    <row r="185" spans="1:14" ht="17" x14ac:dyDescent="0.2">
      <c r="A185" s="5" t="s">
        <v>1091</v>
      </c>
      <c r="B185">
        <v>14</v>
      </c>
      <c r="C185" t="s">
        <v>45</v>
      </c>
      <c r="D185" t="s">
        <v>1136</v>
      </c>
      <c r="N185" t="s">
        <v>90</v>
      </c>
    </row>
    <row r="186" spans="1:14" ht="17" x14ac:dyDescent="0.2">
      <c r="A186" s="5" t="s">
        <v>1096</v>
      </c>
      <c r="B186">
        <v>1</v>
      </c>
      <c r="C186" t="s">
        <v>17</v>
      </c>
      <c r="D186" t="s">
        <v>1093</v>
      </c>
      <c r="N186" t="s">
        <v>92</v>
      </c>
    </row>
    <row r="187" spans="1:14" ht="17" x14ac:dyDescent="0.2">
      <c r="A187" s="5" t="s">
        <v>1096</v>
      </c>
      <c r="B187">
        <v>2</v>
      </c>
      <c r="C187" t="s">
        <v>47</v>
      </c>
      <c r="F187" t="s">
        <v>1379</v>
      </c>
      <c r="G187" t="s">
        <v>1380</v>
      </c>
      <c r="H187" t="s">
        <v>1100</v>
      </c>
      <c r="L187" t="str">
        <f t="shared" ref="L187:L189" si="40">_xlfn.TEXTJOIN("", TRUE, E187:K187)</f>
        <v>01_Textgattung/07_Beischriften/03_Woertliche-Rede/01_Dd-mdw-jn/01_Dd-mdw/0001_Dd-mdw_01.png</v>
      </c>
      <c r="N187" t="s">
        <v>92</v>
      </c>
    </row>
    <row r="188" spans="1:14" ht="17" x14ac:dyDescent="0.2">
      <c r="A188" s="5" t="s">
        <v>1096</v>
      </c>
      <c r="B188">
        <v>3</v>
      </c>
      <c r="C188" t="s">
        <v>47</v>
      </c>
      <c r="F188" t="s">
        <v>1379</v>
      </c>
      <c r="G188" t="s">
        <v>1380</v>
      </c>
      <c r="H188" t="s">
        <v>1101</v>
      </c>
      <c r="L188" t="str">
        <f t="shared" si="40"/>
        <v>01_Textgattung/07_Beischriften/03_Woertliche-Rede/01_Dd-mdw-jn/01_Dd-mdw/0010_Dd-mdw_02.png</v>
      </c>
      <c r="N188" t="s">
        <v>92</v>
      </c>
    </row>
    <row r="189" spans="1:14" ht="17" x14ac:dyDescent="0.2">
      <c r="A189" s="5" t="s">
        <v>1096</v>
      </c>
      <c r="B189">
        <v>4</v>
      </c>
      <c r="C189" t="s">
        <v>47</v>
      </c>
      <c r="F189" t="s">
        <v>1379</v>
      </c>
      <c r="G189" t="s">
        <v>1380</v>
      </c>
      <c r="H189" t="s">
        <v>1102</v>
      </c>
      <c r="L189" t="str">
        <f t="shared" si="40"/>
        <v>01_Textgattung/07_Beischriften/03_Woertliche-Rede/01_Dd-mdw-jn/01_Dd-mdw/0020_Dd-mdw_NR_01.png</v>
      </c>
      <c r="N189" t="s">
        <v>92</v>
      </c>
    </row>
    <row r="190" spans="1:14" ht="17" x14ac:dyDescent="0.2">
      <c r="A190" s="5" t="s">
        <v>1096</v>
      </c>
      <c r="B190">
        <v>5</v>
      </c>
      <c r="C190" t="s">
        <v>45</v>
      </c>
      <c r="D190" t="s">
        <v>1144</v>
      </c>
      <c r="N190" t="s">
        <v>92</v>
      </c>
    </row>
    <row r="191" spans="1:14" ht="17" x14ac:dyDescent="0.2">
      <c r="A191" s="5" t="s">
        <v>1096</v>
      </c>
      <c r="B191">
        <v>6</v>
      </c>
      <c r="C191" t="s">
        <v>17</v>
      </c>
      <c r="D191" t="s">
        <v>369</v>
      </c>
      <c r="N191" t="s">
        <v>93</v>
      </c>
    </row>
    <row r="192" spans="1:14" ht="17" x14ac:dyDescent="0.2">
      <c r="A192" s="5" t="s">
        <v>1096</v>
      </c>
      <c r="B192">
        <v>7</v>
      </c>
      <c r="C192" t="s">
        <v>47</v>
      </c>
      <c r="F192" t="s">
        <v>1379</v>
      </c>
      <c r="G192" t="s">
        <v>1430</v>
      </c>
      <c r="H192" t="s">
        <v>371</v>
      </c>
      <c r="I192" t="s">
        <v>112</v>
      </c>
      <c r="L192" t="str">
        <f t="shared" ref="L192" si="41">_xlfn.TEXTJOIN("", TRUE, E192:K192)</f>
        <v>01_Textgattung/07_Beischriften/03_Woertliche-Rede/01_Dd-mdw-jn/02_jn/0001_jn_01.png</v>
      </c>
      <c r="N192" t="s">
        <v>93</v>
      </c>
    </row>
    <row r="193" spans="1:14" ht="17" x14ac:dyDescent="0.2">
      <c r="A193" s="5" t="s">
        <v>1096</v>
      </c>
      <c r="B193">
        <v>8</v>
      </c>
      <c r="C193" t="s">
        <v>47</v>
      </c>
      <c r="F193" t="s">
        <v>1379</v>
      </c>
      <c r="G193" t="s">
        <v>1430</v>
      </c>
      <c r="H193" t="s">
        <v>1431</v>
      </c>
      <c r="I193" t="s">
        <v>112</v>
      </c>
      <c r="L193" t="str">
        <f t="shared" ref="L193" si="42">_xlfn.TEXTJOIN("", TRUE, E193:K193)</f>
        <v>01_Textgattung/07_Beischriften/03_Woertliche-Rede/01_Dd-mdw-jn/02_jn/0010_jn_02.png</v>
      </c>
      <c r="N193" t="s">
        <v>93</v>
      </c>
    </row>
    <row r="194" spans="1:14" ht="17" x14ac:dyDescent="0.2">
      <c r="A194" s="5" t="s">
        <v>1096</v>
      </c>
      <c r="B194">
        <v>9</v>
      </c>
      <c r="C194" t="s">
        <v>45</v>
      </c>
      <c r="D194" t="s">
        <v>1144</v>
      </c>
      <c r="N194" t="s">
        <v>93</v>
      </c>
    </row>
    <row r="195" spans="1:14" ht="17" x14ac:dyDescent="0.2">
      <c r="A195" s="5" t="s">
        <v>1096</v>
      </c>
      <c r="B195">
        <v>10</v>
      </c>
      <c r="C195" t="s">
        <v>17</v>
      </c>
      <c r="D195" t="s">
        <v>1097</v>
      </c>
      <c r="N195" t="s">
        <v>95</v>
      </c>
    </row>
    <row r="196" spans="1:14" ht="17" x14ac:dyDescent="0.2">
      <c r="A196" s="5" t="s">
        <v>1096</v>
      </c>
      <c r="B196">
        <v>11</v>
      </c>
      <c r="C196" t="s">
        <v>47</v>
      </c>
      <c r="F196" t="s">
        <v>1377</v>
      </c>
      <c r="G196" t="s">
        <v>1378</v>
      </c>
      <c r="H196" t="s">
        <v>1104</v>
      </c>
      <c r="L196" t="str">
        <f t="shared" ref="L196:L200" si="43">_xlfn.TEXTJOIN("", TRUE, E196:K196)</f>
        <v>01_Textgattung/07_Beischriften/03_Woertliche-Rede/02_dj.n(=j)-n=k/0001_dj.n(=j)-n=k_01.png</v>
      </c>
      <c r="N196" t="s">
        <v>95</v>
      </c>
    </row>
    <row r="197" spans="1:14" ht="17" x14ac:dyDescent="0.2">
      <c r="A197" s="5" t="s">
        <v>1096</v>
      </c>
      <c r="B197">
        <v>12</v>
      </c>
      <c r="C197" t="s">
        <v>47</v>
      </c>
      <c r="F197" t="s">
        <v>1377</v>
      </c>
      <c r="G197" t="s">
        <v>1378</v>
      </c>
      <c r="H197" t="s">
        <v>1105</v>
      </c>
      <c r="L197" t="str">
        <f t="shared" si="43"/>
        <v>01_Textgattung/07_Beischriften/03_Woertliche-Rede/02_dj.n(=j)-n=k/0010_dj.n(=j)-n=k_02.png</v>
      </c>
      <c r="N197" t="s">
        <v>95</v>
      </c>
    </row>
    <row r="198" spans="1:14" ht="17" x14ac:dyDescent="0.2">
      <c r="A198" s="5" t="s">
        <v>1096</v>
      </c>
      <c r="B198">
        <v>13</v>
      </c>
      <c r="C198" t="s">
        <v>47</v>
      </c>
      <c r="F198" t="s">
        <v>1377</v>
      </c>
      <c r="G198" t="s">
        <v>1378</v>
      </c>
      <c r="H198" t="s">
        <v>1106</v>
      </c>
      <c r="L198" t="str">
        <f t="shared" si="43"/>
        <v>01_Textgattung/07_Beischriften/03_Woertliche-Rede/02_dj.n(=j)-n=k/0020_dj.n(=j)-n=k_03.png</v>
      </c>
      <c r="N198" t="s">
        <v>95</v>
      </c>
    </row>
    <row r="199" spans="1:14" ht="17" x14ac:dyDescent="0.2">
      <c r="A199" s="5" t="s">
        <v>1096</v>
      </c>
      <c r="B199">
        <v>14</v>
      </c>
      <c r="C199" t="s">
        <v>47</v>
      </c>
      <c r="F199" t="s">
        <v>1377</v>
      </c>
      <c r="G199" t="s">
        <v>1378</v>
      </c>
      <c r="H199" t="s">
        <v>1107</v>
      </c>
      <c r="L199" t="str">
        <f t="shared" si="43"/>
        <v>01_Textgattung/07_Beischriften/03_Woertliche-Rede/02_dj.n(=j)-n=k/0030_dj.n(=j)-n=k_04.png</v>
      </c>
      <c r="N199" t="s">
        <v>95</v>
      </c>
    </row>
    <row r="200" spans="1:14" ht="17" x14ac:dyDescent="0.2">
      <c r="A200" s="5" t="s">
        <v>1096</v>
      </c>
      <c r="B200">
        <v>15</v>
      </c>
      <c r="C200" t="s">
        <v>47</v>
      </c>
      <c r="F200" t="s">
        <v>1377</v>
      </c>
      <c r="G200" t="s">
        <v>1378</v>
      </c>
      <c r="H200" t="s">
        <v>1108</v>
      </c>
      <c r="L200" t="str">
        <f t="shared" si="43"/>
        <v>01_Textgattung/07_Beischriften/03_Woertliche-Rede/02_dj.n(=j)-n=k/0040_dj.n(=j)-n=T_01.png</v>
      </c>
      <c r="N200" t="s">
        <v>95</v>
      </c>
    </row>
    <row r="201" spans="1:14" x14ac:dyDescent="0.2">
      <c r="A201" s="5"/>
    </row>
    <row r="202" spans="1:14" ht="17" x14ac:dyDescent="0.2">
      <c r="A202" s="5" t="s">
        <v>1371</v>
      </c>
      <c r="B202">
        <v>1</v>
      </c>
      <c r="C202" t="s">
        <v>47</v>
      </c>
      <c r="F202" t="s">
        <v>1375</v>
      </c>
      <c r="G202" t="s">
        <v>1376</v>
      </c>
      <c r="H202" t="s">
        <v>1381</v>
      </c>
      <c r="I202" t="s">
        <v>112</v>
      </c>
      <c r="L202" t="str">
        <f>_xlfn.TEXTJOIN("", TRUE, E202:K202)</f>
        <v>01_Textgattung/07_Beischriften/04_Rueckenschutzformel/01_sA/0010_sA_seit-MR_02.png</v>
      </c>
      <c r="N202" t="s">
        <v>90</v>
      </c>
    </row>
    <row r="203" spans="1:14" ht="17" x14ac:dyDescent="0.2">
      <c r="A203" s="5" t="s">
        <v>1371</v>
      </c>
      <c r="B203">
        <v>2</v>
      </c>
      <c r="C203" t="s">
        <v>45</v>
      </c>
      <c r="D203" t="s">
        <v>1229</v>
      </c>
      <c r="N203" t="s">
        <v>90</v>
      </c>
    </row>
    <row r="204" spans="1:14" ht="17" x14ac:dyDescent="0.2">
      <c r="A204" s="5" t="s">
        <v>1371</v>
      </c>
      <c r="B204">
        <v>3</v>
      </c>
      <c r="C204" t="s">
        <v>47</v>
      </c>
      <c r="F204" t="s">
        <v>1375</v>
      </c>
      <c r="G204" t="s">
        <v>1383</v>
      </c>
      <c r="H204" t="s">
        <v>1386</v>
      </c>
      <c r="I204" t="s">
        <v>112</v>
      </c>
      <c r="L204" t="str">
        <f>_xlfn.TEXTJOIN("", TRUE, E204:K204)</f>
        <v>01_Textgattung/07_Beischriften/04_Rueckenschutzformel/02_anx/0001_anx_01.png</v>
      </c>
      <c r="N204" t="s">
        <v>90</v>
      </c>
    </row>
    <row r="205" spans="1:14" ht="17" x14ac:dyDescent="0.2">
      <c r="A205" s="5" t="s">
        <v>1371</v>
      </c>
      <c r="B205">
        <v>4</v>
      </c>
      <c r="C205" t="s">
        <v>45</v>
      </c>
      <c r="D205" t="s">
        <v>644</v>
      </c>
      <c r="N205" t="s">
        <v>90</v>
      </c>
    </row>
    <row r="206" spans="1:14" ht="17" x14ac:dyDescent="0.2">
      <c r="A206" s="5" t="s">
        <v>1371</v>
      </c>
      <c r="B206">
        <v>5</v>
      </c>
      <c r="C206" t="s">
        <v>47</v>
      </c>
      <c r="F206" t="s">
        <v>1375</v>
      </c>
      <c r="G206" t="s">
        <v>1384</v>
      </c>
      <c r="H206" t="s">
        <v>1388</v>
      </c>
      <c r="I206" t="s">
        <v>112</v>
      </c>
      <c r="L206" t="str">
        <f>_xlfn.TEXTJOIN("", TRUE, E206:K206)</f>
        <v>01_Textgattung/07_Beischriften/04_Rueckenschutzformel/03_HA/0010_HA_02.png</v>
      </c>
      <c r="N206" t="s">
        <v>90</v>
      </c>
    </row>
    <row r="207" spans="1:14" ht="17" x14ac:dyDescent="0.2">
      <c r="A207" s="5" t="s">
        <v>1371</v>
      </c>
      <c r="B207">
        <v>5</v>
      </c>
      <c r="C207" t="s">
        <v>47</v>
      </c>
      <c r="F207" t="s">
        <v>1375</v>
      </c>
      <c r="G207" t="s">
        <v>1385</v>
      </c>
      <c r="H207" t="s">
        <v>1387</v>
      </c>
      <c r="I207" t="s">
        <v>112</v>
      </c>
      <c r="L207" t="str">
        <f>_xlfn.TEXTJOIN("", TRUE, E207:K207)</f>
        <v>01_Textgattung/07_Beischriften/04_Rueckenschutzformel/04_=f-nb/0001_=f-nb_01.png</v>
      </c>
      <c r="N207" t="s">
        <v>90</v>
      </c>
    </row>
    <row r="208" spans="1:14" ht="17" x14ac:dyDescent="0.2">
      <c r="A208" s="5" t="s">
        <v>1371</v>
      </c>
      <c r="B208">
        <v>6</v>
      </c>
      <c r="C208" t="s">
        <v>45</v>
      </c>
      <c r="D208" t="s">
        <v>1382</v>
      </c>
      <c r="N208" t="s">
        <v>90</v>
      </c>
    </row>
    <row r="209" spans="1:14" x14ac:dyDescent="0.2">
      <c r="A209" s="5"/>
    </row>
    <row r="210" spans="1:14" x14ac:dyDescent="0.2">
      <c r="A210" s="5"/>
    </row>
    <row r="211" spans="1:14" ht="17" x14ac:dyDescent="0.2">
      <c r="A211" s="2" t="s">
        <v>1420</v>
      </c>
      <c r="B211">
        <v>1</v>
      </c>
      <c r="C211" t="s">
        <v>17</v>
      </c>
      <c r="D211" t="s">
        <v>1422</v>
      </c>
    </row>
    <row r="212" spans="1:14" ht="17" x14ac:dyDescent="0.2">
      <c r="A212" s="2" t="s">
        <v>1420</v>
      </c>
      <c r="B212">
        <v>2</v>
      </c>
      <c r="C212" t="s">
        <v>47</v>
      </c>
      <c r="F212" t="s">
        <v>1375</v>
      </c>
      <c r="G212" t="s">
        <v>1411</v>
      </c>
      <c r="H212" t="s">
        <v>1412</v>
      </c>
      <c r="L212" t="str">
        <f t="shared" ref="L212:L227" si="44">_xlfn.TEXTJOIN("", TRUE, E212:K212)</f>
        <v>01_Textgattung/07_Beischriften/04_Rueckenschutzformel/formel-gesamt/0001_sA-anx-HA=f-nb_MR_01.png</v>
      </c>
      <c r="N212" t="s">
        <v>92</v>
      </c>
    </row>
    <row r="213" spans="1:14" ht="17" x14ac:dyDescent="0.2">
      <c r="A213" s="2" t="s">
        <v>1420</v>
      </c>
      <c r="B213">
        <v>3</v>
      </c>
      <c r="C213" t="s">
        <v>45</v>
      </c>
      <c r="D213" t="s">
        <v>1408</v>
      </c>
      <c r="N213" t="s">
        <v>92</v>
      </c>
    </row>
    <row r="214" spans="1:14" ht="17" x14ac:dyDescent="0.2">
      <c r="A214" s="2" t="s">
        <v>1420</v>
      </c>
      <c r="B214">
        <v>4</v>
      </c>
      <c r="C214" t="s">
        <v>47</v>
      </c>
      <c r="F214" t="s">
        <v>1375</v>
      </c>
      <c r="G214" t="s">
        <v>1411</v>
      </c>
      <c r="H214" t="s">
        <v>1413</v>
      </c>
      <c r="L214" t="str">
        <f t="shared" si="44"/>
        <v>01_Textgattung/07_Beischriften/04_Rueckenschutzformel/formel-gesamt/0010_sA-anx-HA=f-nb-NR_01.png</v>
      </c>
      <c r="N214" t="s">
        <v>92</v>
      </c>
    </row>
    <row r="215" spans="1:14" ht="17" x14ac:dyDescent="0.2">
      <c r="A215" s="2" t="s">
        <v>1420</v>
      </c>
      <c r="B215">
        <v>5</v>
      </c>
      <c r="C215" t="s">
        <v>45</v>
      </c>
      <c r="D215" t="s">
        <v>1144</v>
      </c>
      <c r="N215" t="s">
        <v>92</v>
      </c>
    </row>
    <row r="216" spans="1:14" ht="17" x14ac:dyDescent="0.2">
      <c r="A216" s="2" t="s">
        <v>1420</v>
      </c>
      <c r="B216">
        <v>6</v>
      </c>
      <c r="C216" t="s">
        <v>17</v>
      </c>
      <c r="D216" t="s">
        <v>1423</v>
      </c>
      <c r="N216" t="s">
        <v>93</v>
      </c>
    </row>
    <row r="217" spans="1:14" ht="17" x14ac:dyDescent="0.2">
      <c r="A217" s="2" t="s">
        <v>1420</v>
      </c>
      <c r="B217">
        <v>7</v>
      </c>
      <c r="C217" t="s">
        <v>47</v>
      </c>
      <c r="F217" t="s">
        <v>1375</v>
      </c>
      <c r="G217" t="s">
        <v>1411</v>
      </c>
      <c r="H217" t="s">
        <v>1414</v>
      </c>
      <c r="L217" t="str">
        <f t="shared" si="44"/>
        <v>01_Textgattung/07_Beischriften/04_Rueckenschutzformel/formel-gesamt/0020_sA-anx-HA=f_01.png</v>
      </c>
      <c r="N217" t="s">
        <v>93</v>
      </c>
    </row>
    <row r="218" spans="1:14" ht="17" x14ac:dyDescent="0.2">
      <c r="A218" s="2" t="s">
        <v>1420</v>
      </c>
      <c r="B218">
        <v>8</v>
      </c>
      <c r="C218" t="s">
        <v>47</v>
      </c>
      <c r="F218" t="s">
        <v>1375</v>
      </c>
      <c r="G218" t="s">
        <v>1411</v>
      </c>
      <c r="H218" t="s">
        <v>1415</v>
      </c>
      <c r="L218" t="str">
        <f t="shared" si="44"/>
        <v>01_Textgattung/07_Beischriften/04_Rueckenschutzformel/formel-gesamt/0030_sA-anx-HA=f_02.png</v>
      </c>
      <c r="N218" t="s">
        <v>93</v>
      </c>
    </row>
    <row r="219" spans="1:14" ht="17" x14ac:dyDescent="0.2">
      <c r="A219" s="2" t="s">
        <v>1420</v>
      </c>
      <c r="B219">
        <v>9</v>
      </c>
      <c r="C219" t="s">
        <v>17</v>
      </c>
      <c r="D219" t="s">
        <v>1424</v>
      </c>
      <c r="N219" t="s">
        <v>95</v>
      </c>
    </row>
    <row r="220" spans="1:14" ht="17" x14ac:dyDescent="0.2">
      <c r="A220" s="2" t="s">
        <v>1420</v>
      </c>
      <c r="B220">
        <v>10</v>
      </c>
      <c r="C220" t="s">
        <v>47</v>
      </c>
      <c r="F220" t="s">
        <v>1375</v>
      </c>
      <c r="G220" t="s">
        <v>1411</v>
      </c>
      <c r="H220" t="s">
        <v>1416</v>
      </c>
      <c r="L220" t="str">
        <f t="shared" si="44"/>
        <v>01_Textgattung/07_Beischriften/04_Rueckenschutzformel/formel-gesamt/0040_sA-anx-wAs-HA=f_01.png</v>
      </c>
      <c r="N220" t="s">
        <v>95</v>
      </c>
    </row>
    <row r="221" spans="1:14" ht="17" x14ac:dyDescent="0.2">
      <c r="A221" s="2" t="s">
        <v>1420</v>
      </c>
      <c r="B221">
        <v>11</v>
      </c>
      <c r="C221" t="s">
        <v>47</v>
      </c>
      <c r="F221" t="s">
        <v>1375</v>
      </c>
      <c r="G221" t="s">
        <v>1411</v>
      </c>
      <c r="H221" t="s">
        <v>1417</v>
      </c>
      <c r="L221" t="str">
        <f t="shared" si="44"/>
        <v>01_Textgattung/07_Beischriften/04_Rueckenschutzformel/formel-gesamt/0050_sA-anx-wAs-HA=f_NR-selten-Gr-oft_01.png</v>
      </c>
      <c r="N221" t="s">
        <v>95</v>
      </c>
    </row>
    <row r="222" spans="1:14" ht="17" x14ac:dyDescent="0.2">
      <c r="A222" s="2" t="s">
        <v>1420</v>
      </c>
      <c r="B222">
        <v>12</v>
      </c>
      <c r="C222" t="s">
        <v>45</v>
      </c>
      <c r="D222" t="s">
        <v>1427</v>
      </c>
      <c r="N222" t="s">
        <v>95</v>
      </c>
    </row>
    <row r="223" spans="1:14" ht="17" x14ac:dyDescent="0.2">
      <c r="A223" s="2" t="s">
        <v>1420</v>
      </c>
      <c r="B223">
        <v>13</v>
      </c>
      <c r="C223" t="s">
        <v>17</v>
      </c>
      <c r="D223" t="s">
        <v>1425</v>
      </c>
      <c r="N223" t="s">
        <v>1410</v>
      </c>
    </row>
    <row r="224" spans="1:14" ht="17" x14ac:dyDescent="0.2">
      <c r="A224" s="2" t="s">
        <v>1420</v>
      </c>
      <c r="B224">
        <v>14</v>
      </c>
      <c r="C224" t="s">
        <v>47</v>
      </c>
      <c r="F224" t="s">
        <v>1375</v>
      </c>
      <c r="G224" t="s">
        <v>1411</v>
      </c>
      <c r="H224" t="s">
        <v>1418</v>
      </c>
      <c r="L224" t="str">
        <f t="shared" si="44"/>
        <v>01_Textgattung/07_Beischriften/04_Rueckenschutzformel/formel-gesamt/0060_sA-anx-Dd-wAs-HA=f_D.18_01.png</v>
      </c>
      <c r="N224" t="s">
        <v>1410</v>
      </c>
    </row>
    <row r="225" spans="1:14" ht="17" x14ac:dyDescent="0.2">
      <c r="A225" s="2" t="s">
        <v>1420</v>
      </c>
      <c r="B225">
        <v>15</v>
      </c>
      <c r="C225" t="s">
        <v>45</v>
      </c>
      <c r="D225" t="s">
        <v>1428</v>
      </c>
      <c r="N225" t="s">
        <v>1410</v>
      </c>
    </row>
    <row r="226" spans="1:14" ht="17" x14ac:dyDescent="0.2">
      <c r="A226" s="2" t="s">
        <v>1420</v>
      </c>
      <c r="B226">
        <v>16</v>
      </c>
      <c r="C226" t="s">
        <v>17</v>
      </c>
      <c r="D226" t="s">
        <v>1426</v>
      </c>
      <c r="N226" t="s">
        <v>1429</v>
      </c>
    </row>
    <row r="227" spans="1:14" ht="17" x14ac:dyDescent="0.2">
      <c r="A227" s="2" t="s">
        <v>1420</v>
      </c>
      <c r="B227">
        <v>17</v>
      </c>
      <c r="C227" t="s">
        <v>47</v>
      </c>
      <c r="F227" t="s">
        <v>1375</v>
      </c>
      <c r="G227" t="s">
        <v>1411</v>
      </c>
      <c r="H227" t="s">
        <v>1419</v>
      </c>
      <c r="L227" t="str">
        <f t="shared" si="44"/>
        <v>01_Textgattung/07_Beischriften/04_Rueckenschutzformel/formel-gesamt/0070_sA-anx-Dd-wAs-snb-HA=f_D.18_01.png</v>
      </c>
      <c r="N227" t="s">
        <v>1429</v>
      </c>
    </row>
    <row r="228" spans="1:14" ht="17" x14ac:dyDescent="0.2">
      <c r="A228" s="2" t="s">
        <v>1420</v>
      </c>
      <c r="B228">
        <v>18</v>
      </c>
      <c r="C228" t="s">
        <v>45</v>
      </c>
      <c r="D228" t="s">
        <v>1428</v>
      </c>
      <c r="N228" t="s">
        <v>1429</v>
      </c>
    </row>
    <row r="229" spans="1:14" x14ac:dyDescent="0.2">
      <c r="A229" s="5"/>
    </row>
    <row r="230" spans="1:14" x14ac:dyDescent="0.2">
      <c r="A230" s="5"/>
    </row>
    <row r="231" spans="1:14" x14ac:dyDescent="0.2">
      <c r="A231" s="5"/>
    </row>
    <row r="232" spans="1:14" x14ac:dyDescent="0.2">
      <c r="A232" s="5"/>
    </row>
    <row r="233" spans="1:14" ht="17" x14ac:dyDescent="0.2">
      <c r="A233" s="2" t="s">
        <v>1393</v>
      </c>
      <c r="B233">
        <v>1</v>
      </c>
      <c r="C233" t="s">
        <v>17</v>
      </c>
      <c r="D233" t="s">
        <v>1229</v>
      </c>
      <c r="N233" t="s">
        <v>93</v>
      </c>
    </row>
    <row r="234" spans="1:14" ht="17" x14ac:dyDescent="0.2">
      <c r="A234" s="2" t="s">
        <v>1393</v>
      </c>
      <c r="B234">
        <v>2</v>
      </c>
      <c r="C234" t="s">
        <v>47</v>
      </c>
      <c r="F234" t="s">
        <v>1375</v>
      </c>
      <c r="G234" t="s">
        <v>1376</v>
      </c>
      <c r="H234" t="s">
        <v>1394</v>
      </c>
      <c r="L234" t="str">
        <f t="shared" ref="L234:L245" si="45">_xlfn.TEXTJOIN("", TRUE, E234:K234)</f>
        <v>01_Textgattung/07_Beischriften/04_Rueckenschutzformel/01_sA/0001_sA_01.png</v>
      </c>
      <c r="N234" t="s">
        <v>93</v>
      </c>
    </row>
    <row r="235" spans="1:14" ht="17" x14ac:dyDescent="0.2">
      <c r="A235" s="2" t="s">
        <v>1393</v>
      </c>
      <c r="B235">
        <v>3</v>
      </c>
      <c r="C235" t="s">
        <v>47</v>
      </c>
      <c r="F235" t="s">
        <v>1375</v>
      </c>
      <c r="G235" t="s">
        <v>1376</v>
      </c>
      <c r="H235" t="s">
        <v>1395</v>
      </c>
      <c r="L235" t="str">
        <f t="shared" si="45"/>
        <v>01_Textgattung/07_Beischriften/04_Rueckenschutzformel/01_sA/0010_sA_seit-MR_02.png</v>
      </c>
      <c r="N235" t="s">
        <v>93</v>
      </c>
    </row>
    <row r="236" spans="1:14" ht="17" x14ac:dyDescent="0.2">
      <c r="A236" s="2" t="s">
        <v>1393</v>
      </c>
      <c r="B236">
        <v>4</v>
      </c>
      <c r="C236" t="s">
        <v>45</v>
      </c>
      <c r="D236" t="s">
        <v>1143</v>
      </c>
      <c r="N236" t="s">
        <v>93</v>
      </c>
    </row>
    <row r="237" spans="1:14" ht="17" x14ac:dyDescent="0.2">
      <c r="A237" s="2" t="s">
        <v>1393</v>
      </c>
      <c r="B237">
        <v>5</v>
      </c>
      <c r="C237" t="s">
        <v>47</v>
      </c>
      <c r="F237" t="s">
        <v>1375</v>
      </c>
      <c r="G237" t="s">
        <v>1376</v>
      </c>
      <c r="H237" t="s">
        <v>1396</v>
      </c>
      <c r="L237" t="str">
        <f t="shared" si="45"/>
        <v>01_Textgattung/07_Beischriften/04_Rueckenschutzformel/01_sA/0020_sA_MR_01.png</v>
      </c>
      <c r="N237" t="s">
        <v>93</v>
      </c>
    </row>
    <row r="238" spans="1:14" ht="17" x14ac:dyDescent="0.2">
      <c r="A238" s="2" t="s">
        <v>1393</v>
      </c>
      <c r="B238">
        <v>6</v>
      </c>
      <c r="C238" t="s">
        <v>45</v>
      </c>
      <c r="D238" t="s">
        <v>1408</v>
      </c>
      <c r="N238" t="s">
        <v>93</v>
      </c>
    </row>
    <row r="239" spans="1:14" ht="17" x14ac:dyDescent="0.2">
      <c r="A239" s="2" t="s">
        <v>1393</v>
      </c>
      <c r="B239">
        <v>7</v>
      </c>
      <c r="C239" t="s">
        <v>47</v>
      </c>
      <c r="F239" t="s">
        <v>1375</v>
      </c>
      <c r="G239" t="s">
        <v>1376</v>
      </c>
      <c r="H239" t="s">
        <v>1397</v>
      </c>
      <c r="L239" t="str">
        <f t="shared" si="45"/>
        <v>01_Textgattung/07_Beischriften/04_Rueckenschutzformel/01_sA/0030_sA_NR_01.png</v>
      </c>
      <c r="N239" t="s">
        <v>93</v>
      </c>
    </row>
    <row r="240" spans="1:14" ht="17" x14ac:dyDescent="0.2">
      <c r="A240" s="2" t="s">
        <v>1393</v>
      </c>
      <c r="B240">
        <v>8</v>
      </c>
      <c r="C240" t="s">
        <v>45</v>
      </c>
      <c r="D240" t="s">
        <v>1144</v>
      </c>
      <c r="N240" t="s">
        <v>93</v>
      </c>
    </row>
    <row r="241" spans="1:14" ht="17" x14ac:dyDescent="0.2">
      <c r="A241" s="2" t="s">
        <v>1393</v>
      </c>
      <c r="B241">
        <v>9</v>
      </c>
      <c r="C241" t="s">
        <v>47</v>
      </c>
      <c r="F241" t="s">
        <v>1375</v>
      </c>
      <c r="G241" t="s">
        <v>1376</v>
      </c>
      <c r="H241" t="s">
        <v>1398</v>
      </c>
      <c r="L241" t="str">
        <f t="shared" si="45"/>
        <v>01_Textgattung/07_Beischriften/04_Rueckenschutzformel/01_sA/0040_sA_NR_02.png</v>
      </c>
      <c r="N241" t="s">
        <v>93</v>
      </c>
    </row>
    <row r="242" spans="1:14" ht="17" x14ac:dyDescent="0.2">
      <c r="A242" s="2" t="s">
        <v>1393</v>
      </c>
      <c r="B242">
        <v>10</v>
      </c>
      <c r="C242" t="s">
        <v>45</v>
      </c>
      <c r="D242" t="s">
        <v>1144</v>
      </c>
      <c r="N242" t="s">
        <v>93</v>
      </c>
    </row>
    <row r="243" spans="1:14" ht="17" x14ac:dyDescent="0.2">
      <c r="A243" s="2" t="s">
        <v>1393</v>
      </c>
      <c r="B243">
        <v>11</v>
      </c>
      <c r="C243" t="s">
        <v>47</v>
      </c>
      <c r="F243" t="s">
        <v>1375</v>
      </c>
      <c r="G243" t="s">
        <v>1376</v>
      </c>
      <c r="H243" t="s">
        <v>1399</v>
      </c>
      <c r="L243" t="str">
        <f t="shared" si="45"/>
        <v>01_Textgattung/07_Beischriften/04_Rueckenschutzformel/01_sA/0050_sA_GR_01.png</v>
      </c>
      <c r="N243" t="s">
        <v>93</v>
      </c>
    </row>
    <row r="244" spans="1:14" ht="17" x14ac:dyDescent="0.2">
      <c r="A244" s="2" t="s">
        <v>1393</v>
      </c>
      <c r="B244">
        <v>12</v>
      </c>
      <c r="C244" t="s">
        <v>45</v>
      </c>
      <c r="D244" t="s">
        <v>1146</v>
      </c>
      <c r="N244" t="s">
        <v>93</v>
      </c>
    </row>
    <row r="245" spans="1:14" ht="17" x14ac:dyDescent="0.2">
      <c r="A245" s="2" t="s">
        <v>1393</v>
      </c>
      <c r="B245">
        <v>13</v>
      </c>
      <c r="C245" t="s">
        <v>47</v>
      </c>
      <c r="F245" t="s">
        <v>1375</v>
      </c>
      <c r="G245" t="s">
        <v>1376</v>
      </c>
      <c r="H245" t="s">
        <v>1400</v>
      </c>
      <c r="L245" t="str">
        <f t="shared" si="45"/>
        <v>01_Textgattung/07_Beischriften/04_Rueckenschutzformel/01_sA/0060_sA_GR_02.png</v>
      </c>
      <c r="N245" t="s">
        <v>93</v>
      </c>
    </row>
    <row r="246" spans="1:14" ht="17" x14ac:dyDescent="0.2">
      <c r="A246" s="2" t="s">
        <v>1393</v>
      </c>
      <c r="B246">
        <v>14</v>
      </c>
      <c r="C246" t="s">
        <v>45</v>
      </c>
      <c r="D246" t="s">
        <v>1146</v>
      </c>
      <c r="N246" t="s">
        <v>93</v>
      </c>
    </row>
    <row r="247" spans="1:14" ht="17" x14ac:dyDescent="0.2">
      <c r="A247" s="2" t="s">
        <v>1393</v>
      </c>
      <c r="B247">
        <v>15</v>
      </c>
      <c r="C247" t="s">
        <v>17</v>
      </c>
      <c r="D247" t="s">
        <v>644</v>
      </c>
      <c r="N247" t="s">
        <v>95</v>
      </c>
    </row>
    <row r="248" spans="1:14" ht="17" x14ac:dyDescent="0.2">
      <c r="A248" s="2" t="s">
        <v>1393</v>
      </c>
      <c r="B248">
        <v>16</v>
      </c>
      <c r="C248" t="s">
        <v>47</v>
      </c>
      <c r="F248" t="s">
        <v>1375</v>
      </c>
      <c r="G248" t="s">
        <v>1383</v>
      </c>
      <c r="H248" t="s">
        <v>1386</v>
      </c>
      <c r="I248" t="s">
        <v>112</v>
      </c>
      <c r="L248" t="str">
        <f t="shared" ref="L248" si="46">_xlfn.TEXTJOIN("", TRUE, E248:K248)</f>
        <v>01_Textgattung/07_Beischriften/04_Rueckenschutzformel/02_anx/0001_anx_01.png</v>
      </c>
      <c r="N248" t="s">
        <v>95</v>
      </c>
    </row>
    <row r="249" spans="1:14" ht="17" x14ac:dyDescent="0.2">
      <c r="A249" s="2" t="s">
        <v>1393</v>
      </c>
      <c r="B249">
        <v>17</v>
      </c>
      <c r="C249" t="s">
        <v>17</v>
      </c>
      <c r="D249" t="s">
        <v>1401</v>
      </c>
      <c r="N249" t="s">
        <v>1410</v>
      </c>
    </row>
    <row r="250" spans="1:14" ht="17" x14ac:dyDescent="0.2">
      <c r="A250" s="2" t="s">
        <v>1393</v>
      </c>
      <c r="B250">
        <v>18</v>
      </c>
      <c r="C250" t="s">
        <v>47</v>
      </c>
      <c r="F250" t="s">
        <v>1375</v>
      </c>
      <c r="G250" t="s">
        <v>1384</v>
      </c>
      <c r="H250" t="s">
        <v>1402</v>
      </c>
      <c r="L250" t="str">
        <f t="shared" ref="L250:L258" si="47">_xlfn.TEXTJOIN("", TRUE, E250:K250)</f>
        <v>01_Textgattung/07_Beischriften/04_Rueckenschutzformel/03_HA/0001_HA_01.png</v>
      </c>
      <c r="N250" t="s">
        <v>1410</v>
      </c>
    </row>
    <row r="251" spans="1:14" ht="17" x14ac:dyDescent="0.2">
      <c r="A251" s="2" t="s">
        <v>1393</v>
      </c>
      <c r="B251">
        <v>19</v>
      </c>
      <c r="C251" t="s">
        <v>47</v>
      </c>
      <c r="F251" t="s">
        <v>1375</v>
      </c>
      <c r="G251" t="s">
        <v>1384</v>
      </c>
      <c r="H251" t="s">
        <v>1403</v>
      </c>
      <c r="L251" t="str">
        <f t="shared" si="47"/>
        <v>01_Textgattung/07_Beischriften/04_Rueckenschutzformel/03_HA/0010_HA_02.png</v>
      </c>
      <c r="N251" t="s">
        <v>1410</v>
      </c>
    </row>
    <row r="252" spans="1:14" ht="17" x14ac:dyDescent="0.2">
      <c r="A252" s="2" t="s">
        <v>1393</v>
      </c>
      <c r="B252">
        <v>20</v>
      </c>
      <c r="C252" t="s">
        <v>47</v>
      </c>
      <c r="F252" t="s">
        <v>1375</v>
      </c>
      <c r="G252" t="s">
        <v>1384</v>
      </c>
      <c r="H252" t="s">
        <v>1404</v>
      </c>
      <c r="L252" t="str">
        <f t="shared" si="47"/>
        <v>01_Textgattung/07_Beischriften/04_Rueckenschutzformel/03_HA/0020_HA_MR_01.png</v>
      </c>
      <c r="N252" t="s">
        <v>1410</v>
      </c>
    </row>
    <row r="253" spans="1:14" ht="17" x14ac:dyDescent="0.2">
      <c r="A253" s="2" t="s">
        <v>1393</v>
      </c>
      <c r="B253">
        <v>21</v>
      </c>
      <c r="C253" t="s">
        <v>45</v>
      </c>
      <c r="D253" t="s">
        <v>1408</v>
      </c>
      <c r="N253" t="s">
        <v>1410</v>
      </c>
    </row>
    <row r="254" spans="1:14" ht="17" x14ac:dyDescent="0.2">
      <c r="A254" s="2" t="s">
        <v>1393</v>
      </c>
      <c r="B254">
        <v>22</v>
      </c>
      <c r="C254" t="s">
        <v>47</v>
      </c>
      <c r="F254" t="s">
        <v>1375</v>
      </c>
      <c r="G254" t="s">
        <v>1384</v>
      </c>
      <c r="H254" t="s">
        <v>1405</v>
      </c>
      <c r="L254" t="str">
        <f t="shared" si="47"/>
        <v>01_Textgattung/07_Beischriften/04_Rueckenschutzformel/03_HA/0030_HA_MR_02.png</v>
      </c>
      <c r="N254" t="s">
        <v>1410</v>
      </c>
    </row>
    <row r="255" spans="1:14" ht="17" x14ac:dyDescent="0.2">
      <c r="A255" s="2" t="s">
        <v>1393</v>
      </c>
      <c r="B255">
        <v>23</v>
      </c>
      <c r="C255" t="s">
        <v>45</v>
      </c>
      <c r="D255" t="s">
        <v>1408</v>
      </c>
      <c r="N255" t="s">
        <v>1410</v>
      </c>
    </row>
    <row r="256" spans="1:14" ht="17" x14ac:dyDescent="0.2">
      <c r="A256" s="2" t="s">
        <v>1393</v>
      </c>
      <c r="B256">
        <v>24</v>
      </c>
      <c r="C256" t="s">
        <v>47</v>
      </c>
      <c r="F256" t="s">
        <v>1375</v>
      </c>
      <c r="G256" t="s">
        <v>1384</v>
      </c>
      <c r="H256" t="s">
        <v>1406</v>
      </c>
      <c r="L256" t="str">
        <f t="shared" si="47"/>
        <v>01_Textgattung/07_Beischriften/04_Rueckenschutzformel/03_HA/0040_HA_NR_01.png</v>
      </c>
      <c r="N256" t="s">
        <v>1410</v>
      </c>
    </row>
    <row r="257" spans="1:14" ht="17" x14ac:dyDescent="0.2">
      <c r="A257" s="2" t="s">
        <v>1393</v>
      </c>
      <c r="B257">
        <v>25</v>
      </c>
      <c r="C257" t="s">
        <v>45</v>
      </c>
      <c r="D257" t="s">
        <v>1144</v>
      </c>
      <c r="N257" t="s">
        <v>1410</v>
      </c>
    </row>
    <row r="258" spans="1:14" ht="17" x14ac:dyDescent="0.2">
      <c r="A258" s="2" t="s">
        <v>1393</v>
      </c>
      <c r="B258">
        <v>26</v>
      </c>
      <c r="C258" t="s">
        <v>47</v>
      </c>
      <c r="F258" t="s">
        <v>1375</v>
      </c>
      <c r="G258" t="s">
        <v>1384</v>
      </c>
      <c r="H258" t="s">
        <v>1407</v>
      </c>
      <c r="L258" t="str">
        <f t="shared" si="47"/>
        <v>01_Textgattung/07_Beischriften/04_Rueckenschutzformel/03_HA/0050_HA_Sp_01.png</v>
      </c>
      <c r="N258" t="s">
        <v>1410</v>
      </c>
    </row>
    <row r="259" spans="1:14" ht="17" x14ac:dyDescent="0.2">
      <c r="A259" s="2" t="s">
        <v>1393</v>
      </c>
      <c r="B259">
        <v>27</v>
      </c>
      <c r="C259" t="s">
        <v>45</v>
      </c>
      <c r="D259" t="s">
        <v>1409</v>
      </c>
    </row>
    <row r="260" spans="1:14" x14ac:dyDescent="0.2">
      <c r="A260" s="5"/>
    </row>
    <row r="261" spans="1:14" x14ac:dyDescent="0.2">
      <c r="A261" s="5"/>
    </row>
    <row r="262" spans="1:14" x14ac:dyDescent="0.2">
      <c r="A262" s="5"/>
    </row>
    <row r="263" spans="1:14" x14ac:dyDescent="0.2">
      <c r="A263" s="5"/>
    </row>
    <row r="264" spans="1:14" x14ac:dyDescent="0.2">
      <c r="A264" s="5"/>
    </row>
    <row r="265" spans="1:14" x14ac:dyDescent="0.2">
      <c r="A265" s="5"/>
    </row>
    <row r="266" spans="1:14" x14ac:dyDescent="0.2">
      <c r="A266" s="5"/>
    </row>
    <row r="267" spans="1:14" x14ac:dyDescent="0.2">
      <c r="A267" s="5"/>
    </row>
    <row r="268" spans="1:14" x14ac:dyDescent="0.2">
      <c r="A268" s="5"/>
    </row>
    <row r="269" spans="1:14" x14ac:dyDescent="0.2">
      <c r="A269" s="5"/>
    </row>
    <row r="270" spans="1:14" x14ac:dyDescent="0.2">
      <c r="A270" s="5"/>
    </row>
    <row r="271" spans="1:14" x14ac:dyDescent="0.2">
      <c r="A271" s="5"/>
    </row>
    <row r="273" spans="1:14" x14ac:dyDescent="0.2">
      <c r="A273" t="s">
        <v>1044</v>
      </c>
      <c r="B273">
        <v>1</v>
      </c>
      <c r="C273" t="s">
        <v>45</v>
      </c>
      <c r="D273" t="s">
        <v>1049</v>
      </c>
      <c r="N273" t="s">
        <v>90</v>
      </c>
    </row>
    <row r="274" spans="1:14" x14ac:dyDescent="0.2">
      <c r="A274" t="s">
        <v>1044</v>
      </c>
      <c r="B274" s="27">
        <v>2</v>
      </c>
      <c r="C274" t="s">
        <v>45</v>
      </c>
      <c r="D274" t="s">
        <v>1055</v>
      </c>
      <c r="N274" t="s">
        <v>90</v>
      </c>
    </row>
    <row r="275" spans="1:14" x14ac:dyDescent="0.2">
      <c r="A275" t="s">
        <v>1044</v>
      </c>
      <c r="B275">
        <v>3</v>
      </c>
      <c r="C275" t="s">
        <v>47</v>
      </c>
      <c r="F275" t="s">
        <v>417</v>
      </c>
      <c r="G275" t="s">
        <v>418</v>
      </c>
      <c r="H275" t="s">
        <v>419</v>
      </c>
      <c r="I275" t="s">
        <v>112</v>
      </c>
      <c r="L275" t="str">
        <f t="shared" ref="L275:L276" si="48">_xlfn.TEXTJOIN("", TRUE, E275:K275)</f>
        <v>02_Slots/Personennamen/Namen/f/01_tA-dj-Gottheit/01_tA-dj_01.png</v>
      </c>
      <c r="N275" t="s">
        <v>90</v>
      </c>
    </row>
    <row r="276" spans="1:14" x14ac:dyDescent="0.2">
      <c r="A276" t="s">
        <v>1044</v>
      </c>
      <c r="B276" s="27">
        <v>4</v>
      </c>
      <c r="C276" t="s">
        <v>47</v>
      </c>
      <c r="F276" t="s">
        <v>417</v>
      </c>
      <c r="G276" t="s">
        <v>418</v>
      </c>
      <c r="H276" t="s">
        <v>420</v>
      </c>
      <c r="I276" t="s">
        <v>112</v>
      </c>
      <c r="L276" t="str">
        <f t="shared" si="48"/>
        <v>02_Slots/Personennamen/Namen/f/01_tA-dj-Gottheit/01_tA-dj_02.png</v>
      </c>
      <c r="N276" t="s">
        <v>90</v>
      </c>
    </row>
    <row r="277" spans="1:14" x14ac:dyDescent="0.2">
      <c r="A277" t="s">
        <v>1044</v>
      </c>
      <c r="B277">
        <v>5</v>
      </c>
      <c r="C277" t="s">
        <v>45</v>
      </c>
      <c r="D277" t="s">
        <v>1046</v>
      </c>
      <c r="N277" t="s">
        <v>90</v>
      </c>
    </row>
    <row r="278" spans="1:14" x14ac:dyDescent="0.2">
      <c r="A278" t="s">
        <v>1044</v>
      </c>
      <c r="B278" s="27">
        <v>6</v>
      </c>
      <c r="C278" t="s">
        <v>46</v>
      </c>
      <c r="D278" t="s">
        <v>48</v>
      </c>
      <c r="M278" t="s">
        <v>97</v>
      </c>
      <c r="N278" t="s">
        <v>90</v>
      </c>
    </row>
    <row r="279" spans="1:14" x14ac:dyDescent="0.2">
      <c r="B279" s="27"/>
    </row>
    <row r="280" spans="1:14" x14ac:dyDescent="0.2">
      <c r="A280" t="s">
        <v>1045</v>
      </c>
      <c r="B280">
        <v>1</v>
      </c>
      <c r="C280" t="s">
        <v>45</v>
      </c>
      <c r="D280" t="s">
        <v>1049</v>
      </c>
      <c r="N280" t="s">
        <v>90</v>
      </c>
    </row>
    <row r="281" spans="1:14" x14ac:dyDescent="0.2">
      <c r="A281" t="s">
        <v>1045</v>
      </c>
      <c r="B281" s="27">
        <v>2</v>
      </c>
      <c r="C281" t="s">
        <v>45</v>
      </c>
      <c r="D281" t="s">
        <v>1056</v>
      </c>
      <c r="N281" t="s">
        <v>90</v>
      </c>
    </row>
    <row r="282" spans="1:14" x14ac:dyDescent="0.2">
      <c r="A282" t="s">
        <v>1045</v>
      </c>
      <c r="B282">
        <v>3</v>
      </c>
      <c r="C282" t="s">
        <v>47</v>
      </c>
      <c r="F282" t="s">
        <v>422</v>
      </c>
      <c r="G282" t="s">
        <v>443</v>
      </c>
      <c r="H282" t="s">
        <v>423</v>
      </c>
      <c r="I282" t="s">
        <v>112</v>
      </c>
      <c r="L282" t="str">
        <f t="shared" ref="L282:L283" si="49">_xlfn.TEXTJOIN("", TRUE, E282:K282)</f>
        <v>02_Slots/Personennamen/Namen/m/01_pA-dj-Gottheit/01_pA-dj_01.png</v>
      </c>
      <c r="N282" t="s">
        <v>90</v>
      </c>
    </row>
    <row r="283" spans="1:14" x14ac:dyDescent="0.2">
      <c r="A283" t="s">
        <v>1045</v>
      </c>
      <c r="B283" s="27">
        <v>4</v>
      </c>
      <c r="C283" t="s">
        <v>47</v>
      </c>
      <c r="F283" t="s">
        <v>422</v>
      </c>
      <c r="G283" t="s">
        <v>443</v>
      </c>
      <c r="H283" t="s">
        <v>424</v>
      </c>
      <c r="I283" t="s">
        <v>112</v>
      </c>
      <c r="L283" t="str">
        <f t="shared" si="49"/>
        <v>02_Slots/Personennamen/Namen/m/01_pA-dj-Gottheit/01_pA-dj_02.png</v>
      </c>
      <c r="N283" t="s">
        <v>90</v>
      </c>
    </row>
    <row r="284" spans="1:14" x14ac:dyDescent="0.2">
      <c r="A284" t="s">
        <v>1045</v>
      </c>
      <c r="B284">
        <v>5</v>
      </c>
      <c r="C284" t="s">
        <v>45</v>
      </c>
      <c r="D284" t="s">
        <v>1046</v>
      </c>
      <c r="N284" t="s">
        <v>90</v>
      </c>
    </row>
    <row r="285" spans="1:14" x14ac:dyDescent="0.2">
      <c r="A285" t="s">
        <v>1045</v>
      </c>
      <c r="B285" s="27">
        <v>6</v>
      </c>
      <c r="C285" t="s">
        <v>46</v>
      </c>
      <c r="D285" t="s">
        <v>48</v>
      </c>
      <c r="M285" t="s">
        <v>97</v>
      </c>
      <c r="N285" t="s">
        <v>90</v>
      </c>
    </row>
    <row r="289" spans="1:14" x14ac:dyDescent="0.2">
      <c r="A289" t="s">
        <v>1223</v>
      </c>
      <c r="B289">
        <v>1</v>
      </c>
      <c r="C289" t="s">
        <v>45</v>
      </c>
      <c r="D289" t="s">
        <v>1049</v>
      </c>
      <c r="N289" t="s">
        <v>90</v>
      </c>
    </row>
    <row r="290" spans="1:14" x14ac:dyDescent="0.2">
      <c r="A290" t="s">
        <v>1223</v>
      </c>
      <c r="B290">
        <v>2</v>
      </c>
      <c r="C290" t="s">
        <v>46</v>
      </c>
      <c r="D290" t="s">
        <v>50</v>
      </c>
      <c r="M290" t="s">
        <v>99</v>
      </c>
      <c r="N290" t="s">
        <v>90</v>
      </c>
    </row>
    <row r="291" spans="1:14" x14ac:dyDescent="0.2">
      <c r="A291" t="s">
        <v>1223</v>
      </c>
      <c r="B291">
        <v>3</v>
      </c>
      <c r="C291" t="s">
        <v>45</v>
      </c>
      <c r="D291" t="s">
        <v>1226</v>
      </c>
      <c r="N291" t="s">
        <v>90</v>
      </c>
    </row>
    <row r="292" spans="1:14" x14ac:dyDescent="0.2">
      <c r="A292" t="s">
        <v>1223</v>
      </c>
      <c r="B292">
        <v>4</v>
      </c>
      <c r="C292" t="s">
        <v>45</v>
      </c>
      <c r="D292" t="s">
        <v>1227</v>
      </c>
      <c r="N292" t="s">
        <v>90</v>
      </c>
    </row>
    <row r="293" spans="1:14" x14ac:dyDescent="0.2">
      <c r="A293" t="s">
        <v>1223</v>
      </c>
      <c r="B293">
        <v>5</v>
      </c>
      <c r="C293" t="s">
        <v>46</v>
      </c>
      <c r="D293" t="s">
        <v>50</v>
      </c>
      <c r="M293" t="s">
        <v>99</v>
      </c>
      <c r="N293" t="s">
        <v>90</v>
      </c>
    </row>
    <row r="294" spans="1:14" x14ac:dyDescent="0.2">
      <c r="A294" t="s">
        <v>1223</v>
      </c>
      <c r="B294">
        <v>6</v>
      </c>
      <c r="C294" t="s">
        <v>45</v>
      </c>
      <c r="D294" t="s">
        <v>1228</v>
      </c>
      <c r="N294" t="s">
        <v>90</v>
      </c>
    </row>
    <row r="296" spans="1:14" x14ac:dyDescent="0.2">
      <c r="A296" t="s">
        <v>1224</v>
      </c>
      <c r="B296">
        <v>1</v>
      </c>
      <c r="C296" t="s">
        <v>45</v>
      </c>
      <c r="D296" t="s">
        <v>1049</v>
      </c>
      <c r="N296" t="s">
        <v>90</v>
      </c>
    </row>
    <row r="297" spans="1:14" x14ac:dyDescent="0.2">
      <c r="A297" t="s">
        <v>1224</v>
      </c>
      <c r="B297">
        <v>2</v>
      </c>
      <c r="C297" t="s">
        <v>46</v>
      </c>
      <c r="D297" t="s">
        <v>50</v>
      </c>
      <c r="M297" t="s">
        <v>99</v>
      </c>
      <c r="N297" t="s">
        <v>90</v>
      </c>
    </row>
    <row r="298" spans="1:14" x14ac:dyDescent="0.2">
      <c r="A298" t="s">
        <v>1224</v>
      </c>
      <c r="B298">
        <v>3</v>
      </c>
      <c r="C298" t="s">
        <v>45</v>
      </c>
      <c r="D298" t="s">
        <v>1226</v>
      </c>
      <c r="N298" t="s">
        <v>90</v>
      </c>
    </row>
    <row r="299" spans="1:14" x14ac:dyDescent="0.2">
      <c r="A299" t="s">
        <v>1224</v>
      </c>
      <c r="B299">
        <v>4</v>
      </c>
      <c r="C299" t="s">
        <v>45</v>
      </c>
      <c r="D299" t="s">
        <v>1229</v>
      </c>
      <c r="N299" t="s">
        <v>90</v>
      </c>
    </row>
    <row r="300" spans="1:14" x14ac:dyDescent="0.2">
      <c r="A300" t="s">
        <v>1224</v>
      </c>
      <c r="B300">
        <v>5</v>
      </c>
      <c r="C300" t="s">
        <v>46</v>
      </c>
      <c r="D300" t="s">
        <v>50</v>
      </c>
      <c r="M300" t="s">
        <v>99</v>
      </c>
      <c r="N300" t="s">
        <v>90</v>
      </c>
    </row>
    <row r="301" spans="1:14" x14ac:dyDescent="0.2">
      <c r="A301" t="s">
        <v>1224</v>
      </c>
      <c r="B301">
        <v>6</v>
      </c>
      <c r="C301" t="s">
        <v>45</v>
      </c>
      <c r="D301" t="s">
        <v>1228</v>
      </c>
      <c r="N301" t="s">
        <v>90</v>
      </c>
    </row>
    <row r="303" spans="1:14" ht="17" x14ac:dyDescent="0.2">
      <c r="A303" s="5" t="s">
        <v>1225</v>
      </c>
      <c r="B303">
        <v>1</v>
      </c>
      <c r="C303" t="s">
        <v>45</v>
      </c>
      <c r="D303" t="s">
        <v>1049</v>
      </c>
      <c r="N303" t="s">
        <v>90</v>
      </c>
    </row>
    <row r="304" spans="1:14" ht="17" x14ac:dyDescent="0.2">
      <c r="A304" s="5" t="s">
        <v>1225</v>
      </c>
      <c r="B304">
        <v>2</v>
      </c>
      <c r="C304" t="s">
        <v>46</v>
      </c>
      <c r="D304" t="s">
        <v>50</v>
      </c>
      <c r="M304" t="s">
        <v>99</v>
      </c>
      <c r="N304" t="s">
        <v>90</v>
      </c>
    </row>
    <row r="305" spans="1:14" ht="17" x14ac:dyDescent="0.2">
      <c r="A305" s="5" t="s">
        <v>1225</v>
      </c>
      <c r="B305">
        <v>3</v>
      </c>
      <c r="C305" t="s">
        <v>45</v>
      </c>
      <c r="D305" t="s">
        <v>1228</v>
      </c>
      <c r="N305" t="s">
        <v>90</v>
      </c>
    </row>
    <row r="306" spans="1:14" ht="17" x14ac:dyDescent="0.2">
      <c r="A306" s="5" t="s">
        <v>1225</v>
      </c>
      <c r="B306">
        <v>4</v>
      </c>
      <c r="C306" t="s">
        <v>45</v>
      </c>
      <c r="D306" t="s">
        <v>1229</v>
      </c>
      <c r="N306" t="s">
        <v>90</v>
      </c>
    </row>
    <row r="307" spans="1:14" ht="17" x14ac:dyDescent="0.2">
      <c r="A307" s="5" t="s">
        <v>1225</v>
      </c>
      <c r="B307">
        <v>5</v>
      </c>
      <c r="C307" t="s">
        <v>46</v>
      </c>
      <c r="D307" t="s">
        <v>50</v>
      </c>
      <c r="M307" t="s">
        <v>99</v>
      </c>
      <c r="N307" t="s">
        <v>90</v>
      </c>
    </row>
    <row r="308" spans="1:14" ht="17" x14ac:dyDescent="0.2">
      <c r="A308" s="5" t="s">
        <v>1225</v>
      </c>
      <c r="B308">
        <v>6</v>
      </c>
      <c r="C308" t="s">
        <v>45</v>
      </c>
      <c r="D308" t="s">
        <v>1226</v>
      </c>
      <c r="N308"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48"/>
  <sheetViews>
    <sheetView tabSelected="1" topLeftCell="E1" zoomScale="116" zoomScaleNormal="100" workbookViewId="0">
      <pane ySplit="1" topLeftCell="A988" activePane="bottomLeft" state="frozen"/>
      <selection pane="bottomLeft" activeCell="L998" sqref="L998"/>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1487</v>
      </c>
    </row>
    <row r="17" spans="1:12" s="6" customFormat="1" x14ac:dyDescent="0.2">
      <c r="A17" s="7" t="s">
        <v>347</v>
      </c>
      <c r="B17" s="25">
        <v>1</v>
      </c>
      <c r="C17" s="6" t="s">
        <v>40</v>
      </c>
      <c r="L17" s="6" t="s">
        <v>348</v>
      </c>
    </row>
    <row r="18" spans="1:12" s="6" customFormat="1" x14ac:dyDescent="0.2">
      <c r="A18" s="7" t="s">
        <v>347</v>
      </c>
      <c r="B18" s="25">
        <v>1</v>
      </c>
      <c r="C18" s="6" t="s">
        <v>41</v>
      </c>
      <c r="L18" s="6" t="s">
        <v>1482</v>
      </c>
    </row>
    <row r="19" spans="1:12" s="6" customFormat="1" x14ac:dyDescent="0.2">
      <c r="A19" s="7" t="s">
        <v>347</v>
      </c>
      <c r="B19" s="25">
        <v>2</v>
      </c>
      <c r="C19" s="6" t="s">
        <v>39</v>
      </c>
      <c r="L19" s="6" t="s">
        <v>1478</v>
      </c>
    </row>
    <row r="20" spans="1:12" s="6" customFormat="1" x14ac:dyDescent="0.2">
      <c r="A20" s="7" t="s">
        <v>347</v>
      </c>
      <c r="B20" s="25">
        <v>2</v>
      </c>
      <c r="C20" s="6" t="s">
        <v>27</v>
      </c>
      <c r="L20" s="6" t="s">
        <v>1480</v>
      </c>
    </row>
    <row r="21" spans="1:12" s="6" customFormat="1" x14ac:dyDescent="0.2">
      <c r="A21" s="7" t="s">
        <v>347</v>
      </c>
      <c r="B21" s="25">
        <v>2</v>
      </c>
      <c r="C21" s="6" t="s">
        <v>40</v>
      </c>
      <c r="L21" s="6" t="s">
        <v>1481</v>
      </c>
    </row>
    <row r="22" spans="1:12" s="6" customFormat="1" x14ac:dyDescent="0.2">
      <c r="A22" s="7" t="s">
        <v>347</v>
      </c>
      <c r="B22" s="25">
        <v>2</v>
      </c>
      <c r="C22" s="6" t="s">
        <v>41</v>
      </c>
    </row>
    <row r="24" spans="1:12" s="15" customFormat="1" x14ac:dyDescent="0.2">
      <c r="A24" s="13" t="s">
        <v>533</v>
      </c>
      <c r="B24" s="26">
        <v>1</v>
      </c>
      <c r="C24" s="15" t="s">
        <v>39</v>
      </c>
      <c r="L24" s="15" t="s">
        <v>369</v>
      </c>
    </row>
    <row r="25" spans="1:12" s="15" customFormat="1" x14ac:dyDescent="0.2">
      <c r="A25" s="13" t="s">
        <v>533</v>
      </c>
      <c r="B25" s="26">
        <v>1</v>
      </c>
      <c r="C25" s="15" t="s">
        <v>27</v>
      </c>
      <c r="L25" s="15" t="s">
        <v>534</v>
      </c>
    </row>
    <row r="26" spans="1:12" s="15" customFormat="1" x14ac:dyDescent="0.2">
      <c r="A26" s="13" t="s">
        <v>533</v>
      </c>
      <c r="B26" s="26">
        <v>2</v>
      </c>
      <c r="C26" s="15" t="s">
        <v>39</v>
      </c>
      <c r="L26" s="15" t="s">
        <v>372</v>
      </c>
    </row>
    <row r="27" spans="1:12" s="15" customFormat="1" x14ac:dyDescent="0.2">
      <c r="A27" s="13" t="s">
        <v>533</v>
      </c>
      <c r="B27" s="26">
        <v>2</v>
      </c>
      <c r="C27" s="15" t="s">
        <v>27</v>
      </c>
      <c r="L27" s="15" t="s">
        <v>535</v>
      </c>
    </row>
    <row r="28" spans="1:12" x14ac:dyDescent="0.2">
      <c r="A28" s="4"/>
    </row>
    <row r="29" spans="1:12" s="15" customFormat="1" x14ac:dyDescent="0.2">
      <c r="A29" s="13" t="s">
        <v>537</v>
      </c>
      <c r="B29" s="26">
        <v>1</v>
      </c>
      <c r="C29" s="15" t="s">
        <v>39</v>
      </c>
      <c r="L29" s="12" t="s">
        <v>539</v>
      </c>
    </row>
    <row r="30" spans="1:12" s="15" customFormat="1" x14ac:dyDescent="0.2">
      <c r="A30" s="13" t="s">
        <v>537</v>
      </c>
      <c r="B30" s="26">
        <v>1</v>
      </c>
      <c r="C30" s="15" t="s">
        <v>27</v>
      </c>
      <c r="L30" s="15" t="s">
        <v>538</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1147</v>
      </c>
      <c r="J37" t="s">
        <v>1148</v>
      </c>
      <c r="K37" t="s">
        <v>1149</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1147</v>
      </c>
      <c r="J43" t="s">
        <v>1150</v>
      </c>
      <c r="K43" t="s">
        <v>1149</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1147</v>
      </c>
      <c r="J67" t="s">
        <v>1151</v>
      </c>
      <c r="K67" t="s">
        <v>1149</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1147</v>
      </c>
      <c r="J68" t="s">
        <v>1103</v>
      </c>
      <c r="K68" t="s">
        <v>1149</v>
      </c>
      <c r="L68" t="str">
        <f t="shared" si="10"/>
        <v>02_Slots/Gaben/0040_Rinder/0020_kA_NR_01.png &lt;sup&gt;(NR)&lt;/sup&gt;</v>
      </c>
    </row>
    <row r="69" spans="1:12" x14ac:dyDescent="0.2">
      <c r="A69" t="s">
        <v>194</v>
      </c>
      <c r="B69" s="27">
        <v>3</v>
      </c>
      <c r="C69" t="s">
        <v>105</v>
      </c>
      <c r="E69" t="s">
        <v>257</v>
      </c>
      <c r="G69" t="s">
        <v>224</v>
      </c>
      <c r="H69" t="s">
        <v>112</v>
      </c>
      <c r="I69" t="s">
        <v>1147</v>
      </c>
      <c r="J69" t="s">
        <v>1103</v>
      </c>
      <c r="K69" t="s">
        <v>1149</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1147</v>
      </c>
      <c r="J75" t="s">
        <v>1138</v>
      </c>
      <c r="K75" t="s">
        <v>1149</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1147</v>
      </c>
      <c r="J77" t="s">
        <v>1151</v>
      </c>
      <c r="K77" t="s">
        <v>1149</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1147</v>
      </c>
      <c r="J83" t="s">
        <v>1103</v>
      </c>
      <c r="K83" t="s">
        <v>1149</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1147</v>
      </c>
      <c r="J85" t="s">
        <v>1103</v>
      </c>
      <c r="K85" t="s">
        <v>1149</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1147</v>
      </c>
      <c r="J86" t="s">
        <v>1150</v>
      </c>
      <c r="K86" t="s">
        <v>1149</v>
      </c>
      <c r="L86" t="str">
        <f t="shared" si="14"/>
        <v>02_Slots/Gaben/0060_Leinen/0050_mnx.t_Abk_GR_01.png &lt;sup&gt;(Gr.)&lt;/sup&gt;</v>
      </c>
    </row>
    <row r="87" spans="1:12" x14ac:dyDescent="0.2">
      <c r="A87" t="s">
        <v>194</v>
      </c>
      <c r="B87" s="27">
        <v>6</v>
      </c>
      <c r="C87" t="s">
        <v>274</v>
      </c>
      <c r="E87" t="s">
        <v>259</v>
      </c>
      <c r="G87" t="s">
        <v>240</v>
      </c>
      <c r="H87" t="s">
        <v>112</v>
      </c>
      <c r="I87" t="s">
        <v>1147</v>
      </c>
      <c r="J87" t="s">
        <v>1150</v>
      </c>
      <c r="K87" t="s">
        <v>1149</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1147</v>
      </c>
      <c r="J90" t="s">
        <v>1103</v>
      </c>
      <c r="K90" t="s">
        <v>1149</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1147</v>
      </c>
      <c r="J91" t="s">
        <v>1103</v>
      </c>
      <c r="K91" t="s">
        <v>1149</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1147</v>
      </c>
      <c r="J105" t="s">
        <v>1148</v>
      </c>
      <c r="K105" t="s">
        <v>1149</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1147</v>
      </c>
      <c r="J106" t="s">
        <v>1148</v>
      </c>
      <c r="K106" t="s">
        <v>1149</v>
      </c>
      <c r="L106" t="str">
        <f t="shared" si="21"/>
        <v>02_Slots/Gaben/0080_Weihrauch/0020_snTr_AR_02.png &lt;sup&gt;(AR)&lt;/sup&gt;</v>
      </c>
    </row>
    <row r="107" spans="1:12" x14ac:dyDescent="0.2">
      <c r="A107" t="s">
        <v>194</v>
      </c>
      <c r="B107" s="27">
        <v>8</v>
      </c>
      <c r="C107" t="s">
        <v>105</v>
      </c>
      <c r="E107" t="s">
        <v>262</v>
      </c>
      <c r="G107" t="s">
        <v>266</v>
      </c>
      <c r="H107" t="s">
        <v>112</v>
      </c>
      <c r="I107" t="s">
        <v>1147</v>
      </c>
      <c r="J107" t="s">
        <v>1148</v>
      </c>
      <c r="K107" t="s">
        <v>1149</v>
      </c>
      <c r="L107" t="str">
        <f t="shared" si="21"/>
        <v>02_Slots/Gaben/0080_Weihrauch/0030_snTr_AR_03.png &lt;sup&gt;(AR)&lt;/sup&gt;</v>
      </c>
    </row>
    <row r="108" spans="1:12" x14ac:dyDescent="0.2">
      <c r="A108" t="s">
        <v>194</v>
      </c>
      <c r="B108" s="27">
        <v>8</v>
      </c>
      <c r="C108" t="s">
        <v>105</v>
      </c>
      <c r="E108" t="s">
        <v>262</v>
      </c>
      <c r="G108" t="s">
        <v>279</v>
      </c>
      <c r="H108" t="s">
        <v>112</v>
      </c>
      <c r="I108" t="s">
        <v>1147</v>
      </c>
      <c r="J108" t="s">
        <v>1161</v>
      </c>
      <c r="K108" t="s">
        <v>1149</v>
      </c>
      <c r="L108" t="str">
        <f t="shared" si="21"/>
        <v>02_Slots/Gaben/0080_Weihrauch/0040_snTr_Ende-AR_01.png &lt;sup&gt;(Ende AR)&lt;/sup&gt;</v>
      </c>
    </row>
    <row r="109" spans="1:12" x14ac:dyDescent="0.2">
      <c r="A109" t="s">
        <v>194</v>
      </c>
      <c r="B109" s="27">
        <v>8</v>
      </c>
      <c r="C109" t="s">
        <v>105</v>
      </c>
      <c r="E109" t="s">
        <v>262</v>
      </c>
      <c r="G109" t="s">
        <v>267</v>
      </c>
      <c r="H109" t="s">
        <v>112</v>
      </c>
      <c r="I109" t="s">
        <v>1147</v>
      </c>
      <c r="J109" t="s">
        <v>1151</v>
      </c>
      <c r="K109" t="s">
        <v>1149</v>
      </c>
      <c r="L109" t="str">
        <f t="shared" si="21"/>
        <v>02_Slots/Gaben/0080_Weihrauch/0050_snTr_MR_01.png &lt;sup&gt;(MR)&lt;/sup&gt;</v>
      </c>
    </row>
    <row r="110" spans="1:12" x14ac:dyDescent="0.2">
      <c r="A110" t="s">
        <v>194</v>
      </c>
      <c r="B110" s="27">
        <v>8</v>
      </c>
      <c r="C110" t="s">
        <v>105</v>
      </c>
      <c r="E110" t="s">
        <v>262</v>
      </c>
      <c r="G110" t="s">
        <v>268</v>
      </c>
      <c r="H110" t="s">
        <v>112</v>
      </c>
      <c r="I110" t="s">
        <v>1147</v>
      </c>
      <c r="J110" t="s">
        <v>1151</v>
      </c>
      <c r="K110" t="s">
        <v>1149</v>
      </c>
      <c r="L110" t="str">
        <f t="shared" si="21"/>
        <v>02_Slots/Gaben/0080_Weihrauch/0060_snTr_MR_02.png &lt;sup&gt;(MR)&lt;/sup&gt;</v>
      </c>
    </row>
    <row r="111" spans="1:12" x14ac:dyDescent="0.2">
      <c r="A111" t="s">
        <v>194</v>
      </c>
      <c r="B111" s="27">
        <v>8</v>
      </c>
      <c r="C111" t="s">
        <v>105</v>
      </c>
      <c r="E111" t="s">
        <v>262</v>
      </c>
      <c r="G111" t="s">
        <v>269</v>
      </c>
      <c r="H111" t="s">
        <v>112</v>
      </c>
      <c r="I111" t="s">
        <v>1147</v>
      </c>
      <c r="J111" t="s">
        <v>1151</v>
      </c>
      <c r="K111" t="s">
        <v>1149</v>
      </c>
      <c r="L111" t="str">
        <f t="shared" si="21"/>
        <v>02_Slots/Gaben/0080_Weihrauch/0070_snTr_MR_03.png &lt;sup&gt;(MR)&lt;/sup&gt;</v>
      </c>
    </row>
    <row r="112" spans="1:12" x14ac:dyDescent="0.2">
      <c r="A112" t="s">
        <v>194</v>
      </c>
      <c r="B112" s="27">
        <v>8</v>
      </c>
      <c r="C112" t="s">
        <v>105</v>
      </c>
      <c r="E112" t="s">
        <v>262</v>
      </c>
      <c r="G112" t="s">
        <v>270</v>
      </c>
      <c r="H112" t="s">
        <v>112</v>
      </c>
      <c r="I112" t="s">
        <v>1147</v>
      </c>
      <c r="J112" t="s">
        <v>1152</v>
      </c>
      <c r="K112" t="s">
        <v>1149</v>
      </c>
      <c r="L112" t="str">
        <f t="shared" si="21"/>
        <v>02_Slots/Gaben/0080_Weihrauch/0080_snTr_D.18_01.png &lt;sup&gt;(Dyn.18)&lt;/sup&gt;</v>
      </c>
    </row>
    <row r="113" spans="1:12" x14ac:dyDescent="0.2">
      <c r="A113" t="s">
        <v>194</v>
      </c>
      <c r="B113" s="27">
        <v>8</v>
      </c>
      <c r="C113" t="s">
        <v>105</v>
      </c>
      <c r="E113" t="s">
        <v>262</v>
      </c>
      <c r="G113" t="s">
        <v>271</v>
      </c>
      <c r="H113" t="s">
        <v>112</v>
      </c>
      <c r="I113" t="s">
        <v>1147</v>
      </c>
      <c r="J113" t="s">
        <v>1153</v>
      </c>
      <c r="K113" t="s">
        <v>1149</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1147</v>
      </c>
      <c r="J120" t="s">
        <v>1151</v>
      </c>
      <c r="K120" t="s">
        <v>1149</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1147</v>
      </c>
      <c r="J127" t="s">
        <v>1103</v>
      </c>
      <c r="K127" t="s">
        <v>1149</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1147</v>
      </c>
      <c r="J129" t="s">
        <v>1148</v>
      </c>
      <c r="K129" t="s">
        <v>1149</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1054</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1147</v>
      </c>
      <c r="J170" t="s">
        <v>1151</v>
      </c>
      <c r="K170" t="s">
        <v>1149</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1147</v>
      </c>
      <c r="J179" t="s">
        <v>1151</v>
      </c>
      <c r="K179" t="s">
        <v>1149</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1147</v>
      </c>
      <c r="J197" t="s">
        <v>1148</v>
      </c>
      <c r="K197" t="s">
        <v>1149</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1147</v>
      </c>
      <c r="J201" t="s">
        <v>1154</v>
      </c>
      <c r="K201" t="s">
        <v>1149</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1147</v>
      </c>
      <c r="J205" t="s">
        <v>1162</v>
      </c>
      <c r="K205" t="s">
        <v>1149</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1147</v>
      </c>
      <c r="J230" t="s">
        <v>1103</v>
      </c>
      <c r="K230" t="s">
        <v>1149</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1147</v>
      </c>
      <c r="J231" t="s">
        <v>1139</v>
      </c>
      <c r="K231" t="s">
        <v>1149</v>
      </c>
      <c r="L231" t="str">
        <f t="shared" si="48"/>
        <v>02_Slots/Menschenepitheta/03_mAa-xrw_Spaet._01.png &lt;sup&gt;(Spät.)&lt;/sup&gt;</v>
      </c>
    </row>
    <row r="232" spans="1:12" x14ac:dyDescent="0.2">
      <c r="A232" t="s">
        <v>433</v>
      </c>
      <c r="B232" s="27">
        <v>1</v>
      </c>
      <c r="C232" t="s">
        <v>105</v>
      </c>
      <c r="E232" t="s">
        <v>436</v>
      </c>
      <c r="G232" t="s">
        <v>442</v>
      </c>
      <c r="H232" t="s">
        <v>112</v>
      </c>
      <c r="I232" t="s">
        <v>1147</v>
      </c>
      <c r="J232" t="s">
        <v>1139</v>
      </c>
      <c r="K232" t="s">
        <v>1149</v>
      </c>
      <c r="L232" t="str">
        <f t="shared" si="48"/>
        <v>02_Slots/Menschenepitheta/03_mAa-xrw_Spaet._02.png &lt;sup&gt;(Spät.)&lt;/sup&gt;</v>
      </c>
    </row>
    <row r="233" spans="1:12" x14ac:dyDescent="0.2">
      <c r="A233" t="s">
        <v>433</v>
      </c>
      <c r="B233" s="27">
        <v>1</v>
      </c>
      <c r="C233" t="s">
        <v>27</v>
      </c>
      <c r="L233" t="s">
        <v>435</v>
      </c>
    </row>
    <row r="235" spans="1:12" x14ac:dyDescent="0.2">
      <c r="A235" t="s">
        <v>478</v>
      </c>
      <c r="B235" s="27">
        <v>1</v>
      </c>
      <c r="C235" t="s">
        <v>39</v>
      </c>
      <c r="L235" t="s">
        <v>485</v>
      </c>
    </row>
    <row r="236" spans="1:12" x14ac:dyDescent="0.2">
      <c r="A236" t="s">
        <v>478</v>
      </c>
      <c r="B236" s="27">
        <v>1</v>
      </c>
      <c r="C236" t="s">
        <v>105</v>
      </c>
      <c r="E236" t="s">
        <v>483</v>
      </c>
      <c r="F236" t="s">
        <v>484</v>
      </c>
      <c r="G236" t="s">
        <v>1433</v>
      </c>
      <c r="L236" t="str">
        <f t="shared" ref="L236:L242" si="49">_xlfn.TEXTJOIN("", TRUE, D236:K236)</f>
        <v>02_Slots/Datum/01_Jahr/0001_HA.t-sp_01.png</v>
      </c>
    </row>
    <row r="237" spans="1:12" x14ac:dyDescent="0.2">
      <c r="A237" t="s">
        <v>478</v>
      </c>
      <c r="B237" s="27">
        <v>1</v>
      </c>
      <c r="C237" t="s">
        <v>105</v>
      </c>
      <c r="E237" t="s">
        <v>483</v>
      </c>
      <c r="F237" t="s">
        <v>484</v>
      </c>
      <c r="G237" t="s">
        <v>1434</v>
      </c>
      <c r="L237" t="str">
        <f t="shared" si="49"/>
        <v>02_Slots/Datum/01_Jahr/0010_HA.t-sp_02.png</v>
      </c>
    </row>
    <row r="238" spans="1:12" x14ac:dyDescent="0.2">
      <c r="A238" t="s">
        <v>478</v>
      </c>
      <c r="B238" s="27">
        <v>1</v>
      </c>
      <c r="C238" t="s">
        <v>105</v>
      </c>
      <c r="E238" t="s">
        <v>483</v>
      </c>
      <c r="F238" t="s">
        <v>484</v>
      </c>
      <c r="G238" t="s">
        <v>1435</v>
      </c>
      <c r="L238" t="str">
        <f t="shared" si="49"/>
        <v>02_Slots/Datum/01_Jahr/0020_HA.t-sp_03.png</v>
      </c>
    </row>
    <row r="239" spans="1:12" x14ac:dyDescent="0.2">
      <c r="A239" t="s">
        <v>478</v>
      </c>
      <c r="B239" s="27">
        <v>1</v>
      </c>
      <c r="C239" t="s">
        <v>105</v>
      </c>
      <c r="E239" t="s">
        <v>483</v>
      </c>
      <c r="F239" t="s">
        <v>484</v>
      </c>
      <c r="G239" t="s">
        <v>1436</v>
      </c>
      <c r="L239" t="str">
        <f t="shared" si="49"/>
        <v>02_Slots/Datum/01_Jahr/0030_HA.t-sp_04.png</v>
      </c>
    </row>
    <row r="240" spans="1:12" x14ac:dyDescent="0.2">
      <c r="A240" t="s">
        <v>478</v>
      </c>
      <c r="B240" s="27">
        <v>1</v>
      </c>
      <c r="C240" t="s">
        <v>105</v>
      </c>
      <c r="E240" t="s">
        <v>483</v>
      </c>
      <c r="F240" t="s">
        <v>484</v>
      </c>
      <c r="G240" t="s">
        <v>1437</v>
      </c>
      <c r="I240" t="s">
        <v>1147</v>
      </c>
      <c r="J240" t="s">
        <v>1139</v>
      </c>
      <c r="K240" t="s">
        <v>1149</v>
      </c>
      <c r="L240" t="str">
        <f t="shared" si="49"/>
        <v>02_Slots/Datum/01_Jahr/0040_HA.t-sp_Sp_01.png &lt;sup&gt;(Spät.)&lt;/sup&gt;</v>
      </c>
    </row>
    <row r="241" spans="1:12" x14ac:dyDescent="0.2">
      <c r="A241" t="s">
        <v>478</v>
      </c>
      <c r="B241" s="27">
        <v>1</v>
      </c>
      <c r="C241" t="s">
        <v>105</v>
      </c>
      <c r="E241" t="s">
        <v>483</v>
      </c>
      <c r="F241" t="s">
        <v>484</v>
      </c>
      <c r="G241" t="s">
        <v>1438</v>
      </c>
      <c r="I241" t="s">
        <v>1147</v>
      </c>
      <c r="J241" t="s">
        <v>1139</v>
      </c>
      <c r="K241" t="s">
        <v>1149</v>
      </c>
      <c r="L241" t="str">
        <f t="shared" si="49"/>
        <v>02_Slots/Datum/01_Jahr/0050_HA.t-sp_Sp_02.png &lt;sup&gt;(Spät.)&lt;/sup&gt;</v>
      </c>
    </row>
    <row r="242" spans="1:12" x14ac:dyDescent="0.2">
      <c r="A242" t="s">
        <v>478</v>
      </c>
      <c r="B242" s="27">
        <v>1</v>
      </c>
      <c r="C242" t="s">
        <v>105</v>
      </c>
      <c r="E242" t="s">
        <v>483</v>
      </c>
      <c r="F242" t="s">
        <v>484</v>
      </c>
      <c r="G242" t="s">
        <v>1439</v>
      </c>
      <c r="I242" t="s">
        <v>1147</v>
      </c>
      <c r="J242" t="s">
        <v>1139</v>
      </c>
      <c r="K242" t="s">
        <v>1149</v>
      </c>
      <c r="L242" t="str">
        <f t="shared" si="49"/>
        <v>02_Slots/Datum/01_Jahr/0060_HA.t-sp_Sp_03.png &lt;sup&gt;(Spät.)&lt;/sup&gt;</v>
      </c>
    </row>
    <row r="243" spans="1:12" x14ac:dyDescent="0.2">
      <c r="A243" t="s">
        <v>478</v>
      </c>
      <c r="B243" s="27">
        <v>1</v>
      </c>
      <c r="C243" t="s">
        <v>27</v>
      </c>
      <c r="L243" t="s">
        <v>486</v>
      </c>
    </row>
    <row r="245" spans="1:12" x14ac:dyDescent="0.2">
      <c r="A245" t="s">
        <v>480</v>
      </c>
      <c r="B245" s="27">
        <v>1</v>
      </c>
      <c r="C245" t="s">
        <v>39</v>
      </c>
      <c r="L245" t="s">
        <v>491</v>
      </c>
    </row>
    <row r="246" spans="1:12" x14ac:dyDescent="0.2">
      <c r="A246" t="s">
        <v>480</v>
      </c>
      <c r="B246" s="27">
        <v>1</v>
      </c>
      <c r="C246" t="s">
        <v>105</v>
      </c>
      <c r="E246" t="s">
        <v>483</v>
      </c>
      <c r="F246" t="s">
        <v>487</v>
      </c>
      <c r="G246" t="s">
        <v>488</v>
      </c>
      <c r="H246" t="s">
        <v>112</v>
      </c>
      <c r="L246" t="str">
        <f t="shared" ref="L246" si="50">_xlfn.TEXTJOIN("", TRUE, D246:J246)</f>
        <v>02_Slots/Datum/02_Monat/0001_Abd-1_01.png</v>
      </c>
    </row>
    <row r="247" spans="1:12" x14ac:dyDescent="0.2">
      <c r="A247" t="s">
        <v>480</v>
      </c>
      <c r="B247" s="27">
        <v>1</v>
      </c>
      <c r="C247" t="s">
        <v>27</v>
      </c>
      <c r="L247" t="s">
        <v>490</v>
      </c>
    </row>
    <row r="248" spans="1:12" x14ac:dyDescent="0.2">
      <c r="A248" t="s">
        <v>480</v>
      </c>
      <c r="B248" s="27">
        <v>2</v>
      </c>
      <c r="C248" t="s">
        <v>39</v>
      </c>
      <c r="L248" t="s">
        <v>1059</v>
      </c>
    </row>
    <row r="249" spans="1:12" x14ac:dyDescent="0.2">
      <c r="A249" t="s">
        <v>480</v>
      </c>
      <c r="B249" s="27">
        <v>2</v>
      </c>
      <c r="C249" t="s">
        <v>105</v>
      </c>
      <c r="E249" t="s">
        <v>483</v>
      </c>
      <c r="F249" t="s">
        <v>487</v>
      </c>
      <c r="G249" t="s">
        <v>489</v>
      </c>
      <c r="H249" t="s">
        <v>112</v>
      </c>
      <c r="L249" t="str">
        <f t="shared" ref="L249" si="51">_xlfn.TEXTJOIN("", TRUE, D249:J249)</f>
        <v>02_Slots/Datum/02_Monat/0010_tpy_01.png</v>
      </c>
    </row>
    <row r="250" spans="1:12" x14ac:dyDescent="0.2">
      <c r="A250" t="s">
        <v>480</v>
      </c>
      <c r="B250" s="27">
        <v>2</v>
      </c>
      <c r="C250" t="s">
        <v>27</v>
      </c>
      <c r="L250" t="s">
        <v>490</v>
      </c>
    </row>
    <row r="251" spans="1:12" x14ac:dyDescent="0.2">
      <c r="A251" t="s">
        <v>480</v>
      </c>
      <c r="B251" s="27">
        <v>3</v>
      </c>
      <c r="C251" t="s">
        <v>39</v>
      </c>
      <c r="L251" t="s">
        <v>1061</v>
      </c>
    </row>
    <row r="252" spans="1:12" x14ac:dyDescent="0.2">
      <c r="A252" t="s">
        <v>480</v>
      </c>
      <c r="B252" s="27">
        <v>3</v>
      </c>
      <c r="C252" t="s">
        <v>105</v>
      </c>
      <c r="E252" t="s">
        <v>483</v>
      </c>
      <c r="F252" t="s">
        <v>487</v>
      </c>
      <c r="G252" t="s">
        <v>1063</v>
      </c>
      <c r="H252" t="s">
        <v>112</v>
      </c>
      <c r="L252" t="str">
        <f t="shared" ref="L252:L253" si="52">_xlfn.TEXTJOIN("", TRUE, D252:J252)</f>
        <v>02_Slots/Datum/02_Monat/0020_Abd-2_01.png</v>
      </c>
    </row>
    <row r="253" spans="1:12" x14ac:dyDescent="0.2">
      <c r="A253" t="s">
        <v>480</v>
      </c>
      <c r="B253" s="27">
        <v>3</v>
      </c>
      <c r="C253" t="s">
        <v>105</v>
      </c>
      <c r="E253" t="s">
        <v>483</v>
      </c>
      <c r="F253" t="s">
        <v>487</v>
      </c>
      <c r="G253" t="s">
        <v>1064</v>
      </c>
      <c r="H253" t="s">
        <v>112</v>
      </c>
      <c r="L253" t="str">
        <f t="shared" si="52"/>
        <v>02_Slots/Datum/02_Monat/0030_Abd-2_02.png</v>
      </c>
    </row>
    <row r="254" spans="1:12" x14ac:dyDescent="0.2">
      <c r="A254" t="s">
        <v>480</v>
      </c>
      <c r="B254" s="27">
        <v>3</v>
      </c>
      <c r="C254" t="s">
        <v>105</v>
      </c>
      <c r="E254" t="s">
        <v>483</v>
      </c>
      <c r="F254" t="s">
        <v>487</v>
      </c>
      <c r="G254" t="s">
        <v>1072</v>
      </c>
      <c r="H254" t="s">
        <v>112</v>
      </c>
      <c r="L254" t="str">
        <f t="shared" ref="L254" si="53">_xlfn.TEXTJOIN("", TRUE, D254:J254)</f>
        <v>02_Slots/Datum/02_Monat/0035_Abd-2_03.png</v>
      </c>
    </row>
    <row r="255" spans="1:12" x14ac:dyDescent="0.2">
      <c r="A255" t="s">
        <v>480</v>
      </c>
      <c r="B255" s="27">
        <v>3</v>
      </c>
      <c r="C255" t="s">
        <v>27</v>
      </c>
      <c r="L255" t="s">
        <v>1070</v>
      </c>
    </row>
    <row r="256" spans="1:12" x14ac:dyDescent="0.2">
      <c r="A256" t="s">
        <v>480</v>
      </c>
      <c r="B256" s="27">
        <v>4</v>
      </c>
      <c r="C256" t="s">
        <v>39</v>
      </c>
      <c r="L256" t="s">
        <v>1062</v>
      </c>
    </row>
    <row r="257" spans="1:12" x14ac:dyDescent="0.2">
      <c r="A257" t="s">
        <v>480</v>
      </c>
      <c r="B257" s="27">
        <v>4</v>
      </c>
      <c r="C257" t="s">
        <v>105</v>
      </c>
      <c r="E257" t="s">
        <v>483</v>
      </c>
      <c r="F257" t="s">
        <v>487</v>
      </c>
      <c r="G257" t="s">
        <v>1065</v>
      </c>
      <c r="H257" t="s">
        <v>112</v>
      </c>
      <c r="L257" t="str">
        <f t="shared" ref="L257" si="54">_xlfn.TEXTJOIN("", TRUE, D257:J257)</f>
        <v>02_Slots/Datum/02_Monat/0040_Abd-3_01.png</v>
      </c>
    </row>
    <row r="258" spans="1:12" x14ac:dyDescent="0.2">
      <c r="A258" t="s">
        <v>480</v>
      </c>
      <c r="B258" s="27">
        <v>4</v>
      </c>
      <c r="C258" t="s">
        <v>105</v>
      </c>
      <c r="E258" t="s">
        <v>483</v>
      </c>
      <c r="F258" t="s">
        <v>487</v>
      </c>
      <c r="G258" t="s">
        <v>1066</v>
      </c>
      <c r="H258" t="s">
        <v>112</v>
      </c>
      <c r="L258" t="str">
        <f t="shared" ref="L258" si="55">_xlfn.TEXTJOIN("", TRUE, D258:J258)</f>
        <v>02_Slots/Datum/02_Monat/0050_Abd-3_02.png</v>
      </c>
    </row>
    <row r="259" spans="1:12" x14ac:dyDescent="0.2">
      <c r="A259" t="s">
        <v>480</v>
      </c>
      <c r="B259" s="27">
        <v>4</v>
      </c>
      <c r="C259" t="s">
        <v>27</v>
      </c>
      <c r="L259" t="s">
        <v>1071</v>
      </c>
    </row>
    <row r="260" spans="1:12" x14ac:dyDescent="0.2">
      <c r="A260" t="s">
        <v>480</v>
      </c>
      <c r="B260" s="27">
        <v>5</v>
      </c>
      <c r="C260" t="s">
        <v>39</v>
      </c>
      <c r="L260" t="s">
        <v>493</v>
      </c>
    </row>
    <row r="261" spans="1:12" x14ac:dyDescent="0.2">
      <c r="A261" t="s">
        <v>480</v>
      </c>
      <c r="B261" s="27">
        <v>5</v>
      </c>
      <c r="C261" t="s">
        <v>105</v>
      </c>
      <c r="E261" t="s">
        <v>483</v>
      </c>
      <c r="F261" t="s">
        <v>487</v>
      </c>
      <c r="G261" t="s">
        <v>1067</v>
      </c>
      <c r="H261" t="s">
        <v>112</v>
      </c>
      <c r="L261" t="str">
        <f t="shared" ref="L261" si="56">_xlfn.TEXTJOIN("", TRUE, D261:J261)</f>
        <v>02_Slots/Datum/02_Monat/0060_Abd-4_01.png</v>
      </c>
    </row>
    <row r="262" spans="1:12" x14ac:dyDescent="0.2">
      <c r="A262" t="s">
        <v>480</v>
      </c>
      <c r="B262" s="27">
        <v>5</v>
      </c>
      <c r="C262" t="s">
        <v>105</v>
      </c>
      <c r="E262" t="s">
        <v>483</v>
      </c>
      <c r="F262" t="s">
        <v>487</v>
      </c>
      <c r="G262" t="s">
        <v>1069</v>
      </c>
      <c r="H262" t="s">
        <v>112</v>
      </c>
      <c r="L262" t="str">
        <f t="shared" ref="L262" si="57">_xlfn.TEXTJOIN("", TRUE, D262:J262)</f>
        <v>02_Slots/Datum/02_Monat/0070_Abd-4_02.png</v>
      </c>
    </row>
    <row r="263" spans="1:12" x14ac:dyDescent="0.2">
      <c r="A263" t="s">
        <v>480</v>
      </c>
      <c r="B263" s="27">
        <v>5</v>
      </c>
      <c r="C263" t="s">
        <v>27</v>
      </c>
      <c r="L263" t="s">
        <v>492</v>
      </c>
    </row>
    <row r="265" spans="1:12" x14ac:dyDescent="0.2">
      <c r="A265" t="s">
        <v>481</v>
      </c>
      <c r="B265" s="27">
        <v>1</v>
      </c>
      <c r="C265" t="s">
        <v>39</v>
      </c>
      <c r="L265" t="s">
        <v>494</v>
      </c>
    </row>
    <row r="266" spans="1:12" x14ac:dyDescent="0.2">
      <c r="A266" t="s">
        <v>481</v>
      </c>
      <c r="B266" s="27">
        <v>1</v>
      </c>
      <c r="C266" t="s">
        <v>105</v>
      </c>
      <c r="E266" t="s">
        <v>483</v>
      </c>
      <c r="F266" t="s">
        <v>1440</v>
      </c>
      <c r="G266" t="s">
        <v>1443</v>
      </c>
      <c r="L266" t="str">
        <f t="shared" ref="L266:L270" si="58">_xlfn.TEXTJOIN("", TRUE, D266:K266)</f>
        <v>02_Slots/Datum/03_Jahreszeiten/01_Ax.t/0001_Ax.t_01.png</v>
      </c>
    </row>
    <row r="267" spans="1:12" x14ac:dyDescent="0.2">
      <c r="A267" t="s">
        <v>481</v>
      </c>
      <c r="B267" s="27">
        <v>1</v>
      </c>
      <c r="C267" t="s">
        <v>105</v>
      </c>
      <c r="E267" t="s">
        <v>483</v>
      </c>
      <c r="F267" t="s">
        <v>1440</v>
      </c>
      <c r="G267" t="s">
        <v>1444</v>
      </c>
      <c r="L267" t="str">
        <f t="shared" si="58"/>
        <v>02_Slots/Datum/03_Jahreszeiten/01_Ax.t/0010_Ax.t_02.png</v>
      </c>
    </row>
    <row r="268" spans="1:12" x14ac:dyDescent="0.2">
      <c r="A268" t="s">
        <v>481</v>
      </c>
      <c r="B268" s="27">
        <v>1</v>
      </c>
      <c r="C268" t="s">
        <v>105</v>
      </c>
      <c r="E268" t="s">
        <v>483</v>
      </c>
      <c r="F268" t="s">
        <v>1440</v>
      </c>
      <c r="G268" t="s">
        <v>1445</v>
      </c>
      <c r="L268" t="str">
        <f t="shared" si="58"/>
        <v>02_Slots/Datum/03_Jahreszeiten/01_Ax.t/0020_Ax.t_03.png</v>
      </c>
    </row>
    <row r="269" spans="1:12" x14ac:dyDescent="0.2">
      <c r="A269" t="s">
        <v>481</v>
      </c>
      <c r="B269" s="27">
        <v>1</v>
      </c>
      <c r="C269" t="s">
        <v>105</v>
      </c>
      <c r="E269" t="s">
        <v>483</v>
      </c>
      <c r="F269" t="s">
        <v>1440</v>
      </c>
      <c r="G269" t="s">
        <v>1446</v>
      </c>
      <c r="L269" t="str">
        <f t="shared" si="58"/>
        <v>02_Slots/Datum/03_Jahreszeiten/01_Ax.t/0030_Ax.t_04.png</v>
      </c>
    </row>
    <row r="270" spans="1:12" x14ac:dyDescent="0.2">
      <c r="A270" t="s">
        <v>481</v>
      </c>
      <c r="B270" s="27">
        <v>1</v>
      </c>
      <c r="C270" t="s">
        <v>105</v>
      </c>
      <c r="E270" t="s">
        <v>483</v>
      </c>
      <c r="F270" t="s">
        <v>1440</v>
      </c>
      <c r="G270" t="s">
        <v>1447</v>
      </c>
      <c r="I270" t="s">
        <v>1147</v>
      </c>
      <c r="J270" t="s">
        <v>1103</v>
      </c>
      <c r="K270" t="s">
        <v>1149</v>
      </c>
      <c r="L270" t="str">
        <f t="shared" si="58"/>
        <v>02_Slots/Datum/03_Jahreszeiten/01_Ax.t/0040_Ax.t_NR_01.png &lt;sup&gt;(NR)&lt;/sup&gt;</v>
      </c>
    </row>
    <row r="271" spans="1:12" x14ac:dyDescent="0.2">
      <c r="A271" t="s">
        <v>481</v>
      </c>
      <c r="B271" s="27">
        <v>1</v>
      </c>
      <c r="C271" t="s">
        <v>27</v>
      </c>
      <c r="L271" t="s">
        <v>495</v>
      </c>
    </row>
    <row r="272" spans="1:12" x14ac:dyDescent="0.2">
      <c r="A272" t="s">
        <v>481</v>
      </c>
      <c r="B272" s="27">
        <v>2</v>
      </c>
      <c r="C272" t="s">
        <v>39</v>
      </c>
      <c r="L272" t="s">
        <v>496</v>
      </c>
    </row>
    <row r="273" spans="1:12" x14ac:dyDescent="0.2">
      <c r="A273" t="s">
        <v>481</v>
      </c>
      <c r="B273" s="27">
        <v>2</v>
      </c>
      <c r="C273" t="s">
        <v>105</v>
      </c>
      <c r="E273" t="s">
        <v>483</v>
      </c>
      <c r="F273" t="s">
        <v>1441</v>
      </c>
      <c r="G273" t="s">
        <v>1448</v>
      </c>
      <c r="L273" t="str">
        <f t="shared" ref="L273:L278" si="59">_xlfn.TEXTJOIN("", TRUE, D273:K273)</f>
        <v>02_Slots/Datum/03_Jahreszeiten/02_pr.t/0001_pr.t_01.png</v>
      </c>
    </row>
    <row r="274" spans="1:12" x14ac:dyDescent="0.2">
      <c r="A274" t="s">
        <v>481</v>
      </c>
      <c r="B274" s="27">
        <v>2</v>
      </c>
      <c r="C274" t="s">
        <v>105</v>
      </c>
      <c r="E274" t="s">
        <v>483</v>
      </c>
      <c r="F274" t="s">
        <v>1441</v>
      </c>
      <c r="G274" t="s">
        <v>1449</v>
      </c>
      <c r="L274" t="str">
        <f t="shared" si="59"/>
        <v>02_Slots/Datum/03_Jahreszeiten/02_pr.t/0010_pr.t_02.png</v>
      </c>
    </row>
    <row r="275" spans="1:12" x14ac:dyDescent="0.2">
      <c r="A275" t="s">
        <v>481</v>
      </c>
      <c r="B275" s="27">
        <v>2</v>
      </c>
      <c r="C275" t="s">
        <v>105</v>
      </c>
      <c r="E275" t="s">
        <v>483</v>
      </c>
      <c r="F275" t="s">
        <v>1441</v>
      </c>
      <c r="G275" t="s">
        <v>1450</v>
      </c>
      <c r="I275" t="s">
        <v>1147</v>
      </c>
      <c r="J275" t="s">
        <v>1148</v>
      </c>
      <c r="K275" t="s">
        <v>1149</v>
      </c>
      <c r="L275" t="str">
        <f t="shared" si="59"/>
        <v>02_Slots/Datum/03_Jahreszeiten/02_pr.t/0020_pr.t_AR_01.png &lt;sup&gt;(AR)&lt;/sup&gt;</v>
      </c>
    </row>
    <row r="276" spans="1:12" x14ac:dyDescent="0.2">
      <c r="A276" t="s">
        <v>481</v>
      </c>
      <c r="B276" s="27">
        <v>2</v>
      </c>
      <c r="C276" t="s">
        <v>105</v>
      </c>
      <c r="E276" t="s">
        <v>483</v>
      </c>
      <c r="F276" t="s">
        <v>1441</v>
      </c>
      <c r="G276" t="s">
        <v>1451</v>
      </c>
      <c r="I276" t="s">
        <v>1147</v>
      </c>
      <c r="J276" t="s">
        <v>1151</v>
      </c>
      <c r="K276" t="s">
        <v>1149</v>
      </c>
      <c r="L276" t="str">
        <f t="shared" si="59"/>
        <v>02_Slots/Datum/03_Jahreszeiten/02_pr.t/0030_pr.t_MR_01.png &lt;sup&gt;(MR)&lt;/sup&gt;</v>
      </c>
    </row>
    <row r="277" spans="1:12" x14ac:dyDescent="0.2">
      <c r="A277" t="s">
        <v>481</v>
      </c>
      <c r="B277" s="27">
        <v>2</v>
      </c>
      <c r="C277" t="s">
        <v>105</v>
      </c>
      <c r="E277" t="s">
        <v>483</v>
      </c>
      <c r="F277" t="s">
        <v>1441</v>
      </c>
      <c r="G277" t="s">
        <v>1452</v>
      </c>
      <c r="I277" t="s">
        <v>1147</v>
      </c>
      <c r="J277" t="s">
        <v>1156</v>
      </c>
      <c r="K277" t="s">
        <v>1149</v>
      </c>
      <c r="L277" t="str">
        <f t="shared" si="59"/>
        <v>02_Slots/Datum/03_Jahreszeiten/02_pr.t/0040_pr.t_Sp_01.png &lt;sup&gt;(Sp.)&lt;/sup&gt;</v>
      </c>
    </row>
    <row r="278" spans="1:12" x14ac:dyDescent="0.2">
      <c r="A278" t="s">
        <v>481</v>
      </c>
      <c r="B278" s="27">
        <v>2</v>
      </c>
      <c r="C278" t="s">
        <v>105</v>
      </c>
      <c r="E278" t="s">
        <v>483</v>
      </c>
      <c r="F278" t="s">
        <v>1441</v>
      </c>
      <c r="G278" t="s">
        <v>1453</v>
      </c>
      <c r="I278" t="s">
        <v>1147</v>
      </c>
      <c r="J278" t="s">
        <v>1150</v>
      </c>
      <c r="K278" t="s">
        <v>1149</v>
      </c>
      <c r="L278" t="str">
        <f t="shared" si="59"/>
        <v>02_Slots/Datum/03_Jahreszeiten/02_pr.t/0050_pr.t_Gr_01.png &lt;sup&gt;(Gr.)&lt;/sup&gt;</v>
      </c>
    </row>
    <row r="279" spans="1:12" x14ac:dyDescent="0.2">
      <c r="A279" t="s">
        <v>481</v>
      </c>
      <c r="B279" s="27">
        <v>2</v>
      </c>
      <c r="C279" t="s">
        <v>27</v>
      </c>
      <c r="L279" t="s">
        <v>497</v>
      </c>
    </row>
    <row r="280" spans="1:12" x14ac:dyDescent="0.2">
      <c r="A280" t="s">
        <v>481</v>
      </c>
      <c r="B280" s="27">
        <v>3</v>
      </c>
      <c r="C280" t="s">
        <v>39</v>
      </c>
      <c r="L280" t="s">
        <v>499</v>
      </c>
    </row>
    <row r="281" spans="1:12" x14ac:dyDescent="0.2">
      <c r="A281" t="s">
        <v>481</v>
      </c>
      <c r="B281" s="27">
        <v>3</v>
      </c>
      <c r="C281" t="s">
        <v>105</v>
      </c>
      <c r="E281" t="s">
        <v>483</v>
      </c>
      <c r="F281" t="s">
        <v>1442</v>
      </c>
      <c r="G281" t="s">
        <v>1454</v>
      </c>
      <c r="L281" t="str">
        <f t="shared" ref="L281:L290" si="60">_xlfn.TEXTJOIN("", TRUE, D281:K281)</f>
        <v>02_Slots/Datum/03_Jahreszeiten/03_Smw/0001_Smw_01.png</v>
      </c>
    </row>
    <row r="282" spans="1:12" x14ac:dyDescent="0.2">
      <c r="A282" t="s">
        <v>481</v>
      </c>
      <c r="B282" s="27">
        <v>3</v>
      </c>
      <c r="C282" t="s">
        <v>105</v>
      </c>
      <c r="E282" t="s">
        <v>483</v>
      </c>
      <c r="F282" t="s">
        <v>1442</v>
      </c>
      <c r="G282" t="s">
        <v>1455</v>
      </c>
      <c r="L282" t="str">
        <f t="shared" si="60"/>
        <v>02_Slots/Datum/03_Jahreszeiten/03_Smw/0010_Smw_02.png</v>
      </c>
    </row>
    <row r="283" spans="1:12" x14ac:dyDescent="0.2">
      <c r="A283" t="s">
        <v>481</v>
      </c>
      <c r="B283" s="27">
        <v>3</v>
      </c>
      <c r="C283" t="s">
        <v>105</v>
      </c>
      <c r="E283" t="s">
        <v>483</v>
      </c>
      <c r="F283" t="s">
        <v>1442</v>
      </c>
      <c r="G283" t="s">
        <v>1456</v>
      </c>
      <c r="L283" t="str">
        <f t="shared" si="60"/>
        <v>02_Slots/Datum/03_Jahreszeiten/03_Smw/0020_Smw_03.png</v>
      </c>
    </row>
    <row r="284" spans="1:12" x14ac:dyDescent="0.2">
      <c r="A284" t="s">
        <v>481</v>
      </c>
      <c r="B284" s="27">
        <v>3</v>
      </c>
      <c r="C284" t="s">
        <v>105</v>
      </c>
      <c r="E284" t="s">
        <v>483</v>
      </c>
      <c r="F284" t="s">
        <v>1442</v>
      </c>
      <c r="G284" t="s">
        <v>1457</v>
      </c>
      <c r="I284" t="s">
        <v>1147</v>
      </c>
      <c r="J284" t="s">
        <v>1464</v>
      </c>
      <c r="K284" t="s">
        <v>1149</v>
      </c>
      <c r="L284" t="str">
        <f t="shared" si="60"/>
        <v>02_Slots/Datum/03_Jahreszeiten/03_Smw/0030_Smw_D.20_01.png &lt;sup&gt;(D.20)&lt;/sup&gt;</v>
      </c>
    </row>
    <row r="285" spans="1:12" x14ac:dyDescent="0.2">
      <c r="A285" t="s">
        <v>481</v>
      </c>
      <c r="B285" s="27">
        <v>3</v>
      </c>
      <c r="C285" t="s">
        <v>105</v>
      </c>
      <c r="E285" t="s">
        <v>483</v>
      </c>
      <c r="F285" t="s">
        <v>1442</v>
      </c>
      <c r="G285" t="s">
        <v>1458</v>
      </c>
      <c r="I285" t="s">
        <v>1147</v>
      </c>
      <c r="J285" t="s">
        <v>1465</v>
      </c>
      <c r="K285" t="s">
        <v>1149</v>
      </c>
      <c r="L285" t="str">
        <f t="shared" si="60"/>
        <v>02_Slots/Datum/03_Jahreszeiten/03_Smw/0040_Smw_Sp_Gr_Abk_01.png &lt;sup&gt;(Sp.–Gr.; Abk.)&lt;/sup&gt;</v>
      </c>
    </row>
    <row r="286" spans="1:12" x14ac:dyDescent="0.2">
      <c r="A286" t="s">
        <v>481</v>
      </c>
      <c r="B286" s="27">
        <v>3</v>
      </c>
      <c r="C286" t="s">
        <v>105</v>
      </c>
      <c r="E286" t="s">
        <v>483</v>
      </c>
      <c r="F286" t="s">
        <v>1442</v>
      </c>
      <c r="G286" t="s">
        <v>1459</v>
      </c>
      <c r="I286" t="s">
        <v>1147</v>
      </c>
      <c r="J286" t="s">
        <v>1465</v>
      </c>
      <c r="K286" t="s">
        <v>1149</v>
      </c>
      <c r="L286" t="str">
        <f t="shared" si="60"/>
        <v>02_Slots/Datum/03_Jahreszeiten/03_Smw/0050_Smw_Sp_Gr_Abk_02.png &lt;sup&gt;(Sp.–Gr.; Abk.)&lt;/sup&gt;</v>
      </c>
    </row>
    <row r="287" spans="1:12" x14ac:dyDescent="0.2">
      <c r="A287" t="s">
        <v>481</v>
      </c>
      <c r="B287" s="27">
        <v>3</v>
      </c>
      <c r="C287" t="s">
        <v>105</v>
      </c>
      <c r="E287" t="s">
        <v>483</v>
      </c>
      <c r="F287" t="s">
        <v>1442</v>
      </c>
      <c r="G287" t="s">
        <v>1460</v>
      </c>
      <c r="I287" t="s">
        <v>1147</v>
      </c>
      <c r="J287" t="s">
        <v>1465</v>
      </c>
      <c r="K287" t="s">
        <v>1149</v>
      </c>
      <c r="L287" t="str">
        <f t="shared" si="60"/>
        <v>02_Slots/Datum/03_Jahreszeiten/03_Smw/0060_Smw_Sp_Gr_Abk_03.png &lt;sup&gt;(Sp.–Gr.; Abk.)&lt;/sup&gt;</v>
      </c>
    </row>
    <row r="288" spans="1:12" x14ac:dyDescent="0.2">
      <c r="A288" t="s">
        <v>481</v>
      </c>
      <c r="B288" s="27">
        <v>3</v>
      </c>
      <c r="C288" t="s">
        <v>105</v>
      </c>
      <c r="E288" t="s">
        <v>483</v>
      </c>
      <c r="F288" t="s">
        <v>1442</v>
      </c>
      <c r="G288" t="s">
        <v>1461</v>
      </c>
      <c r="I288" t="s">
        <v>1147</v>
      </c>
      <c r="J288" t="s">
        <v>1150</v>
      </c>
      <c r="K288" t="s">
        <v>1149</v>
      </c>
      <c r="L288" t="str">
        <f t="shared" si="60"/>
        <v>02_Slots/Datum/03_Jahreszeiten/03_Smw/0070_Smw_Gr_01.png &lt;sup&gt;(Gr.)&lt;/sup&gt;</v>
      </c>
    </row>
    <row r="289" spans="1:12" x14ac:dyDescent="0.2">
      <c r="A289" t="s">
        <v>481</v>
      </c>
      <c r="B289" s="27">
        <v>3</v>
      </c>
      <c r="C289" t="s">
        <v>105</v>
      </c>
      <c r="E289" t="s">
        <v>483</v>
      </c>
      <c r="F289" t="s">
        <v>1442</v>
      </c>
      <c r="G289" t="s">
        <v>1462</v>
      </c>
      <c r="I289" t="s">
        <v>1147</v>
      </c>
      <c r="J289" t="s">
        <v>1150</v>
      </c>
      <c r="K289" t="s">
        <v>1149</v>
      </c>
      <c r="L289" t="str">
        <f t="shared" si="60"/>
        <v>02_Slots/Datum/03_Jahreszeiten/03_Smw/0080_Smw_Gr_02.png &lt;sup&gt;(Gr.)&lt;/sup&gt;</v>
      </c>
    </row>
    <row r="290" spans="1:12" x14ac:dyDescent="0.2">
      <c r="A290" t="s">
        <v>481</v>
      </c>
      <c r="B290" s="27">
        <v>3</v>
      </c>
      <c r="C290" t="s">
        <v>105</v>
      </c>
      <c r="E290" t="s">
        <v>483</v>
      </c>
      <c r="F290" t="s">
        <v>1442</v>
      </c>
      <c r="G290" t="s">
        <v>1463</v>
      </c>
      <c r="I290" t="s">
        <v>1147</v>
      </c>
      <c r="J290" t="s">
        <v>1150</v>
      </c>
      <c r="K290" t="s">
        <v>1149</v>
      </c>
      <c r="L290" t="str">
        <f t="shared" si="60"/>
        <v>02_Slots/Datum/03_Jahreszeiten/03_Smw/0090_Smw_Gr_03.png &lt;sup&gt;(Gr.)&lt;/sup&gt;</v>
      </c>
    </row>
    <row r="291" spans="1:12" x14ac:dyDescent="0.2">
      <c r="A291" t="s">
        <v>481</v>
      </c>
      <c r="B291" s="27">
        <v>3</v>
      </c>
      <c r="C291" t="s">
        <v>27</v>
      </c>
      <c r="L291" t="s">
        <v>498</v>
      </c>
    </row>
    <row r="293" spans="1:12" x14ac:dyDescent="0.2">
      <c r="A293" t="s">
        <v>482</v>
      </c>
      <c r="B293" s="27">
        <v>1</v>
      </c>
      <c r="C293" t="s">
        <v>39</v>
      </c>
      <c r="L293" t="s">
        <v>500</v>
      </c>
    </row>
    <row r="294" spans="1:12" x14ac:dyDescent="0.2">
      <c r="A294" t="s">
        <v>482</v>
      </c>
      <c r="B294" s="27">
        <v>1</v>
      </c>
      <c r="C294" t="s">
        <v>105</v>
      </c>
      <c r="E294" t="s">
        <v>483</v>
      </c>
      <c r="F294" t="s">
        <v>1042</v>
      </c>
      <c r="G294" t="s">
        <v>1469</v>
      </c>
      <c r="L294" t="str">
        <f t="shared" ref="L294:L300" si="61">_xlfn.TEXTJOIN("", TRUE, D294:K294)</f>
        <v>02_Slots/Datum/04_Tag/0001_sw_01.png</v>
      </c>
    </row>
    <row r="295" spans="1:12" x14ac:dyDescent="0.2">
      <c r="A295" t="s">
        <v>482</v>
      </c>
      <c r="B295" s="27">
        <v>1</v>
      </c>
      <c r="C295" t="s">
        <v>105</v>
      </c>
      <c r="E295" t="s">
        <v>483</v>
      </c>
      <c r="F295" t="s">
        <v>1042</v>
      </c>
      <c r="G295" t="s">
        <v>1470</v>
      </c>
      <c r="L295" t="str">
        <f t="shared" si="61"/>
        <v>02_Slots/Datum/04_Tag/0010_sw_02.png</v>
      </c>
    </row>
    <row r="296" spans="1:12" x14ac:dyDescent="0.2">
      <c r="A296" t="s">
        <v>482</v>
      </c>
      <c r="B296" s="27">
        <v>1</v>
      </c>
      <c r="C296" t="s">
        <v>105</v>
      </c>
      <c r="E296" t="s">
        <v>483</v>
      </c>
      <c r="F296" t="s">
        <v>1042</v>
      </c>
      <c r="G296" t="s">
        <v>1471</v>
      </c>
      <c r="I296" t="s">
        <v>1147</v>
      </c>
      <c r="J296" t="s">
        <v>1151</v>
      </c>
      <c r="K296" t="s">
        <v>1149</v>
      </c>
      <c r="L296" t="str">
        <f t="shared" si="61"/>
        <v>02_Slots/Datum/04_Tag/0020_sw_MR_01.png &lt;sup&gt;(MR)&lt;/sup&gt;</v>
      </c>
    </row>
    <row r="297" spans="1:12" x14ac:dyDescent="0.2">
      <c r="A297" t="s">
        <v>482</v>
      </c>
      <c r="B297" s="27">
        <v>1</v>
      </c>
      <c r="C297" t="s">
        <v>105</v>
      </c>
      <c r="E297" t="s">
        <v>483</v>
      </c>
      <c r="F297" t="s">
        <v>1042</v>
      </c>
      <c r="G297" t="s">
        <v>1472</v>
      </c>
      <c r="I297" t="s">
        <v>1147</v>
      </c>
      <c r="J297" t="s">
        <v>1103</v>
      </c>
      <c r="K297" t="s">
        <v>1149</v>
      </c>
      <c r="L297" t="str">
        <f t="shared" si="61"/>
        <v>02_Slots/Datum/04_Tag/0030_sw_NR_01.png &lt;sup&gt;(NR)&lt;/sup&gt;</v>
      </c>
    </row>
    <row r="298" spans="1:12" x14ac:dyDescent="0.2">
      <c r="A298" t="s">
        <v>482</v>
      </c>
      <c r="B298" s="27">
        <v>1</v>
      </c>
      <c r="C298" t="s">
        <v>105</v>
      </c>
      <c r="E298" t="s">
        <v>483</v>
      </c>
      <c r="F298" t="s">
        <v>1042</v>
      </c>
      <c r="G298" t="s">
        <v>1473</v>
      </c>
      <c r="I298" t="s">
        <v>1147</v>
      </c>
      <c r="J298" t="s">
        <v>1156</v>
      </c>
      <c r="K298" t="s">
        <v>1149</v>
      </c>
      <c r="L298" t="str">
        <f t="shared" si="61"/>
        <v>02_Slots/Datum/04_Tag/0040_sw_Sp_01.png &lt;sup&gt;(Sp.)&lt;/sup&gt;</v>
      </c>
    </row>
    <row r="299" spans="1:12" x14ac:dyDescent="0.2">
      <c r="A299" t="s">
        <v>482</v>
      </c>
      <c r="B299" s="27">
        <v>1</v>
      </c>
      <c r="C299" t="s">
        <v>105</v>
      </c>
      <c r="E299" t="s">
        <v>483</v>
      </c>
      <c r="F299" t="s">
        <v>1042</v>
      </c>
      <c r="G299" t="s">
        <v>1474</v>
      </c>
      <c r="I299" t="s">
        <v>1147</v>
      </c>
      <c r="J299" t="s">
        <v>1156</v>
      </c>
      <c r="K299" t="s">
        <v>1149</v>
      </c>
      <c r="L299" t="str">
        <f t="shared" si="61"/>
        <v>02_Slots/Datum/04_Tag/0050_sw_Sp_02.png &lt;sup&gt;(Sp.)&lt;/sup&gt;</v>
      </c>
    </row>
    <row r="300" spans="1:12" x14ac:dyDescent="0.2">
      <c r="A300" t="s">
        <v>482</v>
      </c>
      <c r="B300" s="27">
        <v>1</v>
      </c>
      <c r="C300" t="s">
        <v>105</v>
      </c>
      <c r="E300" t="s">
        <v>483</v>
      </c>
      <c r="F300" t="s">
        <v>1042</v>
      </c>
      <c r="G300" t="s">
        <v>1475</v>
      </c>
      <c r="I300" t="s">
        <v>1147</v>
      </c>
      <c r="J300" t="s">
        <v>1156</v>
      </c>
      <c r="K300" t="s">
        <v>1149</v>
      </c>
      <c r="L300" t="str">
        <f t="shared" si="61"/>
        <v>02_Slots/Datum/04_Tag/0060_sw_Sp_03.png &lt;sup&gt;(Sp.)&lt;/sup&gt;</v>
      </c>
    </row>
    <row r="301" spans="1:12" x14ac:dyDescent="0.2">
      <c r="A301" t="s">
        <v>482</v>
      </c>
      <c r="B301" s="27">
        <v>1</v>
      </c>
      <c r="C301" t="s">
        <v>27</v>
      </c>
      <c r="L301" t="s">
        <v>479</v>
      </c>
    </row>
    <row r="302" spans="1:12" x14ac:dyDescent="0.2">
      <c r="A302" t="s">
        <v>482</v>
      </c>
      <c r="B302" s="27">
        <v>2</v>
      </c>
      <c r="C302" t="s">
        <v>39</v>
      </c>
      <c r="L302" t="s">
        <v>1068</v>
      </c>
    </row>
    <row r="303" spans="1:12" x14ac:dyDescent="0.2">
      <c r="A303" t="s">
        <v>482</v>
      </c>
      <c r="B303" s="27">
        <v>2</v>
      </c>
      <c r="C303" t="s">
        <v>105</v>
      </c>
      <c r="E303" t="s">
        <v>483</v>
      </c>
      <c r="F303" t="s">
        <v>1466</v>
      </c>
      <c r="G303" t="s">
        <v>1467</v>
      </c>
      <c r="L303" t="str">
        <f t="shared" ref="L303:L306" si="62">_xlfn.TEXTJOIN("", TRUE, D303:K303)</f>
        <v>02_Slots/Datum/04_Tag/01_sw-arqy/0001_sw-arqy_01.png</v>
      </c>
    </row>
    <row r="304" spans="1:12" x14ac:dyDescent="0.2">
      <c r="A304" t="s">
        <v>482</v>
      </c>
      <c r="B304" s="27">
        <v>2</v>
      </c>
      <c r="C304" t="s">
        <v>105</v>
      </c>
      <c r="E304" t="s">
        <v>483</v>
      </c>
      <c r="F304" t="s">
        <v>1466</v>
      </c>
      <c r="G304" t="s">
        <v>1468</v>
      </c>
      <c r="L304" t="str">
        <f t="shared" si="62"/>
        <v>02_Slots/Datum/04_Tag/01_sw-arqy/0010_sw-arqy_02.png</v>
      </c>
    </row>
    <row r="305" spans="1:12" x14ac:dyDescent="0.2">
      <c r="A305" t="s">
        <v>482</v>
      </c>
      <c r="B305" s="27">
        <v>2</v>
      </c>
      <c r="C305" t="s">
        <v>105</v>
      </c>
      <c r="E305" t="s">
        <v>483</v>
      </c>
      <c r="F305" t="s">
        <v>1466</v>
      </c>
      <c r="G305" t="s">
        <v>1476</v>
      </c>
      <c r="I305" t="s">
        <v>1147</v>
      </c>
      <c r="J305" t="s">
        <v>1103</v>
      </c>
      <c r="K305" t="s">
        <v>1149</v>
      </c>
      <c r="L305" t="str">
        <f t="shared" si="62"/>
        <v>02_Slots/Datum/04_Tag/01_sw-arqy/0020_sw-arqy_NR_01.png &lt;sup&gt;(NR)&lt;/sup&gt;</v>
      </c>
    </row>
    <row r="306" spans="1:12" x14ac:dyDescent="0.2">
      <c r="A306" t="s">
        <v>482</v>
      </c>
      <c r="B306" s="27">
        <v>2</v>
      </c>
      <c r="C306" t="s">
        <v>105</v>
      </c>
      <c r="E306" t="s">
        <v>483</v>
      </c>
      <c r="F306" t="s">
        <v>1466</v>
      </c>
      <c r="G306" t="s">
        <v>1477</v>
      </c>
      <c r="I306" t="s">
        <v>1147</v>
      </c>
      <c r="J306" t="s">
        <v>1103</v>
      </c>
      <c r="K306" t="s">
        <v>1149</v>
      </c>
      <c r="L306" t="str">
        <f t="shared" si="62"/>
        <v>02_Slots/Datum/04_Tag/01_sw-arqy/0030_sw-arqy_NR_02.png &lt;sup&gt;(NR)&lt;/sup&gt;</v>
      </c>
    </row>
    <row r="307" spans="1:12" x14ac:dyDescent="0.2">
      <c r="A307" t="s">
        <v>482</v>
      </c>
      <c r="B307" s="27">
        <v>2</v>
      </c>
      <c r="C307" t="s">
        <v>27</v>
      </c>
      <c r="L307" t="s">
        <v>1088</v>
      </c>
    </row>
    <row r="309" spans="1:12" x14ac:dyDescent="0.2">
      <c r="A309" t="s">
        <v>501</v>
      </c>
      <c r="B309" s="27">
        <v>1</v>
      </c>
      <c r="C309" t="s">
        <v>502</v>
      </c>
      <c r="L309" t="s">
        <v>504</v>
      </c>
    </row>
    <row r="310" spans="1:12" x14ac:dyDescent="0.2">
      <c r="A310" t="s">
        <v>501</v>
      </c>
      <c r="B310" s="27">
        <v>1</v>
      </c>
      <c r="C310" t="s">
        <v>105</v>
      </c>
      <c r="E310" t="s">
        <v>468</v>
      </c>
      <c r="G310" t="s">
        <v>503</v>
      </c>
      <c r="H310" t="s">
        <v>112</v>
      </c>
      <c r="L310" t="str">
        <f t="shared" ref="L310" si="63">_xlfn.TEXTJOIN("", TRUE, D310:J310)</f>
        <v>02_Slots/Koenig/01_Horusname_01.png</v>
      </c>
    </row>
    <row r="311" spans="1:12" x14ac:dyDescent="0.2">
      <c r="A311" t="s">
        <v>501</v>
      </c>
      <c r="B311" s="27">
        <v>1</v>
      </c>
      <c r="C311" t="s">
        <v>39</v>
      </c>
      <c r="L311" t="s">
        <v>505</v>
      </c>
    </row>
    <row r="312" spans="1:12" x14ac:dyDescent="0.2">
      <c r="A312" t="s">
        <v>501</v>
      </c>
      <c r="B312" s="27">
        <v>1</v>
      </c>
      <c r="C312" t="s">
        <v>40</v>
      </c>
      <c r="L312" t="s">
        <v>506</v>
      </c>
    </row>
    <row r="313" spans="1:12" x14ac:dyDescent="0.2">
      <c r="A313" t="s">
        <v>501</v>
      </c>
      <c r="B313" s="27">
        <v>1</v>
      </c>
      <c r="C313" t="s">
        <v>41</v>
      </c>
    </row>
    <row r="314" spans="1:12" x14ac:dyDescent="0.2">
      <c r="A314" t="s">
        <v>501</v>
      </c>
      <c r="B314" s="27">
        <v>2</v>
      </c>
      <c r="C314" t="s">
        <v>502</v>
      </c>
      <c r="L314" t="s">
        <v>511</v>
      </c>
    </row>
    <row r="315" spans="1:12" x14ac:dyDescent="0.2">
      <c r="A315" t="s">
        <v>501</v>
      </c>
      <c r="B315" s="27">
        <v>2</v>
      </c>
      <c r="C315" t="s">
        <v>105</v>
      </c>
      <c r="E315" t="s">
        <v>468</v>
      </c>
      <c r="G315" t="s">
        <v>507</v>
      </c>
      <c r="H315" t="s">
        <v>112</v>
      </c>
      <c r="L315" t="str">
        <f t="shared" ref="L315" si="64">_xlfn.TEXTJOIN("", TRUE, D315:J315)</f>
        <v>02_Slots/Koenig/02_Herrinname_01.png</v>
      </c>
    </row>
    <row r="316" spans="1:12" x14ac:dyDescent="0.2">
      <c r="A316" t="s">
        <v>501</v>
      </c>
      <c r="B316" s="27">
        <v>2</v>
      </c>
      <c r="C316" t="s">
        <v>39</v>
      </c>
      <c r="L316" t="s">
        <v>515</v>
      </c>
    </row>
    <row r="317" spans="1:12" x14ac:dyDescent="0.2">
      <c r="A317" t="s">
        <v>501</v>
      </c>
      <c r="B317" s="27">
        <v>2</v>
      </c>
      <c r="C317" t="s">
        <v>40</v>
      </c>
      <c r="L317" t="s">
        <v>519</v>
      </c>
    </row>
    <row r="318" spans="1:12" x14ac:dyDescent="0.2">
      <c r="A318" t="s">
        <v>501</v>
      </c>
      <c r="B318" s="27">
        <v>2</v>
      </c>
      <c r="C318" t="s">
        <v>41</v>
      </c>
    </row>
    <row r="319" spans="1:12" x14ac:dyDescent="0.2">
      <c r="A319" t="s">
        <v>501</v>
      </c>
      <c r="B319" s="27">
        <v>3</v>
      </c>
      <c r="C319" t="s">
        <v>502</v>
      </c>
      <c r="L319" t="s">
        <v>512</v>
      </c>
    </row>
    <row r="320" spans="1:12" x14ac:dyDescent="0.2">
      <c r="A320" t="s">
        <v>501</v>
      </c>
      <c r="B320" s="27">
        <v>3</v>
      </c>
      <c r="C320" t="s">
        <v>105</v>
      </c>
      <c r="E320" t="s">
        <v>468</v>
      </c>
      <c r="G320" t="s">
        <v>508</v>
      </c>
      <c r="H320" t="s">
        <v>112</v>
      </c>
      <c r="L320" t="str">
        <f t="shared" ref="L320" si="65">_xlfn.TEXTJOIN("", TRUE, D320:J320)</f>
        <v>02_Slots/Koenig/03_Goldhorus_01.png</v>
      </c>
    </row>
    <row r="321" spans="1:12" x14ac:dyDescent="0.2">
      <c r="A321" t="s">
        <v>501</v>
      </c>
      <c r="B321" s="27">
        <v>3</v>
      </c>
      <c r="C321" t="s">
        <v>39</v>
      </c>
      <c r="L321" t="s">
        <v>516</v>
      </c>
    </row>
    <row r="322" spans="1:12" x14ac:dyDescent="0.2">
      <c r="A322" t="s">
        <v>501</v>
      </c>
      <c r="B322" s="27">
        <v>3</v>
      </c>
      <c r="C322" t="s">
        <v>40</v>
      </c>
      <c r="L322" t="s">
        <v>520</v>
      </c>
    </row>
    <row r="323" spans="1:12" x14ac:dyDescent="0.2">
      <c r="A323" t="s">
        <v>501</v>
      </c>
      <c r="B323" s="27">
        <v>3</v>
      </c>
      <c r="C323" t="s">
        <v>41</v>
      </c>
      <c r="L323" t="s">
        <v>521</v>
      </c>
    </row>
    <row r="324" spans="1:12" x14ac:dyDescent="0.2">
      <c r="A324" t="s">
        <v>501</v>
      </c>
      <c r="B324" s="27">
        <v>4</v>
      </c>
      <c r="C324" t="s">
        <v>502</v>
      </c>
      <c r="L324" t="s">
        <v>513</v>
      </c>
    </row>
    <row r="325" spans="1:12" x14ac:dyDescent="0.2">
      <c r="A325" t="s">
        <v>501</v>
      </c>
      <c r="B325" s="27">
        <v>4</v>
      </c>
      <c r="C325" t="s">
        <v>105</v>
      </c>
      <c r="E325" t="s">
        <v>468</v>
      </c>
      <c r="G325" t="s">
        <v>469</v>
      </c>
      <c r="H325" t="s">
        <v>112</v>
      </c>
      <c r="L325" t="str">
        <f t="shared" ref="L325" si="66">_xlfn.TEXTJOIN("", TRUE, D325:J325)</f>
        <v>02_Slots/Koenig/04_Thronname_01.png</v>
      </c>
    </row>
    <row r="326" spans="1:12" x14ac:dyDescent="0.2">
      <c r="A326" t="s">
        <v>501</v>
      </c>
      <c r="B326" s="27">
        <v>4</v>
      </c>
      <c r="C326" t="s">
        <v>105</v>
      </c>
      <c r="E326" t="s">
        <v>468</v>
      </c>
      <c r="G326" t="s">
        <v>473</v>
      </c>
      <c r="H326" t="s">
        <v>112</v>
      </c>
      <c r="I326" t="s">
        <v>1147</v>
      </c>
      <c r="J326" t="s">
        <v>1150</v>
      </c>
      <c r="K326" t="s">
        <v>1149</v>
      </c>
      <c r="L326" t="str">
        <f>_xlfn.TEXTJOIN("", TRUE, D326:K326)</f>
        <v>02_Slots/Koenig/04_Thronname_Gr._02.png &lt;sup&gt;(Gr.)&lt;/sup&gt;</v>
      </c>
    </row>
    <row r="327" spans="1:12" x14ac:dyDescent="0.2">
      <c r="A327" t="s">
        <v>501</v>
      </c>
      <c r="B327" s="27">
        <v>4</v>
      </c>
      <c r="C327" t="s">
        <v>39</v>
      </c>
      <c r="L327" t="s">
        <v>517</v>
      </c>
    </row>
    <row r="328" spans="1:12" x14ac:dyDescent="0.2">
      <c r="A328" t="s">
        <v>501</v>
      </c>
      <c r="B328" s="27">
        <v>4</v>
      </c>
      <c r="C328" t="s">
        <v>40</v>
      </c>
      <c r="L328" t="s">
        <v>522</v>
      </c>
    </row>
    <row r="329" spans="1:12" x14ac:dyDescent="0.2">
      <c r="A329" t="s">
        <v>501</v>
      </c>
      <c r="B329" s="27">
        <v>4</v>
      </c>
      <c r="C329" t="s">
        <v>41</v>
      </c>
    </row>
    <row r="330" spans="1:12" x14ac:dyDescent="0.2">
      <c r="A330" t="s">
        <v>501</v>
      </c>
      <c r="B330" s="27">
        <v>5</v>
      </c>
      <c r="C330" t="s">
        <v>502</v>
      </c>
      <c r="L330" t="s">
        <v>514</v>
      </c>
    </row>
    <row r="331" spans="1:12" x14ac:dyDescent="0.2">
      <c r="A331" t="s">
        <v>501</v>
      </c>
      <c r="B331" s="27">
        <v>5</v>
      </c>
      <c r="C331" t="s">
        <v>105</v>
      </c>
      <c r="E331" t="s">
        <v>468</v>
      </c>
      <c r="G331" t="s">
        <v>509</v>
      </c>
      <c r="H331" t="s">
        <v>112</v>
      </c>
      <c r="L331" t="str">
        <f t="shared" ref="L331" si="67">_xlfn.TEXTJOIN("", TRUE, D331:J331)</f>
        <v>02_Slots/Koenig/05_Eigenname_01.png</v>
      </c>
    </row>
    <row r="332" spans="1:12" x14ac:dyDescent="0.2">
      <c r="A332" t="s">
        <v>501</v>
      </c>
      <c r="B332" s="27">
        <v>5</v>
      </c>
      <c r="C332" t="s">
        <v>105</v>
      </c>
      <c r="E332" t="s">
        <v>468</v>
      </c>
      <c r="G332" t="s">
        <v>510</v>
      </c>
      <c r="H332" t="s">
        <v>112</v>
      </c>
      <c r="L332" t="str">
        <f t="shared" ref="L332" si="68">_xlfn.TEXTJOIN("", TRUE, D332:J332)</f>
        <v>02_Slots/Koenig/05_Eigenname_02.png</v>
      </c>
    </row>
    <row r="333" spans="1:12" x14ac:dyDescent="0.2">
      <c r="A333" t="s">
        <v>501</v>
      </c>
      <c r="B333" s="27">
        <v>5</v>
      </c>
      <c r="C333" t="s">
        <v>39</v>
      </c>
      <c r="L333" t="s">
        <v>518</v>
      </c>
    </row>
    <row r="334" spans="1:12" x14ac:dyDescent="0.2">
      <c r="A334" t="s">
        <v>501</v>
      </c>
      <c r="B334" s="27">
        <v>5</v>
      </c>
      <c r="C334" t="s">
        <v>40</v>
      </c>
      <c r="L334" t="s">
        <v>523</v>
      </c>
    </row>
    <row r="335" spans="1:12" x14ac:dyDescent="0.2">
      <c r="A335" t="s">
        <v>501</v>
      </c>
      <c r="B335" s="27">
        <v>5</v>
      </c>
      <c r="C335" t="s">
        <v>41</v>
      </c>
    </row>
    <row r="337" spans="1:12" x14ac:dyDescent="0.2">
      <c r="A337" t="s">
        <v>525</v>
      </c>
      <c r="B337" s="27">
        <v>6</v>
      </c>
      <c r="C337" t="s">
        <v>39</v>
      </c>
      <c r="L337" t="s">
        <v>526</v>
      </c>
    </row>
    <row r="338" spans="1:12" x14ac:dyDescent="0.2">
      <c r="A338" t="s">
        <v>525</v>
      </c>
      <c r="B338" s="27">
        <v>6</v>
      </c>
      <c r="C338" t="s">
        <v>105</v>
      </c>
      <c r="E338" t="s">
        <v>1347</v>
      </c>
      <c r="F338" t="s">
        <v>1360</v>
      </c>
      <c r="G338" t="s">
        <v>1361</v>
      </c>
      <c r="L338" t="str">
        <f t="shared" ref="L338:L340" si="69">_xlfn.TEXTJOIN("", TRUE, D338:J338)</f>
        <v>02_Slots/Koenig/Epitheta/06_nsw/0001_nsw_01.png</v>
      </c>
    </row>
    <row r="339" spans="1:12" x14ac:dyDescent="0.2">
      <c r="A339" t="s">
        <v>525</v>
      </c>
      <c r="B339" s="27">
        <v>6</v>
      </c>
      <c r="C339" t="s">
        <v>105</v>
      </c>
      <c r="E339" t="s">
        <v>1347</v>
      </c>
      <c r="F339" t="s">
        <v>1360</v>
      </c>
      <c r="G339" t="s">
        <v>1362</v>
      </c>
      <c r="L339" t="str">
        <f t="shared" si="69"/>
        <v>02_Slots/Koenig/Epitheta/06_nsw/0010_nsw_02.png</v>
      </c>
    </row>
    <row r="340" spans="1:12" x14ac:dyDescent="0.2">
      <c r="A340" t="s">
        <v>525</v>
      </c>
      <c r="B340" s="27">
        <v>6</v>
      </c>
      <c r="C340" t="s">
        <v>105</v>
      </c>
      <c r="E340" t="s">
        <v>1347</v>
      </c>
      <c r="F340" t="s">
        <v>1360</v>
      </c>
      <c r="G340" t="s">
        <v>1363</v>
      </c>
      <c r="L340" t="str">
        <f t="shared" si="69"/>
        <v>02_Slots/Koenig/Epitheta/06_nsw/0020_nsw_03.png</v>
      </c>
    </row>
    <row r="341" spans="1:12" x14ac:dyDescent="0.2">
      <c r="A341" t="s">
        <v>525</v>
      </c>
      <c r="B341" s="27">
        <v>6</v>
      </c>
      <c r="C341" t="s">
        <v>27</v>
      </c>
      <c r="L341" t="s">
        <v>324</v>
      </c>
    </row>
    <row r="343" spans="1:12" x14ac:dyDescent="0.2">
      <c r="A343" t="s">
        <v>525</v>
      </c>
      <c r="B343" s="27">
        <v>5</v>
      </c>
      <c r="C343" t="s">
        <v>39</v>
      </c>
      <c r="L343" t="s">
        <v>527</v>
      </c>
    </row>
    <row r="344" spans="1:12" x14ac:dyDescent="0.2">
      <c r="A344" t="s">
        <v>525</v>
      </c>
      <c r="B344" s="27">
        <v>5</v>
      </c>
      <c r="C344" t="s">
        <v>105</v>
      </c>
      <c r="E344" t="s">
        <v>1347</v>
      </c>
      <c r="F344" t="s">
        <v>1359</v>
      </c>
      <c r="G344" t="s">
        <v>1355</v>
      </c>
      <c r="L344" t="str">
        <f t="shared" ref="L344:L346" si="70">_xlfn.TEXTJOIN("", TRUE, D344:J344)</f>
        <v>02_Slots/Koenig/Epitheta/05_Hm/0001_Hm_01.png</v>
      </c>
    </row>
    <row r="345" spans="1:12" x14ac:dyDescent="0.2">
      <c r="A345" t="s">
        <v>525</v>
      </c>
      <c r="B345" s="27">
        <v>5</v>
      </c>
      <c r="C345" t="s">
        <v>105</v>
      </c>
      <c r="E345" t="s">
        <v>1347</v>
      </c>
      <c r="F345" t="s">
        <v>1359</v>
      </c>
      <c r="G345" t="s">
        <v>1356</v>
      </c>
      <c r="L345" t="str">
        <f t="shared" si="70"/>
        <v>02_Slots/Koenig/Epitheta/05_Hm/0010_Hm_02.png</v>
      </c>
    </row>
    <row r="346" spans="1:12" x14ac:dyDescent="0.2">
      <c r="A346" t="s">
        <v>525</v>
      </c>
      <c r="B346" s="27">
        <v>5</v>
      </c>
      <c r="C346" t="s">
        <v>105</v>
      </c>
      <c r="E346" t="s">
        <v>1347</v>
      </c>
      <c r="F346" t="s">
        <v>1359</v>
      </c>
      <c r="G346" t="s">
        <v>1357</v>
      </c>
      <c r="L346" t="str">
        <f t="shared" si="70"/>
        <v>02_Slots/Koenig/Epitheta/05_Hm/0020_Hm_03.png</v>
      </c>
    </row>
    <row r="347" spans="1:12" x14ac:dyDescent="0.2">
      <c r="A347" t="s">
        <v>525</v>
      </c>
      <c r="B347" s="27">
        <v>5</v>
      </c>
      <c r="C347" t="s">
        <v>27</v>
      </c>
      <c r="L347" t="s">
        <v>528</v>
      </c>
    </row>
    <row r="349" spans="1:12" x14ac:dyDescent="0.2">
      <c r="A349" t="s">
        <v>525</v>
      </c>
      <c r="B349" s="27">
        <v>4</v>
      </c>
      <c r="C349" t="s">
        <v>39</v>
      </c>
      <c r="L349" t="s">
        <v>1058</v>
      </c>
    </row>
    <row r="350" spans="1:12" x14ac:dyDescent="0.2">
      <c r="A350" t="s">
        <v>525</v>
      </c>
      <c r="B350" s="27">
        <v>4</v>
      </c>
      <c r="C350" t="s">
        <v>105</v>
      </c>
      <c r="E350" t="s">
        <v>1347</v>
      </c>
      <c r="F350" t="s">
        <v>1358</v>
      </c>
      <c r="G350" t="s">
        <v>1353</v>
      </c>
      <c r="H350" t="s">
        <v>112</v>
      </c>
      <c r="L350" t="str">
        <f t="shared" ref="L350" si="71">_xlfn.TEXTJOIN("", TRUE, D350:J350)</f>
        <v>02_Slots/Koenig/Epitheta/04_Hm=f/0001_Hm=f_01.png</v>
      </c>
    </row>
    <row r="351" spans="1:12" x14ac:dyDescent="0.2">
      <c r="A351" t="s">
        <v>525</v>
      </c>
      <c r="B351" s="27">
        <v>4</v>
      </c>
      <c r="C351" t="s">
        <v>27</v>
      </c>
      <c r="L351" t="s">
        <v>1135</v>
      </c>
    </row>
    <row r="353" spans="1:12" x14ac:dyDescent="0.2">
      <c r="A353" t="s">
        <v>525</v>
      </c>
      <c r="B353" s="27">
        <v>2</v>
      </c>
      <c r="C353" t="s">
        <v>39</v>
      </c>
      <c r="L353" t="s">
        <v>529</v>
      </c>
    </row>
    <row r="354" spans="1:12" x14ac:dyDescent="0.2">
      <c r="A354" t="s">
        <v>525</v>
      </c>
      <c r="B354" s="27">
        <v>2</v>
      </c>
      <c r="C354" t="s">
        <v>105</v>
      </c>
      <c r="E354" t="s">
        <v>1347</v>
      </c>
      <c r="F354" t="s">
        <v>1350</v>
      </c>
      <c r="G354" t="s">
        <v>1351</v>
      </c>
      <c r="H354" t="s">
        <v>112</v>
      </c>
      <c r="L354" t="str">
        <f t="shared" ref="L354" si="72">_xlfn.TEXTJOIN("", TRUE, D354:J354)</f>
        <v>02_Slots/Koenig/Epitheta/02_nb-tA.wj/0001_nb-tA.wj_01.png</v>
      </c>
    </row>
    <row r="355" spans="1:12" x14ac:dyDescent="0.2">
      <c r="A355" t="s">
        <v>525</v>
      </c>
      <c r="B355" s="27">
        <v>2</v>
      </c>
      <c r="C355" t="s">
        <v>27</v>
      </c>
      <c r="L355" t="s">
        <v>530</v>
      </c>
    </row>
    <row r="357" spans="1:12" x14ac:dyDescent="0.2">
      <c r="A357" t="s">
        <v>525</v>
      </c>
      <c r="B357" s="27">
        <v>1</v>
      </c>
      <c r="C357" t="s">
        <v>39</v>
      </c>
      <c r="L357" t="s">
        <v>1057</v>
      </c>
    </row>
    <row r="358" spans="1:12" x14ac:dyDescent="0.2">
      <c r="A358" t="s">
        <v>525</v>
      </c>
      <c r="B358" s="27">
        <v>1</v>
      </c>
      <c r="C358" t="s">
        <v>105</v>
      </c>
      <c r="E358" t="s">
        <v>1347</v>
      </c>
      <c r="F358" t="s">
        <v>1348</v>
      </c>
      <c r="G358" t="s">
        <v>1349</v>
      </c>
      <c r="H358" t="s">
        <v>112</v>
      </c>
      <c r="L358" t="str">
        <f t="shared" ref="L358" si="73">_xlfn.TEXTJOIN("", TRUE, D358:J358)</f>
        <v>02_Slots/Koenig/Epitheta/01_nTr-nfr/0001_nTr-nfr_01.png</v>
      </c>
    </row>
    <row r="359" spans="1:12" x14ac:dyDescent="0.2">
      <c r="A359" t="s">
        <v>525</v>
      </c>
      <c r="B359" s="27">
        <v>1</v>
      </c>
      <c r="C359" t="s">
        <v>27</v>
      </c>
      <c r="L359" t="s">
        <v>531</v>
      </c>
    </row>
    <row r="361" spans="1:12" x14ac:dyDescent="0.2">
      <c r="A361" t="s">
        <v>525</v>
      </c>
      <c r="B361" s="27">
        <v>3</v>
      </c>
      <c r="C361" t="s">
        <v>39</v>
      </c>
      <c r="L361" t="s">
        <v>1343</v>
      </c>
    </row>
    <row r="362" spans="1:12" x14ac:dyDescent="0.2">
      <c r="A362" t="s">
        <v>525</v>
      </c>
      <c r="B362" s="27">
        <v>3</v>
      </c>
      <c r="C362" t="s">
        <v>105</v>
      </c>
      <c r="E362" t="s">
        <v>1347</v>
      </c>
      <c r="F362" t="s">
        <v>1352</v>
      </c>
      <c r="G362" t="s">
        <v>1354</v>
      </c>
      <c r="H362" t="s">
        <v>112</v>
      </c>
      <c r="L362" t="str">
        <f>_xlfn.TEXTJOIN("", TRUE, D362:K362)</f>
        <v>02_Slots/Koenig/Epitheta/03_sA=f-n-X.t=f/0001_sA=f-n-X.t=f_01.png</v>
      </c>
    </row>
    <row r="363" spans="1:12" x14ac:dyDescent="0.2">
      <c r="A363" t="s">
        <v>525</v>
      </c>
      <c r="B363" s="27">
        <v>3</v>
      </c>
      <c r="C363" t="s">
        <v>27</v>
      </c>
      <c r="L363" t="s">
        <v>1344</v>
      </c>
    </row>
    <row r="365" spans="1:12" x14ac:dyDescent="0.2">
      <c r="A365" t="s">
        <v>525</v>
      </c>
      <c r="B365" s="27">
        <v>7</v>
      </c>
      <c r="C365" t="s">
        <v>39</v>
      </c>
      <c r="L365" t="s">
        <v>1345</v>
      </c>
    </row>
    <row r="366" spans="1:12" x14ac:dyDescent="0.2">
      <c r="A366" t="s">
        <v>525</v>
      </c>
      <c r="B366" s="27">
        <v>7</v>
      </c>
      <c r="C366" t="s">
        <v>105</v>
      </c>
      <c r="E366" t="s">
        <v>1347</v>
      </c>
      <c r="F366" t="s">
        <v>1364</v>
      </c>
      <c r="G366" t="s">
        <v>1365</v>
      </c>
      <c r="H366" t="s">
        <v>112</v>
      </c>
      <c r="L366" t="str">
        <f>_xlfn.TEXTJOIN("", TRUE, D366:K366)</f>
        <v>02_Slots/Koenig/Epitheta/07_nb-xa.w/0001_nb-xa.w_01.png</v>
      </c>
    </row>
    <row r="367" spans="1:12" x14ac:dyDescent="0.2">
      <c r="A367" t="s">
        <v>525</v>
      </c>
      <c r="B367" s="27">
        <v>7</v>
      </c>
      <c r="C367" t="s">
        <v>27</v>
      </c>
      <c r="L367" t="s">
        <v>1346</v>
      </c>
    </row>
    <row r="372" spans="1:12" x14ac:dyDescent="0.2">
      <c r="A372" t="s">
        <v>551</v>
      </c>
      <c r="B372" s="27">
        <v>1</v>
      </c>
      <c r="C372" t="s">
        <v>39</v>
      </c>
      <c r="L372" t="s">
        <v>552</v>
      </c>
    </row>
    <row r="373" spans="1:12" x14ac:dyDescent="0.2">
      <c r="A373" t="s">
        <v>551</v>
      </c>
      <c r="B373" s="27">
        <v>1</v>
      </c>
      <c r="C373" t="s">
        <v>27</v>
      </c>
      <c r="L373" t="s">
        <v>554</v>
      </c>
    </row>
    <row r="374" spans="1:12" x14ac:dyDescent="0.2">
      <c r="A374" t="s">
        <v>551</v>
      </c>
      <c r="B374" s="27">
        <v>1</v>
      </c>
      <c r="C374" t="s">
        <v>40</v>
      </c>
      <c r="L374" t="s">
        <v>557</v>
      </c>
    </row>
    <row r="375" spans="1:12" x14ac:dyDescent="0.2">
      <c r="A375" t="s">
        <v>551</v>
      </c>
      <c r="B375" s="27">
        <v>1</v>
      </c>
      <c r="C375" t="s">
        <v>41</v>
      </c>
      <c r="L375" t="s">
        <v>560</v>
      </c>
    </row>
    <row r="376" spans="1:12" x14ac:dyDescent="0.2">
      <c r="A376" t="s">
        <v>551</v>
      </c>
      <c r="B376" s="27">
        <v>2</v>
      </c>
      <c r="C376" t="s">
        <v>39</v>
      </c>
      <c r="L376" t="s">
        <v>1170</v>
      </c>
    </row>
    <row r="377" spans="1:12" x14ac:dyDescent="0.2">
      <c r="A377" t="s">
        <v>551</v>
      </c>
      <c r="B377" s="27">
        <v>2</v>
      </c>
      <c r="C377" t="s">
        <v>27</v>
      </c>
      <c r="L377" t="s">
        <v>555</v>
      </c>
    </row>
    <row r="378" spans="1:12" x14ac:dyDescent="0.2">
      <c r="A378" t="s">
        <v>551</v>
      </c>
      <c r="B378" s="27">
        <v>2</v>
      </c>
      <c r="C378" t="s">
        <v>40</v>
      </c>
      <c r="L378" t="s">
        <v>558</v>
      </c>
    </row>
    <row r="379" spans="1:12" x14ac:dyDescent="0.2">
      <c r="A379" t="s">
        <v>551</v>
      </c>
      <c r="B379" s="27">
        <v>2</v>
      </c>
      <c r="C379" t="s">
        <v>41</v>
      </c>
      <c r="L379" t="s">
        <v>561</v>
      </c>
    </row>
    <row r="380" spans="1:12" x14ac:dyDescent="0.2">
      <c r="A380" t="s">
        <v>551</v>
      </c>
      <c r="B380" s="27">
        <v>3</v>
      </c>
      <c r="C380" t="s">
        <v>39</v>
      </c>
      <c r="L380" t="s">
        <v>553</v>
      </c>
    </row>
    <row r="381" spans="1:12" x14ac:dyDescent="0.2">
      <c r="A381" t="s">
        <v>551</v>
      </c>
      <c r="B381" s="27">
        <v>3</v>
      </c>
      <c r="C381" t="s">
        <v>27</v>
      </c>
      <c r="L381" t="s">
        <v>556</v>
      </c>
    </row>
    <row r="382" spans="1:12" x14ac:dyDescent="0.2">
      <c r="A382" t="s">
        <v>551</v>
      </c>
      <c r="B382" s="27">
        <v>3</v>
      </c>
      <c r="C382" t="s">
        <v>40</v>
      </c>
      <c r="L382" t="s">
        <v>559</v>
      </c>
    </row>
    <row r="383" spans="1:12" x14ac:dyDescent="0.2">
      <c r="A383" t="s">
        <v>551</v>
      </c>
      <c r="B383" s="27">
        <v>3</v>
      </c>
      <c r="C383" t="s">
        <v>41</v>
      </c>
    </row>
    <row r="386" spans="1:12" x14ac:dyDescent="0.2">
      <c r="A386" t="s">
        <v>57</v>
      </c>
      <c r="B386" s="27">
        <v>1</v>
      </c>
      <c r="C386" t="s">
        <v>102</v>
      </c>
      <c r="E386" t="s">
        <v>109</v>
      </c>
      <c r="G386" t="s">
        <v>113</v>
      </c>
      <c r="H386" t="s">
        <v>112</v>
      </c>
      <c r="L386" t="str">
        <f t="shared" ref="L386:L392" si="74">_xlfn.TEXTJOIN("", TRUE, D386:J386)</f>
        <v>02_Slots/Gottheit/Determinative_typisch/01_m/0001_A40_01.png</v>
      </c>
    </row>
    <row r="387" spans="1:12" x14ac:dyDescent="0.2">
      <c r="A387" t="s">
        <v>57</v>
      </c>
      <c r="B387" s="27">
        <v>1</v>
      </c>
      <c r="C387" t="s">
        <v>102</v>
      </c>
      <c r="E387" t="s">
        <v>109</v>
      </c>
      <c r="G387" t="s">
        <v>114</v>
      </c>
      <c r="H387" t="s">
        <v>112</v>
      </c>
      <c r="L387" t="str">
        <f t="shared" si="74"/>
        <v>02_Slots/Gottheit/Determinative_typisch/01_m/0010_G7_01.png</v>
      </c>
    </row>
    <row r="388" spans="1:12" x14ac:dyDescent="0.2">
      <c r="A388" t="s">
        <v>57</v>
      </c>
      <c r="B388" s="27">
        <v>1</v>
      </c>
      <c r="C388" t="s">
        <v>102</v>
      </c>
      <c r="E388" t="s">
        <v>109</v>
      </c>
      <c r="G388" t="s">
        <v>115</v>
      </c>
      <c r="H388" t="s">
        <v>112</v>
      </c>
      <c r="L388" t="str">
        <f t="shared" si="74"/>
        <v>02_Slots/Gottheit/Determinative_typisch/01_m/0020_R8_01.png</v>
      </c>
    </row>
    <row r="389" spans="1:12" x14ac:dyDescent="0.2">
      <c r="A389" t="s">
        <v>57</v>
      </c>
      <c r="B389" s="27">
        <v>1</v>
      </c>
      <c r="C389" t="s">
        <v>103</v>
      </c>
      <c r="E389" t="s">
        <v>104</v>
      </c>
      <c r="G389" t="s">
        <v>116</v>
      </c>
      <c r="H389" t="s">
        <v>112</v>
      </c>
      <c r="L389" t="str">
        <f t="shared" si="74"/>
        <v>02_Slots/Gottheit/Determinative_typisch/02_f/0001_B7_01.png</v>
      </c>
    </row>
    <row r="390" spans="1:12" x14ac:dyDescent="0.2">
      <c r="A390" t="s">
        <v>57</v>
      </c>
      <c r="B390" s="27">
        <v>1</v>
      </c>
      <c r="C390" t="s">
        <v>103</v>
      </c>
      <c r="E390" t="s">
        <v>104</v>
      </c>
      <c r="G390" t="s">
        <v>117</v>
      </c>
      <c r="H390" t="s">
        <v>112</v>
      </c>
      <c r="L390" t="str">
        <f t="shared" si="74"/>
        <v>02_Slots/Gottheit/Determinative_typisch/02_f/0010_I64_01.png</v>
      </c>
    </row>
    <row r="391" spans="1:12" x14ac:dyDescent="0.2">
      <c r="A391" t="s">
        <v>57</v>
      </c>
      <c r="B391" s="27">
        <v>1</v>
      </c>
      <c r="C391" t="s">
        <v>103</v>
      </c>
      <c r="E391" t="s">
        <v>104</v>
      </c>
      <c r="G391" t="s">
        <v>118</v>
      </c>
      <c r="H391" t="s">
        <v>112</v>
      </c>
      <c r="L391" t="str">
        <f t="shared" si="74"/>
        <v>02_Slots/Gottheit/Determinative_typisch/02_f/0020_H8_01.png</v>
      </c>
    </row>
    <row r="392" spans="1:12" x14ac:dyDescent="0.2">
      <c r="A392" t="s">
        <v>57</v>
      </c>
      <c r="B392" s="27">
        <v>1</v>
      </c>
      <c r="C392" t="s">
        <v>103</v>
      </c>
      <c r="E392" t="s">
        <v>104</v>
      </c>
      <c r="G392" t="s">
        <v>119</v>
      </c>
      <c r="H392" t="s">
        <v>112</v>
      </c>
      <c r="L392" t="str">
        <f t="shared" si="74"/>
        <v>02_Slots/Gottheit/Determinative_typisch/02_f/0030_H8_02.png</v>
      </c>
    </row>
    <row r="394" spans="1:12" x14ac:dyDescent="0.2">
      <c r="A394" t="s">
        <v>60</v>
      </c>
      <c r="B394" s="27">
        <v>10</v>
      </c>
      <c r="C394" t="s">
        <v>39</v>
      </c>
      <c r="L394" t="s">
        <v>1171</v>
      </c>
    </row>
    <row r="395" spans="1:12" x14ac:dyDescent="0.2">
      <c r="A395" t="s">
        <v>60</v>
      </c>
      <c r="B395" s="27">
        <v>10</v>
      </c>
      <c r="C395" t="s">
        <v>105</v>
      </c>
      <c r="E395" t="s">
        <v>1172</v>
      </c>
      <c r="G395" t="s">
        <v>980</v>
      </c>
      <c r="L395" t="str">
        <f t="shared" ref="L395" si="75">_xlfn.TEXTJOIN("", TRUE, D395:J395)</f>
        <v>02_Slots/Gottheit/Goetter-mit-Epitheta/0010_Isis/0001_st_01.png</v>
      </c>
    </row>
    <row r="396" spans="1:12" x14ac:dyDescent="0.2">
      <c r="A396" t="s">
        <v>60</v>
      </c>
      <c r="B396" s="27">
        <v>10</v>
      </c>
      <c r="C396" t="s">
        <v>105</v>
      </c>
      <c r="E396" t="s">
        <v>1172</v>
      </c>
      <c r="G396" t="s">
        <v>981</v>
      </c>
      <c r="I396" t="s">
        <v>1147</v>
      </c>
      <c r="J396" t="s">
        <v>1148</v>
      </c>
      <c r="K396" t="s">
        <v>1149</v>
      </c>
      <c r="L396" t="str">
        <f t="shared" ref="L396:L399" si="76">_xlfn.TEXTJOIN("", TRUE, D396:K396)</f>
        <v>02_Slots/Gottheit/Goetter-mit-Epitheta/0010_Isis/0010_st_AR_01.png &lt;sup&gt;(AR)&lt;/sup&gt;</v>
      </c>
    </row>
    <row r="397" spans="1:12" x14ac:dyDescent="0.2">
      <c r="A397" t="s">
        <v>60</v>
      </c>
      <c r="B397" s="27">
        <v>10</v>
      </c>
      <c r="C397" t="s">
        <v>105</v>
      </c>
      <c r="E397" t="s">
        <v>1172</v>
      </c>
      <c r="G397" t="s">
        <v>982</v>
      </c>
      <c r="I397" t="s">
        <v>1147</v>
      </c>
      <c r="J397" t="s">
        <v>1151</v>
      </c>
      <c r="K397" t="s">
        <v>1149</v>
      </c>
      <c r="L397" t="str">
        <f t="shared" si="76"/>
        <v>02_Slots/Gottheit/Goetter-mit-Epitheta/0010_Isis/0020_st_MR_01.png &lt;sup&gt;(MR)&lt;/sup&gt;</v>
      </c>
    </row>
    <row r="398" spans="1:12" x14ac:dyDescent="0.2">
      <c r="A398" t="s">
        <v>60</v>
      </c>
      <c r="B398" s="27">
        <v>10</v>
      </c>
      <c r="C398" t="s">
        <v>105</v>
      </c>
      <c r="E398" t="s">
        <v>1172</v>
      </c>
      <c r="G398" t="s">
        <v>983</v>
      </c>
      <c r="I398" t="s">
        <v>1147</v>
      </c>
      <c r="J398" t="s">
        <v>1103</v>
      </c>
      <c r="K398" t="s">
        <v>1149</v>
      </c>
      <c r="L398" t="str">
        <f t="shared" si="76"/>
        <v>02_Slots/Gottheit/Goetter-mit-Epitheta/0010_Isis/0030_st_NR_01.png &lt;sup&gt;(NR)&lt;/sup&gt;</v>
      </c>
    </row>
    <row r="399" spans="1:12" x14ac:dyDescent="0.2">
      <c r="A399" t="s">
        <v>60</v>
      </c>
      <c r="B399" s="27">
        <v>10</v>
      </c>
      <c r="C399" t="s">
        <v>105</v>
      </c>
      <c r="E399" t="s">
        <v>1172</v>
      </c>
      <c r="G399" t="s">
        <v>984</v>
      </c>
      <c r="I399" t="s">
        <v>1147</v>
      </c>
      <c r="J399" t="s">
        <v>1156</v>
      </c>
      <c r="K399" t="s">
        <v>1149</v>
      </c>
      <c r="L399" t="str">
        <f t="shared" si="76"/>
        <v>02_Slots/Gottheit/Goetter-mit-Epitheta/0010_Isis/0040_st_SP_01.png &lt;sup&gt;(Sp.)&lt;/sup&gt;</v>
      </c>
    </row>
    <row r="400" spans="1:12" x14ac:dyDescent="0.2">
      <c r="A400" t="s">
        <v>60</v>
      </c>
      <c r="B400" s="27">
        <v>10</v>
      </c>
      <c r="C400" t="s">
        <v>106</v>
      </c>
      <c r="L400" t="str">
        <f t="shared" ref="L400" si="77">_xlfn.TEXTJOIN("", TRUE, D400:J400)</f>
        <v/>
      </c>
    </row>
    <row r="401" spans="1:12" x14ac:dyDescent="0.2">
      <c r="A401" t="s">
        <v>60</v>
      </c>
      <c r="B401" s="27">
        <v>10</v>
      </c>
      <c r="C401" t="s">
        <v>107</v>
      </c>
      <c r="L401" t="s">
        <v>164</v>
      </c>
    </row>
    <row r="402" spans="1:12" x14ac:dyDescent="0.2">
      <c r="A402" t="s">
        <v>60</v>
      </c>
      <c r="B402" s="27">
        <v>10</v>
      </c>
      <c r="C402" t="s">
        <v>108</v>
      </c>
      <c r="L402" t="s">
        <v>1131</v>
      </c>
    </row>
    <row r="404" spans="1:12" x14ac:dyDescent="0.2">
      <c r="A404" t="s">
        <v>985</v>
      </c>
      <c r="B404" s="27">
        <v>1</v>
      </c>
      <c r="C404" t="s">
        <v>39</v>
      </c>
      <c r="L404" t="s">
        <v>987</v>
      </c>
    </row>
    <row r="405" spans="1:12" x14ac:dyDescent="0.2">
      <c r="A405" t="s">
        <v>985</v>
      </c>
      <c r="B405" s="27">
        <v>1</v>
      </c>
      <c r="C405" t="s">
        <v>105</v>
      </c>
      <c r="E405" t="s">
        <v>1172</v>
      </c>
      <c r="F405" t="s">
        <v>986</v>
      </c>
      <c r="G405" t="s">
        <v>989</v>
      </c>
      <c r="L405" t="str">
        <f>_xlfn.TEXTJOIN("", TRUE, D405:J405)</f>
        <v>02_Slots/Gottheit/Goetter-mit-Epitheta/0010_Isis/epitheta/01_mw.t-nTr/0001_mw.t-nTr_01.png</v>
      </c>
    </row>
    <row r="406" spans="1:12" x14ac:dyDescent="0.2">
      <c r="A406" t="s">
        <v>985</v>
      </c>
      <c r="B406" s="27">
        <v>1</v>
      </c>
      <c r="C406" t="s">
        <v>105</v>
      </c>
      <c r="E406" t="s">
        <v>1172</v>
      </c>
      <c r="F406" t="s">
        <v>986</v>
      </c>
      <c r="G406" t="s">
        <v>990</v>
      </c>
      <c r="L406" t="str">
        <f>_xlfn.TEXTJOIN("", TRUE, D406:J406)</f>
        <v>02_Slots/Gottheit/Goetter-mit-Epitheta/0010_Isis/epitheta/01_mw.t-nTr/0010_mw.t-nTr_02.png</v>
      </c>
    </row>
    <row r="407" spans="1:12" x14ac:dyDescent="0.2">
      <c r="A407" t="s">
        <v>985</v>
      </c>
      <c r="B407" s="27">
        <v>1</v>
      </c>
      <c r="C407" t="s">
        <v>105</v>
      </c>
      <c r="E407" t="s">
        <v>1172</v>
      </c>
      <c r="F407" t="s">
        <v>986</v>
      </c>
      <c r="G407" t="s">
        <v>991</v>
      </c>
      <c r="I407" t="s">
        <v>1147</v>
      </c>
      <c r="J407" t="s">
        <v>1150</v>
      </c>
      <c r="K407" t="s">
        <v>1149</v>
      </c>
      <c r="L407" t="str">
        <f>_xlfn.TEXTJOIN("", TRUE, D407:K407)</f>
        <v>02_Slots/Gottheit/Goetter-mit-Epitheta/0010_Isis/epitheta/01_mw.t-nTr/0020_mw.t-nTr_GR_01.png &lt;sup&gt;(Gr.)&lt;/sup&gt;</v>
      </c>
    </row>
    <row r="408" spans="1:12" x14ac:dyDescent="0.2">
      <c r="A408" t="s">
        <v>985</v>
      </c>
      <c r="B408" s="27">
        <v>1</v>
      </c>
      <c r="C408" t="s">
        <v>27</v>
      </c>
      <c r="L408" t="s">
        <v>988</v>
      </c>
    </row>
    <row r="410" spans="1:12" x14ac:dyDescent="0.2">
      <c r="A410" t="s">
        <v>985</v>
      </c>
      <c r="B410" s="27">
        <v>2</v>
      </c>
      <c r="C410" t="s">
        <v>39</v>
      </c>
      <c r="L410" t="s">
        <v>1048</v>
      </c>
    </row>
    <row r="411" spans="1:12" x14ac:dyDescent="0.2">
      <c r="A411" t="s">
        <v>985</v>
      </c>
      <c r="B411" s="27">
        <v>2</v>
      </c>
      <c r="C411" t="s">
        <v>105</v>
      </c>
      <c r="E411" t="s">
        <v>1172</v>
      </c>
      <c r="F411" t="s">
        <v>992</v>
      </c>
      <c r="G411" t="s">
        <v>993</v>
      </c>
      <c r="L411" t="str">
        <f>_xlfn.TEXTJOIN("", TRUE, D411:J411)</f>
        <v>02_Slots/Gottheit/Goetter-mit-Epitheta/0010_Isis/epitheta/02_wr.t/0010_wr.t_01.png</v>
      </c>
    </row>
    <row r="412" spans="1:12" x14ac:dyDescent="0.2">
      <c r="A412" t="s">
        <v>985</v>
      </c>
      <c r="B412" s="27">
        <v>2</v>
      </c>
      <c r="C412" t="s">
        <v>105</v>
      </c>
      <c r="E412" t="s">
        <v>1172</v>
      </c>
      <c r="F412" t="s">
        <v>992</v>
      </c>
      <c r="G412" t="s">
        <v>994</v>
      </c>
      <c r="I412" t="s">
        <v>1147</v>
      </c>
      <c r="J412" t="s">
        <v>1156</v>
      </c>
      <c r="K412" t="s">
        <v>1149</v>
      </c>
      <c r="L412" t="str">
        <f>_xlfn.TEXTJOIN("", TRUE, D412:K412)</f>
        <v>02_Slots/Gottheit/Goetter-mit-Epitheta/0010_Isis/epitheta/02_wr.t/0010_wr.t_Sp._01.png &lt;sup&gt;(Sp.)&lt;/sup&gt;</v>
      </c>
    </row>
    <row r="413" spans="1:12" x14ac:dyDescent="0.2">
      <c r="A413" t="s">
        <v>985</v>
      </c>
      <c r="B413" s="27">
        <v>2</v>
      </c>
      <c r="C413" t="s">
        <v>27</v>
      </c>
      <c r="L413" t="s">
        <v>1047</v>
      </c>
    </row>
    <row r="419" spans="1:12" x14ac:dyDescent="0.2">
      <c r="A419" t="s">
        <v>60</v>
      </c>
      <c r="B419" s="28">
        <v>20</v>
      </c>
      <c r="C419" t="s">
        <v>39</v>
      </c>
      <c r="L419" t="s">
        <v>175</v>
      </c>
    </row>
    <row r="420" spans="1:12" x14ac:dyDescent="0.2">
      <c r="A420" t="s">
        <v>60</v>
      </c>
      <c r="B420" s="28">
        <v>20</v>
      </c>
      <c r="C420" t="s">
        <v>105</v>
      </c>
      <c r="E420" t="s">
        <v>1173</v>
      </c>
      <c r="G420" t="s">
        <v>120</v>
      </c>
      <c r="H420" t="s">
        <v>112</v>
      </c>
      <c r="L420" t="str">
        <f>_xlfn.TEXTJOIN("", TRUE, D420:J420)</f>
        <v>02_Slots/Gottheit/Goetter-mit-Epitheta/0020_Amun/0001_Jmn_01.png</v>
      </c>
    </row>
    <row r="421" spans="1:12" x14ac:dyDescent="0.2">
      <c r="A421" t="s">
        <v>60</v>
      </c>
      <c r="B421" s="28">
        <v>20</v>
      </c>
      <c r="C421" t="s">
        <v>105</v>
      </c>
      <c r="E421" t="s">
        <v>1173</v>
      </c>
      <c r="G421" t="s">
        <v>122</v>
      </c>
      <c r="H421" t="s">
        <v>112</v>
      </c>
      <c r="I421" t="s">
        <v>1147</v>
      </c>
      <c r="J421" t="s">
        <v>1150</v>
      </c>
      <c r="K421" t="s">
        <v>1149</v>
      </c>
      <c r="L421" t="str">
        <f t="shared" ref="L421:L422" si="78">_xlfn.TEXTJOIN("", TRUE, D421:K421)</f>
        <v>02_Slots/Gottheit/Goetter-mit-Epitheta/0020_Amun/0010_Jmn_GR_01.png &lt;sup&gt;(Gr.)&lt;/sup&gt;</v>
      </c>
    </row>
    <row r="422" spans="1:12" x14ac:dyDescent="0.2">
      <c r="A422" t="s">
        <v>60</v>
      </c>
      <c r="B422" s="28">
        <v>20</v>
      </c>
      <c r="C422" t="s">
        <v>105</v>
      </c>
      <c r="E422" t="s">
        <v>1173</v>
      </c>
      <c r="G422" t="s">
        <v>123</v>
      </c>
      <c r="H422" t="s">
        <v>112</v>
      </c>
      <c r="I422" t="s">
        <v>1147</v>
      </c>
      <c r="J422" t="s">
        <v>1150</v>
      </c>
      <c r="K422" t="s">
        <v>1149</v>
      </c>
      <c r="L422" t="str">
        <f t="shared" si="78"/>
        <v>02_Slots/Gottheit/Goetter-mit-Epitheta/0020_Amun/0020_Jmn_GR_02.png &lt;sup&gt;(Gr.)&lt;/sup&gt;</v>
      </c>
    </row>
    <row r="423" spans="1:12" x14ac:dyDescent="0.2">
      <c r="A423" t="s">
        <v>60</v>
      </c>
      <c r="B423" s="28">
        <v>20</v>
      </c>
      <c r="C423" t="s">
        <v>106</v>
      </c>
      <c r="E423" t="s">
        <v>1173</v>
      </c>
      <c r="F423" t="s">
        <v>110</v>
      </c>
      <c r="G423" t="s">
        <v>121</v>
      </c>
      <c r="H423" t="s">
        <v>112</v>
      </c>
      <c r="L423" t="str">
        <f>_xlfn.TEXTJOIN("", TRUE, D423:J423)</f>
        <v>02_Slots/Gottheit/Goetter-mit-Epitheta/0020_Amun/det/0001_Jmn_det_01.png</v>
      </c>
    </row>
    <row r="424" spans="1:12" x14ac:dyDescent="0.2">
      <c r="A424" t="s">
        <v>60</v>
      </c>
      <c r="B424" s="28">
        <v>20</v>
      </c>
      <c r="C424" t="s">
        <v>107</v>
      </c>
      <c r="L424" t="s">
        <v>111</v>
      </c>
    </row>
    <row r="425" spans="1:12" x14ac:dyDescent="0.2">
      <c r="A425" t="s">
        <v>60</v>
      </c>
      <c r="B425" s="28">
        <v>20</v>
      </c>
      <c r="C425" t="s">
        <v>108</v>
      </c>
      <c r="L425" t="s">
        <v>1120</v>
      </c>
    </row>
    <row r="427" spans="1:12" x14ac:dyDescent="0.2">
      <c r="A427" t="s">
        <v>585</v>
      </c>
      <c r="B427" s="27">
        <v>1</v>
      </c>
      <c r="C427" t="s">
        <v>39</v>
      </c>
      <c r="L427" t="s">
        <v>172</v>
      </c>
    </row>
    <row r="428" spans="1:12" x14ac:dyDescent="0.2">
      <c r="A428" t="s">
        <v>585</v>
      </c>
      <c r="B428" s="27">
        <v>1</v>
      </c>
      <c r="C428" t="s">
        <v>105</v>
      </c>
      <c r="E428" t="s">
        <v>1173</v>
      </c>
      <c r="F428" t="s">
        <v>124</v>
      </c>
      <c r="G428" t="s">
        <v>1341</v>
      </c>
      <c r="H428" t="s">
        <v>112</v>
      </c>
      <c r="L428" t="str">
        <f t="shared" ref="L428:L429" si="79">_xlfn.TEXTJOIN("", TRUE, D428:K428)</f>
        <v>02_Slots/Gottheit/Goetter-mit-Epitheta/0020_Amun/epitheta/01_m-jp.t/0010_m-jp.t_01.png</v>
      </c>
    </row>
    <row r="429" spans="1:12" x14ac:dyDescent="0.2">
      <c r="A429" t="s">
        <v>585</v>
      </c>
      <c r="B429" s="27">
        <v>1</v>
      </c>
      <c r="C429" t="s">
        <v>105</v>
      </c>
      <c r="E429" t="s">
        <v>1173</v>
      </c>
      <c r="F429" t="s">
        <v>124</v>
      </c>
      <c r="G429" t="s">
        <v>1342</v>
      </c>
      <c r="H429" t="s">
        <v>112</v>
      </c>
      <c r="I429" t="s">
        <v>1147</v>
      </c>
      <c r="J429" t="s">
        <v>1156</v>
      </c>
      <c r="K429" t="s">
        <v>1149</v>
      </c>
      <c r="L429" t="str">
        <f t="shared" si="79"/>
        <v>02_Slots/Gottheit/Goetter-mit-Epitheta/0020_Amun/epitheta/01_m-jp.t/0020_m-jp.t_SP_01.png &lt;sup&gt;(Sp.)&lt;/sup&gt;</v>
      </c>
    </row>
    <row r="430" spans="1:12" x14ac:dyDescent="0.2">
      <c r="A430" t="s">
        <v>585</v>
      </c>
      <c r="B430" s="27">
        <v>1</v>
      </c>
      <c r="C430" t="s">
        <v>27</v>
      </c>
      <c r="L430" t="s">
        <v>173</v>
      </c>
    </row>
    <row r="432" spans="1:12" x14ac:dyDescent="0.2">
      <c r="A432" t="s">
        <v>60</v>
      </c>
      <c r="B432" s="28">
        <v>30</v>
      </c>
      <c r="C432" t="s">
        <v>39</v>
      </c>
      <c r="G432" t="s">
        <v>125</v>
      </c>
      <c r="L432" t="s">
        <v>174</v>
      </c>
    </row>
    <row r="433" spans="1:12" x14ac:dyDescent="0.2">
      <c r="A433" t="s">
        <v>60</v>
      </c>
      <c r="B433" s="28">
        <v>30</v>
      </c>
      <c r="C433" t="s">
        <v>105</v>
      </c>
      <c r="E433" t="s">
        <v>1174</v>
      </c>
      <c r="G433" t="s">
        <v>125</v>
      </c>
      <c r="H433" t="s">
        <v>112</v>
      </c>
      <c r="L433" t="str">
        <f>_xlfn.TEXTJOIN("", TRUE, D433:J433)</f>
        <v>02_Slots/Gottheit/Goetter-mit-Epitheta/0030_Amun-Re/0001_Jmn-Ra_01.png</v>
      </c>
    </row>
    <row r="434" spans="1:12" x14ac:dyDescent="0.2">
      <c r="A434" t="s">
        <v>60</v>
      </c>
      <c r="B434" s="28">
        <v>30</v>
      </c>
      <c r="C434" t="s">
        <v>106</v>
      </c>
    </row>
    <row r="435" spans="1:12" x14ac:dyDescent="0.2">
      <c r="A435" t="s">
        <v>60</v>
      </c>
      <c r="B435" s="28">
        <v>30</v>
      </c>
      <c r="C435" t="s">
        <v>107</v>
      </c>
      <c r="L435" t="s">
        <v>126</v>
      </c>
    </row>
    <row r="436" spans="1:12" x14ac:dyDescent="0.2">
      <c r="A436" t="s">
        <v>60</v>
      </c>
      <c r="B436" s="28">
        <v>30</v>
      </c>
      <c r="C436" t="s">
        <v>108</v>
      </c>
    </row>
    <row r="437" spans="1:12" x14ac:dyDescent="0.2">
      <c r="B437" s="28"/>
    </row>
    <row r="438" spans="1:12" x14ac:dyDescent="0.2">
      <c r="A438" t="s">
        <v>60</v>
      </c>
      <c r="B438" s="28">
        <v>40</v>
      </c>
      <c r="C438" t="s">
        <v>39</v>
      </c>
      <c r="L438" t="s">
        <v>1177</v>
      </c>
    </row>
    <row r="439" spans="1:12" x14ac:dyDescent="0.2">
      <c r="A439" t="s">
        <v>60</v>
      </c>
      <c r="B439" s="28">
        <v>40</v>
      </c>
      <c r="C439" t="s">
        <v>105</v>
      </c>
      <c r="E439" t="s">
        <v>1175</v>
      </c>
      <c r="G439" t="s">
        <v>1176</v>
      </c>
      <c r="H439" t="s">
        <v>112</v>
      </c>
      <c r="L439" t="str">
        <f>_xlfn.TEXTJOIN("", TRUE, D439:J439)</f>
        <v>02_Slots/Gottheit/Goetter-mit-Epitheta/0040_Amun-Re-Harachte/0001_jmn-ra-Hr-Axtj_01.png</v>
      </c>
    </row>
    <row r="440" spans="1:12" x14ac:dyDescent="0.2">
      <c r="A440" t="s">
        <v>60</v>
      </c>
      <c r="B440" s="28">
        <v>40</v>
      </c>
      <c r="C440" t="s">
        <v>106</v>
      </c>
    </row>
    <row r="441" spans="1:12" x14ac:dyDescent="0.2">
      <c r="A441" t="s">
        <v>60</v>
      </c>
      <c r="B441" s="28">
        <v>40</v>
      </c>
      <c r="C441" t="s">
        <v>107</v>
      </c>
      <c r="L441" t="s">
        <v>127</v>
      </c>
    </row>
    <row r="442" spans="1:12" x14ac:dyDescent="0.2">
      <c r="A442" t="s">
        <v>60</v>
      </c>
      <c r="B442" s="28">
        <v>40</v>
      </c>
      <c r="C442" t="s">
        <v>108</v>
      </c>
    </row>
    <row r="443" spans="1:12" x14ac:dyDescent="0.2">
      <c r="B443" s="28"/>
    </row>
    <row r="444" spans="1:12" x14ac:dyDescent="0.2">
      <c r="A444" t="s">
        <v>60</v>
      </c>
      <c r="B444" s="28">
        <v>50</v>
      </c>
      <c r="C444" t="s">
        <v>39</v>
      </c>
      <c r="L444" t="s">
        <v>563</v>
      </c>
    </row>
    <row r="445" spans="1:12" x14ac:dyDescent="0.2">
      <c r="A445" t="s">
        <v>60</v>
      </c>
      <c r="B445" s="28">
        <v>50</v>
      </c>
      <c r="C445" t="s">
        <v>105</v>
      </c>
      <c r="E445" t="s">
        <v>1178</v>
      </c>
      <c r="G445" t="s">
        <v>564</v>
      </c>
      <c r="H445" t="s">
        <v>112</v>
      </c>
      <c r="L445" t="str">
        <f t="shared" ref="L445:L447" si="80">_xlfn.TEXTJOIN("", TRUE, D445:J445)</f>
        <v>02_Slots/Gottheit/Goetter-mit-Epitheta/0050_Amset/0001_jmstj_01.png</v>
      </c>
    </row>
    <row r="446" spans="1:12" x14ac:dyDescent="0.2">
      <c r="A446" t="s">
        <v>60</v>
      </c>
      <c r="B446" s="28">
        <v>50</v>
      </c>
      <c r="C446" t="s">
        <v>105</v>
      </c>
      <c r="E446" t="s">
        <v>1178</v>
      </c>
      <c r="G446" t="s">
        <v>565</v>
      </c>
      <c r="H446" t="s">
        <v>112</v>
      </c>
      <c r="L446" t="str">
        <f t="shared" si="80"/>
        <v>02_Slots/Gottheit/Goetter-mit-Epitheta/0050_Amset/0010_jmstj_02.png</v>
      </c>
    </row>
    <row r="447" spans="1:12" x14ac:dyDescent="0.2">
      <c r="A447" t="s">
        <v>60</v>
      </c>
      <c r="B447" s="28">
        <v>50</v>
      </c>
      <c r="C447" t="s">
        <v>105</v>
      </c>
      <c r="E447" t="s">
        <v>1178</v>
      </c>
      <c r="G447" t="s">
        <v>566</v>
      </c>
      <c r="H447" t="s">
        <v>112</v>
      </c>
      <c r="L447" t="str">
        <f t="shared" si="80"/>
        <v>02_Slots/Gottheit/Goetter-mit-Epitheta/0050_Amset/0020_jmstj_03.png</v>
      </c>
    </row>
    <row r="448" spans="1:12" x14ac:dyDescent="0.2">
      <c r="A448" t="s">
        <v>60</v>
      </c>
      <c r="B448" s="28">
        <v>50</v>
      </c>
      <c r="C448" t="s">
        <v>105</v>
      </c>
      <c r="E448" t="s">
        <v>1178</v>
      </c>
      <c r="G448" t="s">
        <v>567</v>
      </c>
      <c r="H448" t="s">
        <v>112</v>
      </c>
      <c r="I448" t="s">
        <v>1147</v>
      </c>
      <c r="J448" t="s">
        <v>1148</v>
      </c>
      <c r="K448" t="s">
        <v>1149</v>
      </c>
      <c r="L448" t="str">
        <f t="shared" ref="L448:L451" si="81">_xlfn.TEXTJOIN("", TRUE, D448:K448)</f>
        <v>02_Slots/Gottheit/Goetter-mit-Epitheta/0050_Amset/0030_jmstj_AR_01.png &lt;sup&gt;(AR)&lt;/sup&gt;</v>
      </c>
    </row>
    <row r="449" spans="1:12" x14ac:dyDescent="0.2">
      <c r="A449" t="s">
        <v>60</v>
      </c>
      <c r="B449" s="28">
        <v>50</v>
      </c>
      <c r="C449" t="s">
        <v>105</v>
      </c>
      <c r="E449" t="s">
        <v>1178</v>
      </c>
      <c r="G449" t="s">
        <v>568</v>
      </c>
      <c r="H449" t="s">
        <v>112</v>
      </c>
      <c r="I449" t="s">
        <v>1147</v>
      </c>
      <c r="J449" t="s">
        <v>1151</v>
      </c>
      <c r="K449" t="s">
        <v>1149</v>
      </c>
      <c r="L449" t="str">
        <f t="shared" si="81"/>
        <v>02_Slots/Gottheit/Goetter-mit-Epitheta/0050_Amset/0040_jmstj_MR_01.png &lt;sup&gt;(MR)&lt;/sup&gt;</v>
      </c>
    </row>
    <row r="450" spans="1:12" x14ac:dyDescent="0.2">
      <c r="A450" t="s">
        <v>60</v>
      </c>
      <c r="B450" s="28">
        <v>50</v>
      </c>
      <c r="C450" t="s">
        <v>105</v>
      </c>
      <c r="E450" t="s">
        <v>1178</v>
      </c>
      <c r="G450" t="s">
        <v>569</v>
      </c>
      <c r="H450" t="s">
        <v>112</v>
      </c>
      <c r="I450" t="s">
        <v>1147</v>
      </c>
      <c r="J450" t="s">
        <v>1103</v>
      </c>
      <c r="K450" t="s">
        <v>1149</v>
      </c>
      <c r="L450" t="str">
        <f t="shared" si="81"/>
        <v>02_Slots/Gottheit/Goetter-mit-Epitheta/0050_Amset/0050_jmstj_NR_01.png &lt;sup&gt;(NR)&lt;/sup&gt;</v>
      </c>
    </row>
    <row r="451" spans="1:12" x14ac:dyDescent="0.2">
      <c r="A451" t="s">
        <v>60</v>
      </c>
      <c r="B451" s="28">
        <v>50</v>
      </c>
      <c r="C451" t="s">
        <v>105</v>
      </c>
      <c r="E451" t="s">
        <v>1178</v>
      </c>
      <c r="G451" t="s">
        <v>570</v>
      </c>
      <c r="H451" t="s">
        <v>112</v>
      </c>
      <c r="I451" t="s">
        <v>1147</v>
      </c>
      <c r="J451" t="s">
        <v>1103</v>
      </c>
      <c r="K451" t="s">
        <v>1149</v>
      </c>
      <c r="L451" t="str">
        <f t="shared" si="81"/>
        <v>02_Slots/Gottheit/Goetter-mit-Epitheta/0050_Amset/0060_jmstj_NR_02.png &lt;sup&gt;(NR)&lt;/sup&gt;</v>
      </c>
    </row>
    <row r="452" spans="1:12" x14ac:dyDescent="0.2">
      <c r="A452" t="s">
        <v>60</v>
      </c>
      <c r="B452" s="28">
        <v>50</v>
      </c>
      <c r="C452" t="s">
        <v>106</v>
      </c>
    </row>
    <row r="453" spans="1:12" x14ac:dyDescent="0.2">
      <c r="A453" t="s">
        <v>60</v>
      </c>
      <c r="B453" s="28">
        <v>50</v>
      </c>
      <c r="C453" t="s">
        <v>107</v>
      </c>
      <c r="L453" t="s">
        <v>128</v>
      </c>
    </row>
    <row r="454" spans="1:12" x14ac:dyDescent="0.2">
      <c r="A454" t="s">
        <v>60</v>
      </c>
      <c r="B454" s="28">
        <v>50</v>
      </c>
      <c r="C454" t="s">
        <v>108</v>
      </c>
    </row>
    <row r="455" spans="1:12" x14ac:dyDescent="0.2">
      <c r="B455" s="28"/>
    </row>
    <row r="456" spans="1:12" x14ac:dyDescent="0.2">
      <c r="B456" s="28"/>
    </row>
    <row r="457" spans="1:12" x14ac:dyDescent="0.2">
      <c r="B457" s="28"/>
    </row>
    <row r="458" spans="1:12" x14ac:dyDescent="0.2">
      <c r="A458" t="s">
        <v>60</v>
      </c>
      <c r="B458" s="28">
        <v>60</v>
      </c>
      <c r="C458" t="s">
        <v>39</v>
      </c>
      <c r="L458" t="s">
        <v>571</v>
      </c>
    </row>
    <row r="459" spans="1:12" x14ac:dyDescent="0.2">
      <c r="A459" t="s">
        <v>60</v>
      </c>
      <c r="B459" s="28">
        <v>60</v>
      </c>
      <c r="C459" t="s">
        <v>105</v>
      </c>
      <c r="E459" t="s">
        <v>1179</v>
      </c>
      <c r="G459" t="s">
        <v>572</v>
      </c>
      <c r="H459" t="s">
        <v>112</v>
      </c>
      <c r="L459" t="str">
        <f t="shared" ref="L459:L463" si="82">_xlfn.TEXTJOIN("", TRUE, D459:J459)</f>
        <v>02_Slots/Gottheit/Goetter-mit-Epitheta/0060_Onuris/0001_jnj-Hr.t_01.png</v>
      </c>
    </row>
    <row r="460" spans="1:12" x14ac:dyDescent="0.2">
      <c r="A460" t="s">
        <v>60</v>
      </c>
      <c r="B460" s="28">
        <v>60</v>
      </c>
      <c r="C460" t="s">
        <v>105</v>
      </c>
      <c r="E460" t="s">
        <v>1179</v>
      </c>
      <c r="G460" t="s">
        <v>573</v>
      </c>
      <c r="H460" t="s">
        <v>112</v>
      </c>
      <c r="L460" t="str">
        <f t="shared" si="82"/>
        <v>02_Slots/Gottheit/Goetter-mit-Epitheta/0060_Onuris/0010_jnj-Hr.t_02.png</v>
      </c>
    </row>
    <row r="461" spans="1:12" x14ac:dyDescent="0.2">
      <c r="A461" t="s">
        <v>60</v>
      </c>
      <c r="B461" s="28">
        <v>60</v>
      </c>
      <c r="C461" t="s">
        <v>105</v>
      </c>
      <c r="E461" t="s">
        <v>1179</v>
      </c>
      <c r="G461" t="s">
        <v>574</v>
      </c>
      <c r="H461" t="s">
        <v>112</v>
      </c>
      <c r="L461" t="str">
        <f t="shared" si="82"/>
        <v>02_Slots/Gottheit/Goetter-mit-Epitheta/0060_Onuris/0020_jnj-Hr.t_03.png</v>
      </c>
    </row>
    <row r="462" spans="1:12" x14ac:dyDescent="0.2">
      <c r="A462" t="s">
        <v>60</v>
      </c>
      <c r="B462" s="28">
        <v>60</v>
      </c>
      <c r="C462" t="s">
        <v>105</v>
      </c>
      <c r="E462" t="s">
        <v>1179</v>
      </c>
      <c r="G462" t="s">
        <v>575</v>
      </c>
      <c r="H462" t="s">
        <v>112</v>
      </c>
      <c r="L462" t="str">
        <f t="shared" si="82"/>
        <v>02_Slots/Gottheit/Goetter-mit-Epitheta/0060_Onuris/0030_jnj-Hr.t_04.png</v>
      </c>
    </row>
    <row r="463" spans="1:12" x14ac:dyDescent="0.2">
      <c r="A463" t="s">
        <v>60</v>
      </c>
      <c r="B463" s="28">
        <v>60</v>
      </c>
      <c r="C463" t="s">
        <v>105</v>
      </c>
      <c r="E463" t="s">
        <v>1179</v>
      </c>
      <c r="G463" t="s">
        <v>576</v>
      </c>
      <c r="H463" t="s">
        <v>112</v>
      </c>
      <c r="L463" t="str">
        <f t="shared" si="82"/>
        <v>02_Slots/Gottheit/Goetter-mit-Epitheta/0060_Onuris/0040_jnj-Hr.t_05.png</v>
      </c>
    </row>
    <row r="464" spans="1:12" x14ac:dyDescent="0.2">
      <c r="A464" t="s">
        <v>60</v>
      </c>
      <c r="B464" s="28">
        <v>60</v>
      </c>
      <c r="C464" t="s">
        <v>105</v>
      </c>
      <c r="E464" t="s">
        <v>1179</v>
      </c>
      <c r="G464" t="s">
        <v>577</v>
      </c>
      <c r="H464" t="s">
        <v>112</v>
      </c>
      <c r="I464" t="s">
        <v>1147</v>
      </c>
      <c r="J464" t="s">
        <v>1103</v>
      </c>
      <c r="K464" t="s">
        <v>1149</v>
      </c>
      <c r="L464" t="str">
        <f>_xlfn.TEXTJOIN("", TRUE, D464:K464)</f>
        <v>02_Slots/Gottheit/Goetter-mit-Epitheta/0060_Onuris/0050_jnj-Hr.t_NR_01.png &lt;sup&gt;(NR)&lt;/sup&gt;</v>
      </c>
    </row>
    <row r="465" spans="1:12" x14ac:dyDescent="0.2">
      <c r="A465" t="s">
        <v>60</v>
      </c>
      <c r="B465" s="28">
        <v>60</v>
      </c>
      <c r="C465" t="s">
        <v>106</v>
      </c>
    </row>
    <row r="466" spans="1:12" x14ac:dyDescent="0.2">
      <c r="A466" t="s">
        <v>60</v>
      </c>
      <c r="B466" s="28">
        <v>60</v>
      </c>
      <c r="C466" t="s">
        <v>107</v>
      </c>
      <c r="L466" t="s">
        <v>129</v>
      </c>
    </row>
    <row r="467" spans="1:12" x14ac:dyDescent="0.2">
      <c r="A467" t="s">
        <v>60</v>
      </c>
      <c r="B467" s="28">
        <v>60</v>
      </c>
      <c r="C467" t="s">
        <v>108</v>
      </c>
    </row>
    <row r="468" spans="1:12" x14ac:dyDescent="0.2">
      <c r="B468" s="28"/>
    </row>
    <row r="469" spans="1:12" x14ac:dyDescent="0.2">
      <c r="B469" s="28"/>
    </row>
    <row r="470" spans="1:12" x14ac:dyDescent="0.2">
      <c r="A470" t="s">
        <v>60</v>
      </c>
      <c r="B470" s="28">
        <v>70</v>
      </c>
      <c r="C470" t="s">
        <v>39</v>
      </c>
      <c r="L470" t="s">
        <v>578</v>
      </c>
    </row>
    <row r="471" spans="1:12" x14ac:dyDescent="0.2">
      <c r="A471" t="s">
        <v>60</v>
      </c>
      <c r="B471" s="28">
        <v>70</v>
      </c>
      <c r="C471" t="s">
        <v>105</v>
      </c>
      <c r="E471" t="s">
        <v>1180</v>
      </c>
      <c r="G471" t="s">
        <v>579</v>
      </c>
      <c r="H471" t="s">
        <v>112</v>
      </c>
      <c r="L471" t="str">
        <f t="shared" ref="L471:L476" si="83">_xlfn.TEXTJOIN("", TRUE, D471:J471)</f>
        <v>02_Slots/Gottheit/Goetter-mit-Epitheta/0070_Anubis/0001_Jnpw_01.png</v>
      </c>
    </row>
    <row r="472" spans="1:12" x14ac:dyDescent="0.2">
      <c r="A472" t="s">
        <v>60</v>
      </c>
      <c r="B472" s="28">
        <v>70</v>
      </c>
      <c r="C472" t="s">
        <v>105</v>
      </c>
      <c r="E472" t="s">
        <v>1180</v>
      </c>
      <c r="G472" t="s">
        <v>580</v>
      </c>
      <c r="H472" t="s">
        <v>112</v>
      </c>
      <c r="L472" t="str">
        <f t="shared" si="83"/>
        <v>02_Slots/Gottheit/Goetter-mit-Epitheta/0070_Anubis/0010_Jnpw_02.png</v>
      </c>
    </row>
    <row r="473" spans="1:12" x14ac:dyDescent="0.2">
      <c r="A473" t="s">
        <v>60</v>
      </c>
      <c r="B473" s="28">
        <v>70</v>
      </c>
      <c r="C473" t="s">
        <v>105</v>
      </c>
      <c r="E473" t="s">
        <v>1180</v>
      </c>
      <c r="G473" t="s">
        <v>581</v>
      </c>
      <c r="H473" t="s">
        <v>112</v>
      </c>
      <c r="L473" t="str">
        <f t="shared" si="83"/>
        <v>02_Slots/Gottheit/Goetter-mit-Epitheta/0070_Anubis/0020_Jnpw_03.png</v>
      </c>
    </row>
    <row r="474" spans="1:12" x14ac:dyDescent="0.2">
      <c r="A474" t="s">
        <v>60</v>
      </c>
      <c r="B474" s="28">
        <v>70</v>
      </c>
      <c r="C474" t="s">
        <v>105</v>
      </c>
      <c r="E474" t="s">
        <v>1180</v>
      </c>
      <c r="G474" t="s">
        <v>582</v>
      </c>
      <c r="H474" t="s">
        <v>112</v>
      </c>
      <c r="L474" t="str">
        <f t="shared" si="83"/>
        <v>02_Slots/Gottheit/Goetter-mit-Epitheta/0070_Anubis/0030_Jnpw_04.png</v>
      </c>
    </row>
    <row r="475" spans="1:12" x14ac:dyDescent="0.2">
      <c r="A475" t="s">
        <v>60</v>
      </c>
      <c r="B475" s="28">
        <v>70</v>
      </c>
      <c r="C475" t="s">
        <v>105</v>
      </c>
      <c r="E475" t="s">
        <v>1180</v>
      </c>
      <c r="G475" t="s">
        <v>583</v>
      </c>
      <c r="H475" t="s">
        <v>112</v>
      </c>
      <c r="I475" t="s">
        <v>1147</v>
      </c>
      <c r="J475" t="s">
        <v>1139</v>
      </c>
      <c r="K475" t="s">
        <v>1149</v>
      </c>
      <c r="L475" t="str">
        <f>_xlfn.TEXTJOIN("", TRUE, D475:K475)</f>
        <v>02_Slots/Gottheit/Goetter-mit-Epitheta/0070_Anubis/0040_Jnpw_sp_01.png &lt;sup&gt;(Spät.)&lt;/sup&gt;</v>
      </c>
    </row>
    <row r="476" spans="1:12" x14ac:dyDescent="0.2">
      <c r="A476" t="s">
        <v>60</v>
      </c>
      <c r="B476" s="28">
        <v>70</v>
      </c>
      <c r="C476" t="s">
        <v>106</v>
      </c>
      <c r="E476" t="s">
        <v>1180</v>
      </c>
      <c r="F476" t="s">
        <v>110</v>
      </c>
      <c r="G476" t="s">
        <v>584</v>
      </c>
      <c r="H476" t="s">
        <v>112</v>
      </c>
      <c r="L476" t="str">
        <f t="shared" si="83"/>
        <v>02_Slots/Gottheit/Goetter-mit-Epitheta/0070_Anubis/det/0001_Jnpw_det_01.png</v>
      </c>
    </row>
    <row r="477" spans="1:12" x14ac:dyDescent="0.2">
      <c r="A477" t="s">
        <v>60</v>
      </c>
      <c r="B477" s="28">
        <v>70</v>
      </c>
      <c r="C477" t="s">
        <v>107</v>
      </c>
      <c r="L477" t="s">
        <v>130</v>
      </c>
    </row>
    <row r="478" spans="1:12" x14ac:dyDescent="0.2">
      <c r="A478" t="s">
        <v>60</v>
      </c>
      <c r="B478" s="28">
        <v>70</v>
      </c>
      <c r="C478" t="s">
        <v>108</v>
      </c>
      <c r="L478" t="s">
        <v>1121</v>
      </c>
    </row>
    <row r="480" spans="1:12" x14ac:dyDescent="0.2">
      <c r="A480" t="s">
        <v>586</v>
      </c>
      <c r="B480" s="27">
        <v>1</v>
      </c>
      <c r="C480" t="s">
        <v>39</v>
      </c>
      <c r="L480" t="s">
        <v>593</v>
      </c>
    </row>
    <row r="481" spans="1:12" x14ac:dyDescent="0.2">
      <c r="A481" t="s">
        <v>586</v>
      </c>
      <c r="B481" s="27">
        <v>1</v>
      </c>
      <c r="C481" t="s">
        <v>105</v>
      </c>
      <c r="E481" t="s">
        <v>1180</v>
      </c>
      <c r="F481" t="s">
        <v>587</v>
      </c>
      <c r="G481" t="s">
        <v>588</v>
      </c>
      <c r="H481" t="s">
        <v>112</v>
      </c>
      <c r="L481" t="str">
        <f>_xlfn.TEXTJOIN("", TRUE, D481:J481)</f>
        <v>02_Slots/Gottheit/Goetter-mit-Epitheta/0070_Anubis/epitheta/01_jmj-wt/0001_jmj-wt_01.png</v>
      </c>
    </row>
    <row r="482" spans="1:12" x14ac:dyDescent="0.2">
      <c r="A482" t="s">
        <v>586</v>
      </c>
      <c r="B482" s="27">
        <v>1</v>
      </c>
      <c r="C482" t="s">
        <v>105</v>
      </c>
      <c r="E482" t="s">
        <v>1180</v>
      </c>
      <c r="F482" t="s">
        <v>587</v>
      </c>
      <c r="G482" t="s">
        <v>589</v>
      </c>
      <c r="H482" t="s">
        <v>112</v>
      </c>
      <c r="L482" t="str">
        <f>_xlfn.TEXTJOIN("", TRUE, D482:J482)</f>
        <v>02_Slots/Gottheit/Goetter-mit-Epitheta/0070_Anubis/epitheta/01_jmj-wt/0010_jmj-wt_02.png</v>
      </c>
    </row>
    <row r="483" spans="1:12" x14ac:dyDescent="0.2">
      <c r="A483" t="s">
        <v>586</v>
      </c>
      <c r="B483" s="27">
        <v>1</v>
      </c>
      <c r="C483" t="s">
        <v>105</v>
      </c>
      <c r="E483" t="s">
        <v>1180</v>
      </c>
      <c r="F483" t="s">
        <v>587</v>
      </c>
      <c r="G483" t="s">
        <v>590</v>
      </c>
      <c r="H483" t="s">
        <v>112</v>
      </c>
      <c r="I483" t="s">
        <v>1147</v>
      </c>
      <c r="J483" t="s">
        <v>1148</v>
      </c>
      <c r="K483" t="s">
        <v>1149</v>
      </c>
      <c r="L483" t="str">
        <f t="shared" ref="L483:L484" si="84">_xlfn.TEXTJOIN("", TRUE, D483:K483)</f>
        <v>02_Slots/Gottheit/Goetter-mit-Epitheta/0070_Anubis/epitheta/01_jmj-wt/0020_jmj-wt_AR_01.png &lt;sup&gt;(AR)&lt;/sup&gt;</v>
      </c>
    </row>
    <row r="484" spans="1:12" x14ac:dyDescent="0.2">
      <c r="A484" t="s">
        <v>586</v>
      </c>
      <c r="B484" s="27">
        <v>1</v>
      </c>
      <c r="C484" t="s">
        <v>105</v>
      </c>
      <c r="E484" t="s">
        <v>1180</v>
      </c>
      <c r="F484" t="s">
        <v>587</v>
      </c>
      <c r="G484" t="s">
        <v>591</v>
      </c>
      <c r="H484" t="s">
        <v>112</v>
      </c>
      <c r="I484" t="s">
        <v>1147</v>
      </c>
      <c r="J484" t="s">
        <v>1148</v>
      </c>
      <c r="K484" t="s">
        <v>1149</v>
      </c>
      <c r="L484" t="str">
        <f t="shared" si="84"/>
        <v>02_Slots/Gottheit/Goetter-mit-Epitheta/0070_Anubis/epitheta/01_jmj-wt/0030_jmj-wt_AR_02.png &lt;sup&gt;(AR)&lt;/sup&gt;</v>
      </c>
    </row>
    <row r="485" spans="1:12" x14ac:dyDescent="0.2">
      <c r="A485" t="s">
        <v>586</v>
      </c>
      <c r="B485" s="27">
        <v>1</v>
      </c>
      <c r="C485" t="s">
        <v>27</v>
      </c>
      <c r="L485" t="s">
        <v>592</v>
      </c>
    </row>
    <row r="487" spans="1:12" x14ac:dyDescent="0.2">
      <c r="A487" t="s">
        <v>586</v>
      </c>
      <c r="B487" s="27">
        <v>2</v>
      </c>
      <c r="C487" t="s">
        <v>39</v>
      </c>
      <c r="L487" t="s">
        <v>596</v>
      </c>
    </row>
    <row r="488" spans="1:12" x14ac:dyDescent="0.2">
      <c r="A488" t="s">
        <v>586</v>
      </c>
      <c r="B488" s="27">
        <v>2</v>
      </c>
      <c r="C488" t="s">
        <v>105</v>
      </c>
      <c r="E488" t="s">
        <v>1180</v>
      </c>
      <c r="F488" t="s">
        <v>594</v>
      </c>
      <c r="G488" t="s">
        <v>595</v>
      </c>
      <c r="H488" t="s">
        <v>112</v>
      </c>
      <c r="L488" t="str">
        <f>_xlfn.TEXTJOIN("", TRUE, D488:J488)</f>
        <v>02_Slots/Gottheit/Goetter-mit-Epitheta/0070_Anubis/epitheta/02_nb-tA-Dsr/0001_nb-tA-Dsr_01.png</v>
      </c>
    </row>
    <row r="489" spans="1:12" x14ac:dyDescent="0.2">
      <c r="A489" t="s">
        <v>586</v>
      </c>
      <c r="B489" s="27">
        <v>2</v>
      </c>
      <c r="C489" t="s">
        <v>27</v>
      </c>
      <c r="L489" t="s">
        <v>597</v>
      </c>
    </row>
    <row r="491" spans="1:12" x14ac:dyDescent="0.2">
      <c r="A491" t="s">
        <v>586</v>
      </c>
      <c r="B491" s="27">
        <v>3</v>
      </c>
      <c r="C491" t="s">
        <v>39</v>
      </c>
      <c r="L491" t="s">
        <v>598</v>
      </c>
    </row>
    <row r="492" spans="1:12" x14ac:dyDescent="0.2">
      <c r="A492" t="s">
        <v>586</v>
      </c>
      <c r="B492" s="27">
        <v>3</v>
      </c>
      <c r="C492" t="s">
        <v>105</v>
      </c>
      <c r="E492" t="s">
        <v>1180</v>
      </c>
      <c r="F492" t="s">
        <v>600</v>
      </c>
      <c r="G492" t="s">
        <v>601</v>
      </c>
      <c r="H492" t="s">
        <v>112</v>
      </c>
      <c r="L492" t="str">
        <f>_xlfn.TEXTJOIN("", TRUE, D492:J492)</f>
        <v>02_Slots/Gottheit/Goetter-mit-Epitheta/0070_Anubis/epitheta/03_tp.j-Dw=f/0001_tp.j-Dw=f_01.png</v>
      </c>
    </row>
    <row r="493" spans="1:12" x14ac:dyDescent="0.2">
      <c r="A493" t="s">
        <v>586</v>
      </c>
      <c r="B493" s="27">
        <v>3</v>
      </c>
      <c r="C493" t="s">
        <v>105</v>
      </c>
      <c r="E493" t="s">
        <v>1180</v>
      </c>
      <c r="F493" t="s">
        <v>600</v>
      </c>
      <c r="G493" t="s">
        <v>602</v>
      </c>
      <c r="H493" t="s">
        <v>112</v>
      </c>
      <c r="L493" t="str">
        <f>_xlfn.TEXTJOIN("", TRUE, D493:J493)</f>
        <v>02_Slots/Gottheit/Goetter-mit-Epitheta/0070_Anubis/epitheta/03_tp.j-Dw=f/0010_tp.j-Dw=f_02.png</v>
      </c>
    </row>
    <row r="494" spans="1:12" x14ac:dyDescent="0.2">
      <c r="A494" t="s">
        <v>586</v>
      </c>
      <c r="B494" s="27">
        <v>3</v>
      </c>
      <c r="C494" t="s">
        <v>105</v>
      </c>
      <c r="E494" t="s">
        <v>1180</v>
      </c>
      <c r="F494" t="s">
        <v>600</v>
      </c>
      <c r="G494" t="s">
        <v>603</v>
      </c>
      <c r="H494" t="s">
        <v>112</v>
      </c>
      <c r="L494" t="str">
        <f>_xlfn.TEXTJOIN("", TRUE, D494:J494)</f>
        <v>02_Slots/Gottheit/Goetter-mit-Epitheta/0070_Anubis/epitheta/03_tp.j-Dw=f/0020_tp.j.Dw=f_03.png</v>
      </c>
    </row>
    <row r="495" spans="1:12" x14ac:dyDescent="0.2">
      <c r="A495" t="s">
        <v>586</v>
      </c>
      <c r="B495" s="27">
        <v>3</v>
      </c>
      <c r="C495" t="s">
        <v>105</v>
      </c>
      <c r="E495" t="s">
        <v>1180</v>
      </c>
      <c r="F495" t="s">
        <v>600</v>
      </c>
      <c r="G495" t="s">
        <v>604</v>
      </c>
      <c r="H495" t="s">
        <v>112</v>
      </c>
      <c r="I495" t="s">
        <v>1147</v>
      </c>
      <c r="J495" t="s">
        <v>1103</v>
      </c>
      <c r="K495" t="s">
        <v>1149</v>
      </c>
      <c r="L495" t="str">
        <f>_xlfn.TEXTJOIN("", TRUE, D495:K495)</f>
        <v>02_Slots/Gottheit/Goetter-mit-Epitheta/0070_Anubis/epitheta/03_tp.j-Dw=f/0030_tp.j-Dw=f_NR_01.png &lt;sup&gt;(NR)&lt;/sup&gt;</v>
      </c>
    </row>
    <row r="496" spans="1:12" x14ac:dyDescent="0.2">
      <c r="A496" t="s">
        <v>586</v>
      </c>
      <c r="B496" s="27">
        <v>3</v>
      </c>
      <c r="C496" t="s">
        <v>27</v>
      </c>
      <c r="L496" t="s">
        <v>599</v>
      </c>
    </row>
    <row r="498" spans="1:12" x14ac:dyDescent="0.2">
      <c r="A498" t="s">
        <v>586</v>
      </c>
      <c r="B498" s="27">
        <v>4</v>
      </c>
      <c r="C498" t="s">
        <v>39</v>
      </c>
      <c r="L498" t="s">
        <v>605</v>
      </c>
    </row>
    <row r="499" spans="1:12" x14ac:dyDescent="0.2">
      <c r="A499" t="s">
        <v>586</v>
      </c>
      <c r="B499" s="27">
        <v>4</v>
      </c>
      <c r="C499" t="s">
        <v>105</v>
      </c>
      <c r="E499" t="s">
        <v>1180</v>
      </c>
      <c r="F499" t="s">
        <v>607</v>
      </c>
      <c r="G499" t="s">
        <v>608</v>
      </c>
      <c r="H499" t="s">
        <v>112</v>
      </c>
      <c r="I499" t="s">
        <v>1147</v>
      </c>
      <c r="J499" t="s">
        <v>1148</v>
      </c>
      <c r="K499" t="s">
        <v>1149</v>
      </c>
      <c r="L499" t="str">
        <f t="shared" ref="L499:L507" si="85">_xlfn.TEXTJOIN("", TRUE, D499:K499)</f>
        <v>02_Slots/Gottheit/Goetter-mit-Epitheta/0070_Anubis/epitheta/04_xnt.j-sH-nTr/0001_xnt.j-sH-nTr_AR_01.png &lt;sup&gt;(AR)&lt;/sup&gt;</v>
      </c>
    </row>
    <row r="500" spans="1:12" x14ac:dyDescent="0.2">
      <c r="A500" t="s">
        <v>586</v>
      </c>
      <c r="B500" s="27">
        <v>4</v>
      </c>
      <c r="C500" t="s">
        <v>105</v>
      </c>
      <c r="E500" t="s">
        <v>1180</v>
      </c>
      <c r="F500" t="s">
        <v>607</v>
      </c>
      <c r="G500" t="s">
        <v>609</v>
      </c>
      <c r="H500" t="s">
        <v>112</v>
      </c>
      <c r="I500" t="s">
        <v>1147</v>
      </c>
      <c r="J500" t="s">
        <v>1148</v>
      </c>
      <c r="K500" t="s">
        <v>1149</v>
      </c>
      <c r="L500" t="str">
        <f t="shared" si="85"/>
        <v>02_Slots/Gottheit/Goetter-mit-Epitheta/0070_Anubis/epitheta/04_xnt.j-sH-nTr/0010_xnt.j-sH-nTr_AR_02.png &lt;sup&gt;(AR)&lt;/sup&gt;</v>
      </c>
    </row>
    <row r="501" spans="1:12" x14ac:dyDescent="0.2">
      <c r="A501" t="s">
        <v>586</v>
      </c>
      <c r="B501" s="27">
        <v>4</v>
      </c>
      <c r="C501" t="s">
        <v>105</v>
      </c>
      <c r="E501" t="s">
        <v>1180</v>
      </c>
      <c r="F501" t="s">
        <v>607</v>
      </c>
      <c r="G501" t="s">
        <v>610</v>
      </c>
      <c r="H501" t="s">
        <v>112</v>
      </c>
      <c r="I501" t="s">
        <v>1147</v>
      </c>
      <c r="J501" t="s">
        <v>1148</v>
      </c>
      <c r="K501" t="s">
        <v>1149</v>
      </c>
      <c r="L501" t="str">
        <f t="shared" si="85"/>
        <v>02_Slots/Gottheit/Goetter-mit-Epitheta/0070_Anubis/epitheta/04_xnt.j-sH-nTr/0020_xnt.j-sH-nTr_AR_03.png &lt;sup&gt;(AR)&lt;/sup&gt;</v>
      </c>
    </row>
    <row r="502" spans="1:12" x14ac:dyDescent="0.2">
      <c r="A502" t="s">
        <v>586</v>
      </c>
      <c r="B502" s="27">
        <v>4</v>
      </c>
      <c r="C502" t="s">
        <v>105</v>
      </c>
      <c r="E502" t="s">
        <v>1180</v>
      </c>
      <c r="F502" t="s">
        <v>607</v>
      </c>
      <c r="G502" t="s">
        <v>611</v>
      </c>
      <c r="H502" t="s">
        <v>112</v>
      </c>
      <c r="I502" t="s">
        <v>1147</v>
      </c>
      <c r="J502" t="s">
        <v>1151</v>
      </c>
      <c r="K502" t="s">
        <v>1149</v>
      </c>
      <c r="L502" t="str">
        <f t="shared" si="85"/>
        <v>02_Slots/Gottheit/Goetter-mit-Epitheta/0070_Anubis/epitheta/04_xnt.j-sH-nTr/0030_xnt.j-sH-nTr_MR_01.png &lt;sup&gt;(MR)&lt;/sup&gt;</v>
      </c>
    </row>
    <row r="503" spans="1:12" x14ac:dyDescent="0.2">
      <c r="A503" t="s">
        <v>586</v>
      </c>
      <c r="B503" s="27">
        <v>4</v>
      </c>
      <c r="C503" t="s">
        <v>105</v>
      </c>
      <c r="E503" t="s">
        <v>1180</v>
      </c>
      <c r="F503" t="s">
        <v>607</v>
      </c>
      <c r="G503" t="s">
        <v>612</v>
      </c>
      <c r="H503" t="s">
        <v>112</v>
      </c>
      <c r="I503" t="s">
        <v>1147</v>
      </c>
      <c r="J503" t="s">
        <v>1151</v>
      </c>
      <c r="K503" t="s">
        <v>1149</v>
      </c>
      <c r="L503" t="str">
        <f t="shared" si="85"/>
        <v>02_Slots/Gottheit/Goetter-mit-Epitheta/0070_Anubis/epitheta/04_xnt.j-sH-nTr/0040_xnt.j-sH-nTr_MR_02.png &lt;sup&gt;(MR)&lt;/sup&gt;</v>
      </c>
    </row>
    <row r="504" spans="1:12" x14ac:dyDescent="0.2">
      <c r="A504" t="s">
        <v>586</v>
      </c>
      <c r="B504" s="27">
        <v>4</v>
      </c>
      <c r="C504" t="s">
        <v>105</v>
      </c>
      <c r="E504" t="s">
        <v>1180</v>
      </c>
      <c r="F504" t="s">
        <v>607</v>
      </c>
      <c r="G504" t="s">
        <v>613</v>
      </c>
      <c r="H504" t="s">
        <v>112</v>
      </c>
      <c r="I504" t="s">
        <v>1147</v>
      </c>
      <c r="J504" t="s">
        <v>1155</v>
      </c>
      <c r="K504" t="s">
        <v>1149</v>
      </c>
      <c r="L504" t="str">
        <f t="shared" si="85"/>
        <v>02_Slots/Gottheit/Goetter-mit-Epitheta/0070_Anubis/epitheta/04_xnt.j-sH-nTr/0050_xnt.j-sH-nTr_D.18_01.png &lt;sup&gt;(D.18)&lt;/sup&gt;</v>
      </c>
    </row>
    <row r="505" spans="1:12" x14ac:dyDescent="0.2">
      <c r="A505" t="s">
        <v>586</v>
      </c>
      <c r="B505" s="27">
        <v>4</v>
      </c>
      <c r="C505" t="s">
        <v>105</v>
      </c>
      <c r="E505" t="s">
        <v>1180</v>
      </c>
      <c r="F505" t="s">
        <v>607</v>
      </c>
      <c r="G505" t="s">
        <v>614</v>
      </c>
      <c r="H505" t="s">
        <v>112</v>
      </c>
      <c r="I505" t="s">
        <v>1147</v>
      </c>
      <c r="J505" t="s">
        <v>1150</v>
      </c>
      <c r="K505" t="s">
        <v>1149</v>
      </c>
      <c r="L505" t="str">
        <f t="shared" si="85"/>
        <v>02_Slots/Gottheit/Goetter-mit-Epitheta/0070_Anubis/epitheta/04_xnt.j-sH-nTr/0060_xnt.j-sH-nTr_GR_01.png &lt;sup&gt;(Gr.)&lt;/sup&gt;</v>
      </c>
    </row>
    <row r="506" spans="1:12" x14ac:dyDescent="0.2">
      <c r="A506" t="s">
        <v>586</v>
      </c>
      <c r="B506" s="27">
        <v>4</v>
      </c>
      <c r="C506" t="s">
        <v>105</v>
      </c>
      <c r="E506" t="s">
        <v>1180</v>
      </c>
      <c r="F506" t="s">
        <v>607</v>
      </c>
      <c r="G506" t="s">
        <v>615</v>
      </c>
      <c r="H506" t="s">
        <v>112</v>
      </c>
      <c r="I506" t="s">
        <v>1147</v>
      </c>
      <c r="J506" t="s">
        <v>1150</v>
      </c>
      <c r="K506" t="s">
        <v>1149</v>
      </c>
      <c r="L506" t="str">
        <f t="shared" si="85"/>
        <v>02_Slots/Gottheit/Goetter-mit-Epitheta/0070_Anubis/epitheta/04_xnt.j-sH-nTr/0070_xnt.j-sH-nTr_GR_02.png &lt;sup&gt;(Gr.)&lt;/sup&gt;</v>
      </c>
    </row>
    <row r="507" spans="1:12" x14ac:dyDescent="0.2">
      <c r="A507" t="s">
        <v>586</v>
      </c>
      <c r="B507" s="27">
        <v>4</v>
      </c>
      <c r="C507" t="s">
        <v>105</v>
      </c>
      <c r="E507" t="s">
        <v>1180</v>
      </c>
      <c r="F507" t="s">
        <v>607</v>
      </c>
      <c r="G507" t="s">
        <v>616</v>
      </c>
      <c r="H507" t="s">
        <v>112</v>
      </c>
      <c r="I507" t="s">
        <v>1147</v>
      </c>
      <c r="J507" t="s">
        <v>1150</v>
      </c>
      <c r="K507" t="s">
        <v>1149</v>
      </c>
      <c r="L507" t="str">
        <f t="shared" si="85"/>
        <v>02_Slots/Gottheit/Goetter-mit-Epitheta/0070_Anubis/epitheta/04_xnt.j-sH-nTr/0080_xnt.j-sH-nTr_GR_03.png &lt;sup&gt;(Gr.)&lt;/sup&gt;</v>
      </c>
    </row>
    <row r="508" spans="1:12" x14ac:dyDescent="0.2">
      <c r="A508" t="s">
        <v>586</v>
      </c>
      <c r="B508" s="27">
        <v>4</v>
      </c>
      <c r="C508" t="s">
        <v>27</v>
      </c>
      <c r="L508" t="s">
        <v>606</v>
      </c>
    </row>
    <row r="514" spans="1:12" x14ac:dyDescent="0.2">
      <c r="A514" t="s">
        <v>60</v>
      </c>
      <c r="B514" s="28">
        <v>80</v>
      </c>
      <c r="C514" t="s">
        <v>39</v>
      </c>
      <c r="L514" t="s">
        <v>617</v>
      </c>
    </row>
    <row r="515" spans="1:12" x14ac:dyDescent="0.2">
      <c r="A515" t="s">
        <v>60</v>
      </c>
      <c r="B515" s="28">
        <v>80</v>
      </c>
      <c r="C515" t="s">
        <v>105</v>
      </c>
      <c r="E515" t="s">
        <v>1181</v>
      </c>
      <c r="G515" t="s">
        <v>618</v>
      </c>
      <c r="H515" t="s">
        <v>112</v>
      </c>
      <c r="L515" t="str">
        <f t="shared" ref="L515:L517" si="86">_xlfn.TEXTJOIN("", TRUE, D515:J515)</f>
        <v>02_Slots/Gottheit/Goetter-mit-Epitheta/0080_Atum/0001_Jtm_01.png</v>
      </c>
    </row>
    <row r="516" spans="1:12" x14ac:dyDescent="0.2">
      <c r="A516" t="s">
        <v>60</v>
      </c>
      <c r="B516" s="28">
        <v>80</v>
      </c>
      <c r="C516" t="s">
        <v>105</v>
      </c>
      <c r="E516" t="s">
        <v>1181</v>
      </c>
      <c r="G516" t="s">
        <v>619</v>
      </c>
      <c r="H516" t="s">
        <v>112</v>
      </c>
      <c r="L516" t="str">
        <f t="shared" si="86"/>
        <v>02_Slots/Gottheit/Goetter-mit-Epitheta/0080_Atum/0010_Jtm_02.png</v>
      </c>
    </row>
    <row r="517" spans="1:12" x14ac:dyDescent="0.2">
      <c r="A517" t="s">
        <v>60</v>
      </c>
      <c r="B517" s="28">
        <v>80</v>
      </c>
      <c r="C517" t="s">
        <v>105</v>
      </c>
      <c r="E517" t="s">
        <v>1181</v>
      </c>
      <c r="G517" t="s">
        <v>620</v>
      </c>
      <c r="H517" t="s">
        <v>112</v>
      </c>
      <c r="L517" t="str">
        <f t="shared" si="86"/>
        <v>02_Slots/Gottheit/Goetter-mit-Epitheta/0080_Atum/0020_Jtm_03.png</v>
      </c>
    </row>
    <row r="518" spans="1:12" x14ac:dyDescent="0.2">
      <c r="A518" t="s">
        <v>60</v>
      </c>
      <c r="B518" s="28">
        <v>80</v>
      </c>
      <c r="C518" t="s">
        <v>105</v>
      </c>
      <c r="E518" t="s">
        <v>1181</v>
      </c>
      <c r="G518" t="s">
        <v>621</v>
      </c>
      <c r="H518" t="s">
        <v>112</v>
      </c>
      <c r="I518" t="s">
        <v>1147</v>
      </c>
      <c r="J518" t="s">
        <v>1151</v>
      </c>
      <c r="K518" t="s">
        <v>1149</v>
      </c>
      <c r="L518" t="str">
        <f t="shared" ref="L518:L521" si="87">_xlfn.TEXTJOIN("", TRUE, D518:K518)</f>
        <v>02_Slots/Gottheit/Goetter-mit-Epitheta/0080_Atum/0030_Jtm_MR_01.png &lt;sup&gt;(MR)&lt;/sup&gt;</v>
      </c>
    </row>
    <row r="519" spans="1:12" x14ac:dyDescent="0.2">
      <c r="A519" t="s">
        <v>60</v>
      </c>
      <c r="B519" s="28">
        <v>80</v>
      </c>
      <c r="C519" t="s">
        <v>105</v>
      </c>
      <c r="E519" t="s">
        <v>1181</v>
      </c>
      <c r="G519" t="s">
        <v>622</v>
      </c>
      <c r="H519" t="s">
        <v>112</v>
      </c>
      <c r="I519" t="s">
        <v>1147</v>
      </c>
      <c r="J519" t="s">
        <v>1151</v>
      </c>
      <c r="K519" t="s">
        <v>1149</v>
      </c>
      <c r="L519" t="str">
        <f t="shared" si="87"/>
        <v>02_Slots/Gottheit/Goetter-mit-Epitheta/0080_Atum/0040_Jtm_MR_02.png &lt;sup&gt;(MR)&lt;/sup&gt;</v>
      </c>
    </row>
    <row r="520" spans="1:12" x14ac:dyDescent="0.2">
      <c r="A520" t="s">
        <v>60</v>
      </c>
      <c r="B520" s="28">
        <v>80</v>
      </c>
      <c r="C520" t="s">
        <v>105</v>
      </c>
      <c r="E520" t="s">
        <v>1181</v>
      </c>
      <c r="G520" t="s">
        <v>623</v>
      </c>
      <c r="H520" t="s">
        <v>112</v>
      </c>
      <c r="I520" t="s">
        <v>1147</v>
      </c>
      <c r="J520" t="s">
        <v>1103</v>
      </c>
      <c r="K520" t="s">
        <v>1149</v>
      </c>
      <c r="L520" t="str">
        <f t="shared" si="87"/>
        <v>02_Slots/Gottheit/Goetter-mit-Epitheta/0080_Atum/0050_Jtm_NR_01.png &lt;sup&gt;(NR)&lt;/sup&gt;</v>
      </c>
    </row>
    <row r="521" spans="1:12" x14ac:dyDescent="0.2">
      <c r="A521" t="s">
        <v>60</v>
      </c>
      <c r="B521" s="28">
        <v>80</v>
      </c>
      <c r="C521" t="s">
        <v>105</v>
      </c>
      <c r="E521" t="s">
        <v>1181</v>
      </c>
      <c r="G521" t="s">
        <v>624</v>
      </c>
      <c r="H521" t="s">
        <v>112</v>
      </c>
      <c r="I521" t="s">
        <v>1147</v>
      </c>
      <c r="J521" t="s">
        <v>1156</v>
      </c>
      <c r="K521" t="s">
        <v>1149</v>
      </c>
      <c r="L521" t="str">
        <f t="shared" si="87"/>
        <v>02_Slots/Gottheit/Goetter-mit-Epitheta/0080_Atum/0060_Jtm_SP_01.png &lt;sup&gt;(Sp.)&lt;/sup&gt;</v>
      </c>
    </row>
    <row r="522" spans="1:12" x14ac:dyDescent="0.2">
      <c r="A522" t="s">
        <v>60</v>
      </c>
      <c r="B522" s="28">
        <v>80</v>
      </c>
      <c r="C522" t="s">
        <v>106</v>
      </c>
    </row>
    <row r="523" spans="1:12" x14ac:dyDescent="0.2">
      <c r="A523" t="s">
        <v>60</v>
      </c>
      <c r="B523" s="28">
        <v>80</v>
      </c>
      <c r="C523" t="s">
        <v>107</v>
      </c>
      <c r="L523" t="s">
        <v>131</v>
      </c>
    </row>
    <row r="524" spans="1:12" x14ac:dyDescent="0.2">
      <c r="A524" t="s">
        <v>60</v>
      </c>
      <c r="B524" s="28">
        <v>80</v>
      </c>
      <c r="C524" t="s">
        <v>108</v>
      </c>
      <c r="L524" t="s">
        <v>1122</v>
      </c>
    </row>
    <row r="526" spans="1:12" x14ac:dyDescent="0.2">
      <c r="A526" t="s">
        <v>626</v>
      </c>
      <c r="B526" s="27">
        <v>1</v>
      </c>
      <c r="C526" t="s">
        <v>39</v>
      </c>
      <c r="L526" t="s">
        <v>629</v>
      </c>
    </row>
    <row r="527" spans="1:12" x14ac:dyDescent="0.2">
      <c r="A527" t="s">
        <v>626</v>
      </c>
      <c r="B527" s="27">
        <v>1</v>
      </c>
      <c r="C527" t="s">
        <v>105</v>
      </c>
      <c r="E527" t="s">
        <v>1181</v>
      </c>
      <c r="F527" t="s">
        <v>627</v>
      </c>
      <c r="G527" t="s">
        <v>628</v>
      </c>
      <c r="H527" t="s">
        <v>112</v>
      </c>
      <c r="L527" t="str">
        <f>_xlfn.TEXTJOIN("", TRUE, D527:J527)</f>
        <v>02_Slots/Gottheit/Goetter-mit-Epitheta/0080_Atum/epitheta/01_jwnwy/0001_jwnwy_01.png</v>
      </c>
    </row>
    <row r="528" spans="1:12" x14ac:dyDescent="0.2">
      <c r="A528" t="s">
        <v>626</v>
      </c>
      <c r="B528" s="27">
        <v>1</v>
      </c>
      <c r="C528" t="s">
        <v>105</v>
      </c>
      <c r="E528" t="s">
        <v>1181</v>
      </c>
      <c r="F528" t="s">
        <v>627</v>
      </c>
      <c r="G528" t="s">
        <v>630</v>
      </c>
      <c r="H528" t="s">
        <v>112</v>
      </c>
      <c r="L528" t="str">
        <f>_xlfn.TEXTJOIN("", TRUE, D528:J528)</f>
        <v>02_Slots/Gottheit/Goetter-mit-Epitheta/0080_Atum/epitheta/01_jwnwy/0010_jwnwy_02.png</v>
      </c>
    </row>
    <row r="529" spans="1:12" x14ac:dyDescent="0.2">
      <c r="A529" t="s">
        <v>626</v>
      </c>
      <c r="B529" s="27">
        <v>1</v>
      </c>
      <c r="C529" t="s">
        <v>27</v>
      </c>
      <c r="L529" t="s">
        <v>652</v>
      </c>
    </row>
    <row r="532" spans="1:12" x14ac:dyDescent="0.2">
      <c r="A532" t="s">
        <v>60</v>
      </c>
      <c r="B532" s="28">
        <v>90</v>
      </c>
      <c r="C532" t="s">
        <v>39</v>
      </c>
      <c r="L532" t="s">
        <v>631</v>
      </c>
    </row>
    <row r="533" spans="1:12" x14ac:dyDescent="0.2">
      <c r="A533" t="s">
        <v>60</v>
      </c>
      <c r="B533" s="28">
        <v>90</v>
      </c>
      <c r="C533" t="s">
        <v>105</v>
      </c>
      <c r="E533" t="s">
        <v>1182</v>
      </c>
      <c r="G533" t="s">
        <v>632</v>
      </c>
      <c r="H533" t="s">
        <v>112</v>
      </c>
      <c r="L533" t="str">
        <f>_xlfn.TEXTJOIN("", TRUE, D533:J533)</f>
        <v>02_Slots/Gottheit/Goetter-mit-Epitheta/0090_Aton/0001_jtn_01.png</v>
      </c>
    </row>
    <row r="534" spans="1:12" x14ac:dyDescent="0.2">
      <c r="A534" t="s">
        <v>60</v>
      </c>
      <c r="B534" s="28">
        <v>90</v>
      </c>
      <c r="C534" t="s">
        <v>105</v>
      </c>
      <c r="E534" t="s">
        <v>1182</v>
      </c>
      <c r="G534" t="s">
        <v>633</v>
      </c>
      <c r="H534" t="s">
        <v>112</v>
      </c>
      <c r="L534" t="str">
        <f>_xlfn.TEXTJOIN("", TRUE, D534:J534)</f>
        <v>02_Slots/Gottheit/Goetter-mit-Epitheta/0090_Aton/0010_jtn_02.png</v>
      </c>
    </row>
    <row r="535" spans="1:12" x14ac:dyDescent="0.2">
      <c r="A535" t="s">
        <v>60</v>
      </c>
      <c r="B535" s="28">
        <v>90</v>
      </c>
      <c r="C535" t="s">
        <v>105</v>
      </c>
      <c r="E535" t="s">
        <v>1182</v>
      </c>
      <c r="G535" t="s">
        <v>634</v>
      </c>
      <c r="H535" t="s">
        <v>112</v>
      </c>
      <c r="I535" t="s">
        <v>1147</v>
      </c>
      <c r="J535" t="s">
        <v>1155</v>
      </c>
      <c r="K535" t="s">
        <v>1149</v>
      </c>
      <c r="L535" t="str">
        <f t="shared" ref="L535:L537" si="88">_xlfn.TEXTJOIN("", TRUE, D535:K535)</f>
        <v>02_Slots/Gottheit/Goetter-mit-Epitheta/0090_Aton/0020_jtn_D.18_01.png &lt;sup&gt;(D.18)&lt;/sup&gt;</v>
      </c>
    </row>
    <row r="536" spans="1:12" x14ac:dyDescent="0.2">
      <c r="A536" t="s">
        <v>60</v>
      </c>
      <c r="B536" s="28">
        <v>90</v>
      </c>
      <c r="C536" t="s">
        <v>105</v>
      </c>
      <c r="E536" t="s">
        <v>1182</v>
      </c>
      <c r="G536" t="s">
        <v>635</v>
      </c>
      <c r="H536" t="s">
        <v>112</v>
      </c>
      <c r="I536" t="s">
        <v>1147</v>
      </c>
      <c r="J536" t="s">
        <v>1150</v>
      </c>
      <c r="K536" t="s">
        <v>1149</v>
      </c>
      <c r="L536" t="str">
        <f t="shared" si="88"/>
        <v>02_Slots/Gottheit/Goetter-mit-Epitheta/0090_Aton/0030_jtn_GR_01.png &lt;sup&gt;(Gr.)&lt;/sup&gt;</v>
      </c>
    </row>
    <row r="537" spans="1:12" x14ac:dyDescent="0.2">
      <c r="A537" t="s">
        <v>60</v>
      </c>
      <c r="B537" s="28">
        <v>90</v>
      </c>
      <c r="C537" t="s">
        <v>105</v>
      </c>
      <c r="E537" t="s">
        <v>1182</v>
      </c>
      <c r="G537" t="s">
        <v>636</v>
      </c>
      <c r="H537" t="s">
        <v>112</v>
      </c>
      <c r="I537" t="s">
        <v>1147</v>
      </c>
      <c r="J537" t="s">
        <v>1150</v>
      </c>
      <c r="K537" t="s">
        <v>1149</v>
      </c>
      <c r="L537" t="str">
        <f t="shared" si="88"/>
        <v>02_Slots/Gottheit/Goetter-mit-Epitheta/0090_Aton/0040_jtn_GR_02.png &lt;sup&gt;(Gr.)&lt;/sup&gt;</v>
      </c>
    </row>
    <row r="538" spans="1:12" x14ac:dyDescent="0.2">
      <c r="A538" t="s">
        <v>60</v>
      </c>
      <c r="B538" s="28">
        <v>90</v>
      </c>
      <c r="C538" t="s">
        <v>106</v>
      </c>
    </row>
    <row r="539" spans="1:12" x14ac:dyDescent="0.2">
      <c r="A539" t="s">
        <v>60</v>
      </c>
      <c r="B539" s="28">
        <v>90</v>
      </c>
      <c r="C539" t="s">
        <v>107</v>
      </c>
      <c r="L539" t="s">
        <v>132</v>
      </c>
    </row>
    <row r="540" spans="1:12" x14ac:dyDescent="0.2">
      <c r="A540" t="s">
        <v>60</v>
      </c>
      <c r="B540" s="28">
        <v>90</v>
      </c>
      <c r="C540" t="s">
        <v>108</v>
      </c>
      <c r="L540" t="s">
        <v>1123</v>
      </c>
    </row>
    <row r="542" spans="1:12" x14ac:dyDescent="0.2">
      <c r="A542" t="s">
        <v>625</v>
      </c>
      <c r="B542" s="27">
        <v>1</v>
      </c>
      <c r="C542" t="s">
        <v>39</v>
      </c>
      <c r="L542" t="s">
        <v>1333</v>
      </c>
    </row>
    <row r="543" spans="1:12" x14ac:dyDescent="0.2">
      <c r="A543" t="s">
        <v>625</v>
      </c>
      <c r="B543" s="27">
        <v>1</v>
      </c>
      <c r="C543" t="s">
        <v>105</v>
      </c>
      <c r="E543" t="s">
        <v>1182</v>
      </c>
      <c r="F543" t="s">
        <v>1337</v>
      </c>
      <c r="G543" t="s">
        <v>637</v>
      </c>
      <c r="H543" t="s">
        <v>112</v>
      </c>
      <c r="L543" t="str">
        <f>_xlfn.TEXTJOIN("", TRUE, D543:J543)</f>
        <v>02_Slots/Gottheit/Goetter-mit-Epitheta/0090_Aton/epitheta/01_anx-Hr-Ax.tj-Hay-m-Ax.t-m-rn=f-m-jt-Ra-jj-m-jtn/0001_anx-Hr-Ax.tj-Hay-m-Ax.t_01.png</v>
      </c>
    </row>
    <row r="544" spans="1:12" x14ac:dyDescent="0.2">
      <c r="A544" t="s">
        <v>625</v>
      </c>
      <c r="B544" s="27">
        <v>1</v>
      </c>
      <c r="C544" t="s">
        <v>105</v>
      </c>
      <c r="E544" t="s">
        <v>1182</v>
      </c>
      <c r="F544" t="s">
        <v>1337</v>
      </c>
      <c r="G544" t="s">
        <v>1338</v>
      </c>
      <c r="H544" t="s">
        <v>112</v>
      </c>
      <c r="L544" t="str">
        <f>_xlfn.TEXTJOIN("", TRUE, D544:J544)</f>
        <v>02_Slots/Gottheit/Goetter-mit-Epitheta/0090_Aton/epitheta/01_anx-Hr-Ax.tj-Hay-m-Ax.t-m-rn=f-m-jt-Ra-jj-m-jtn/0010_m-rn=f-m-jt-Ra-jj-m-jtn_01.png</v>
      </c>
    </row>
    <row r="545" spans="1:12" x14ac:dyDescent="0.2">
      <c r="A545" t="s">
        <v>625</v>
      </c>
      <c r="B545" s="27">
        <v>1</v>
      </c>
      <c r="C545" t="s">
        <v>27</v>
      </c>
      <c r="L545" t="s">
        <v>1334</v>
      </c>
    </row>
    <row r="547" spans="1:12" x14ac:dyDescent="0.2">
      <c r="A547" t="s">
        <v>625</v>
      </c>
      <c r="B547" s="27">
        <v>2</v>
      </c>
      <c r="C547" t="s">
        <v>39</v>
      </c>
      <c r="L547" t="s">
        <v>1335</v>
      </c>
    </row>
    <row r="548" spans="1:12" x14ac:dyDescent="0.2">
      <c r="A548" t="s">
        <v>625</v>
      </c>
      <c r="B548" s="27">
        <v>2</v>
      </c>
      <c r="C548" t="s">
        <v>105</v>
      </c>
      <c r="E548" t="s">
        <v>1182</v>
      </c>
      <c r="F548" t="s">
        <v>1339</v>
      </c>
      <c r="G548" t="s">
        <v>638</v>
      </c>
      <c r="H548" t="s">
        <v>112</v>
      </c>
      <c r="L548" t="str">
        <f>_xlfn.TEXTJOIN("", TRUE, D548:J548)</f>
        <v>02_Slots/Gottheit/Goetter-mit-Epitheta/0090_Aton/epitheta/02_anx-ra-HqA-Ax.tj-Hay-m-Ax.t-m-rn=f-m-Sw-nty-m-jtn/0001_anx-ra-HqA-Ax.tj-Hay-m-Ax.t_01.png</v>
      </c>
    </row>
    <row r="549" spans="1:12" x14ac:dyDescent="0.2">
      <c r="A549" t="s">
        <v>625</v>
      </c>
      <c r="B549" s="27">
        <v>2</v>
      </c>
      <c r="C549" t="s">
        <v>105</v>
      </c>
      <c r="E549" t="s">
        <v>1182</v>
      </c>
      <c r="F549" t="s">
        <v>1339</v>
      </c>
      <c r="G549" t="s">
        <v>1340</v>
      </c>
      <c r="H549" t="s">
        <v>112</v>
      </c>
      <c r="L549" t="str">
        <f>_xlfn.TEXTJOIN("", TRUE, D549:J549)</f>
        <v>02_Slots/Gottheit/Goetter-mit-Epitheta/0090_Aton/epitheta/02_anx-ra-HqA-Ax.tj-Hay-m-Ax.t-m-rn=f-m-Sw-nty-m-jtn/0010_m-rn=f-m-Sw-nty-m-jtn_01.png</v>
      </c>
    </row>
    <row r="550" spans="1:12" x14ac:dyDescent="0.2">
      <c r="A550" t="s">
        <v>625</v>
      </c>
      <c r="B550" s="27">
        <v>2</v>
      </c>
      <c r="C550" t="s">
        <v>27</v>
      </c>
      <c r="L550" t="s">
        <v>1336</v>
      </c>
    </row>
    <row r="552" spans="1:12" x14ac:dyDescent="0.2">
      <c r="A552" t="s">
        <v>625</v>
      </c>
      <c r="B552" s="27">
        <v>6</v>
      </c>
      <c r="C552" t="s">
        <v>39</v>
      </c>
      <c r="L552" t="s">
        <v>643</v>
      </c>
    </row>
    <row r="553" spans="1:12" x14ac:dyDescent="0.2">
      <c r="A553" t="s">
        <v>625</v>
      </c>
      <c r="B553" s="27">
        <v>6</v>
      </c>
      <c r="C553" t="s">
        <v>105</v>
      </c>
      <c r="E553" t="s">
        <v>1182</v>
      </c>
      <c r="F553" t="s">
        <v>639</v>
      </c>
      <c r="G553" t="s">
        <v>641</v>
      </c>
      <c r="H553" t="s">
        <v>112</v>
      </c>
      <c r="I553" t="s">
        <v>1147</v>
      </c>
      <c r="J553" t="s">
        <v>1155</v>
      </c>
      <c r="K553" t="s">
        <v>1149</v>
      </c>
      <c r="L553" t="str">
        <f>_xlfn.TEXTJOIN("", TRUE, D553:K553)</f>
        <v>02_Slots/Gottheit/Goetter-mit-Epitheta/0090_Aton/epitheta/06_pA-jtn-anx/0001_pA-jtn-anx_D.18_01.png &lt;sup&gt;(D.18)&lt;/sup&gt;</v>
      </c>
    </row>
    <row r="554" spans="1:12" x14ac:dyDescent="0.2">
      <c r="A554" t="s">
        <v>625</v>
      </c>
      <c r="B554" s="27">
        <v>6</v>
      </c>
      <c r="C554" t="s">
        <v>27</v>
      </c>
      <c r="L554" t="s">
        <v>653</v>
      </c>
    </row>
    <row r="557" spans="1:12" x14ac:dyDescent="0.2">
      <c r="A557" t="s">
        <v>625</v>
      </c>
      <c r="B557" s="27">
        <v>8</v>
      </c>
      <c r="C557" t="s">
        <v>39</v>
      </c>
      <c r="L557" t="s">
        <v>645</v>
      </c>
    </row>
    <row r="558" spans="1:12" x14ac:dyDescent="0.2">
      <c r="A558" t="s">
        <v>625</v>
      </c>
      <c r="B558" s="27">
        <v>8</v>
      </c>
      <c r="C558" t="s">
        <v>105</v>
      </c>
      <c r="E558" t="s">
        <v>1182</v>
      </c>
      <c r="F558" t="s">
        <v>640</v>
      </c>
      <c r="G558" t="s">
        <v>642</v>
      </c>
      <c r="H558" t="s">
        <v>112</v>
      </c>
      <c r="L558" t="str">
        <f>_xlfn.TEXTJOIN("", TRUE, D558:J558)</f>
        <v>02_Slots/Gottheit/Goetter-mit-Epitheta/0090_Aton/epitheta/08_jmj-jtn=f/0001_jmj-jtn=f_01.png</v>
      </c>
    </row>
    <row r="559" spans="1:12" x14ac:dyDescent="0.2">
      <c r="A559" t="s">
        <v>625</v>
      </c>
      <c r="B559" s="27">
        <v>8</v>
      </c>
      <c r="C559" t="s">
        <v>27</v>
      </c>
      <c r="L559" t="s">
        <v>654</v>
      </c>
    </row>
    <row r="563" spans="1:12" x14ac:dyDescent="0.2">
      <c r="A563" t="s">
        <v>60</v>
      </c>
      <c r="B563" s="28">
        <v>100</v>
      </c>
      <c r="C563" t="s">
        <v>39</v>
      </c>
      <c r="L563" t="s">
        <v>651</v>
      </c>
    </row>
    <row r="564" spans="1:12" x14ac:dyDescent="0.2">
      <c r="A564" t="s">
        <v>60</v>
      </c>
      <c r="B564" s="28">
        <v>100</v>
      </c>
      <c r="C564" t="s">
        <v>105</v>
      </c>
      <c r="E564" t="s">
        <v>1183</v>
      </c>
      <c r="G564" t="s">
        <v>647</v>
      </c>
      <c r="H564" t="s">
        <v>112</v>
      </c>
      <c r="L564" t="str">
        <f>_xlfn.TEXTJOIN("", TRUE, D564:J564)</f>
        <v>02_Slots/Gottheit/Goetter-mit-Epitheta/0100_Wepwaut/0001_wpj-wA.wt_01.png</v>
      </c>
    </row>
    <row r="565" spans="1:12" x14ac:dyDescent="0.2">
      <c r="A565" t="s">
        <v>60</v>
      </c>
      <c r="B565" s="28">
        <v>100</v>
      </c>
      <c r="C565" t="s">
        <v>105</v>
      </c>
      <c r="E565" t="s">
        <v>1183</v>
      </c>
      <c r="G565" t="s">
        <v>648</v>
      </c>
      <c r="H565" t="s">
        <v>112</v>
      </c>
      <c r="L565" t="str">
        <f>_xlfn.TEXTJOIN("", TRUE, D565:J565)</f>
        <v>02_Slots/Gottheit/Goetter-mit-Epitheta/0100_Wepwaut/0010_wpj-wA.wt_02.png</v>
      </c>
    </row>
    <row r="566" spans="1:12" x14ac:dyDescent="0.2">
      <c r="A566" t="s">
        <v>60</v>
      </c>
      <c r="B566" s="28">
        <v>100</v>
      </c>
      <c r="C566" t="s">
        <v>105</v>
      </c>
      <c r="E566" t="s">
        <v>1183</v>
      </c>
      <c r="G566" t="s">
        <v>649</v>
      </c>
      <c r="H566" t="s">
        <v>112</v>
      </c>
      <c r="L566" t="str">
        <f>_xlfn.TEXTJOIN("", TRUE, D566:J566)</f>
        <v>02_Slots/Gottheit/Goetter-mit-Epitheta/0100_Wepwaut/0020_wpj-wA.wt_03.png</v>
      </c>
    </row>
    <row r="567" spans="1:12" x14ac:dyDescent="0.2">
      <c r="A567" t="s">
        <v>60</v>
      </c>
      <c r="B567" s="28">
        <v>100</v>
      </c>
      <c r="C567" t="s">
        <v>105</v>
      </c>
      <c r="E567" t="s">
        <v>1183</v>
      </c>
      <c r="G567" t="s">
        <v>650</v>
      </c>
      <c r="H567" t="s">
        <v>112</v>
      </c>
      <c r="L567" t="str">
        <f>_xlfn.TEXTJOIN("", TRUE, D567:J567)</f>
        <v>02_Slots/Gottheit/Goetter-mit-Epitheta/0100_Wepwaut/0040_wpj-wA.wt_04.png</v>
      </c>
    </row>
    <row r="568" spans="1:12" x14ac:dyDescent="0.2">
      <c r="A568" t="s">
        <v>60</v>
      </c>
      <c r="B568" s="28">
        <v>100</v>
      </c>
      <c r="C568" t="s">
        <v>106</v>
      </c>
    </row>
    <row r="569" spans="1:12" x14ac:dyDescent="0.2">
      <c r="A569" t="s">
        <v>60</v>
      </c>
      <c r="B569" s="28">
        <v>100</v>
      </c>
      <c r="C569" t="s">
        <v>107</v>
      </c>
      <c r="L569" t="s">
        <v>133</v>
      </c>
    </row>
    <row r="570" spans="1:12" x14ac:dyDescent="0.2">
      <c r="A570" t="s">
        <v>60</v>
      </c>
      <c r="B570" s="28">
        <v>100</v>
      </c>
      <c r="C570" t="s">
        <v>108</v>
      </c>
    </row>
    <row r="571" spans="1:12" x14ac:dyDescent="0.2">
      <c r="B571" s="28"/>
    </row>
    <row r="572" spans="1:12" x14ac:dyDescent="0.2">
      <c r="B572" s="28"/>
    </row>
    <row r="573" spans="1:12" x14ac:dyDescent="0.2">
      <c r="A573" t="s">
        <v>60</v>
      </c>
      <c r="B573" s="28">
        <v>110</v>
      </c>
      <c r="C573" t="s">
        <v>39</v>
      </c>
      <c r="L573" t="s">
        <v>399</v>
      </c>
    </row>
    <row r="574" spans="1:12" x14ac:dyDescent="0.2">
      <c r="A574" t="s">
        <v>60</v>
      </c>
      <c r="B574" s="28">
        <v>110</v>
      </c>
      <c r="C574" t="s">
        <v>105</v>
      </c>
      <c r="E574" t="s">
        <v>1184</v>
      </c>
      <c r="G574" t="s">
        <v>687</v>
      </c>
      <c r="H574" t="s">
        <v>112</v>
      </c>
      <c r="L574" t="str">
        <f t="shared" ref="L574:L584" si="89">_xlfn.TEXTJOIN("", TRUE, D574:J574)</f>
        <v>02_Slots/Gottheit/Goetter-mit-Epitheta/0110_Osiris/0001_wsjr_01.png</v>
      </c>
    </row>
    <row r="575" spans="1:12" x14ac:dyDescent="0.2">
      <c r="A575" t="s">
        <v>60</v>
      </c>
      <c r="B575" s="28">
        <v>110</v>
      </c>
      <c r="C575" t="s">
        <v>105</v>
      </c>
      <c r="E575" t="s">
        <v>1184</v>
      </c>
      <c r="G575" t="s">
        <v>688</v>
      </c>
      <c r="H575" t="s">
        <v>112</v>
      </c>
      <c r="L575" t="str">
        <f t="shared" si="89"/>
        <v>02_Slots/Gottheit/Goetter-mit-Epitheta/0110_Osiris/0010_wsjr_02.png</v>
      </c>
    </row>
    <row r="576" spans="1:12" x14ac:dyDescent="0.2">
      <c r="A576" t="s">
        <v>60</v>
      </c>
      <c r="B576" s="28">
        <v>110</v>
      </c>
      <c r="C576" t="s">
        <v>105</v>
      </c>
      <c r="E576" t="s">
        <v>1184</v>
      </c>
      <c r="G576" t="s">
        <v>689</v>
      </c>
      <c r="H576" t="s">
        <v>112</v>
      </c>
      <c r="L576" t="str">
        <f t="shared" si="89"/>
        <v>02_Slots/Gottheit/Goetter-mit-Epitheta/0110_Osiris/0020_wsjr_03.png</v>
      </c>
    </row>
    <row r="577" spans="1:12" x14ac:dyDescent="0.2">
      <c r="A577" t="s">
        <v>60</v>
      </c>
      <c r="B577" s="28">
        <v>110</v>
      </c>
      <c r="C577" t="s">
        <v>105</v>
      </c>
      <c r="E577" t="s">
        <v>1184</v>
      </c>
      <c r="G577" t="s">
        <v>690</v>
      </c>
      <c r="H577" t="s">
        <v>112</v>
      </c>
      <c r="I577" t="s">
        <v>1147</v>
      </c>
      <c r="J577" t="s">
        <v>1151</v>
      </c>
      <c r="K577" t="s">
        <v>1149</v>
      </c>
      <c r="L577" t="str">
        <f t="shared" ref="L577:L583" si="90">_xlfn.TEXTJOIN("", TRUE, D577:K577)</f>
        <v>02_Slots/Gottheit/Goetter-mit-Epitheta/0110_Osiris/0030_wsjr_MR_01.png &lt;sup&gt;(MR)&lt;/sup&gt;</v>
      </c>
    </row>
    <row r="578" spans="1:12" x14ac:dyDescent="0.2">
      <c r="A578" t="s">
        <v>60</v>
      </c>
      <c r="B578" s="28">
        <v>110</v>
      </c>
      <c r="C578" t="s">
        <v>105</v>
      </c>
      <c r="E578" t="s">
        <v>1184</v>
      </c>
      <c r="G578" t="s">
        <v>691</v>
      </c>
      <c r="H578" t="s">
        <v>112</v>
      </c>
      <c r="I578" t="s">
        <v>1147</v>
      </c>
      <c r="J578" t="s">
        <v>1151</v>
      </c>
      <c r="K578" t="s">
        <v>1149</v>
      </c>
      <c r="L578" t="str">
        <f t="shared" si="90"/>
        <v>02_Slots/Gottheit/Goetter-mit-Epitheta/0110_Osiris/0040_wsjr_MR_02.png &lt;sup&gt;(MR)&lt;/sup&gt;</v>
      </c>
    </row>
    <row r="579" spans="1:12" x14ac:dyDescent="0.2">
      <c r="A579" t="s">
        <v>60</v>
      </c>
      <c r="B579" s="28">
        <v>110</v>
      </c>
      <c r="C579" t="s">
        <v>105</v>
      </c>
      <c r="E579" t="s">
        <v>1184</v>
      </c>
      <c r="G579" t="s">
        <v>692</v>
      </c>
      <c r="H579" t="s">
        <v>112</v>
      </c>
      <c r="I579" t="s">
        <v>1147</v>
      </c>
      <c r="J579" t="s">
        <v>1151</v>
      </c>
      <c r="K579" t="s">
        <v>1149</v>
      </c>
      <c r="L579" t="str">
        <f t="shared" si="90"/>
        <v>02_Slots/Gottheit/Goetter-mit-Epitheta/0110_Osiris/0050_wsjr_MR_03.png &lt;sup&gt;(MR)&lt;/sup&gt;</v>
      </c>
    </row>
    <row r="580" spans="1:12" x14ac:dyDescent="0.2">
      <c r="A580" t="s">
        <v>60</v>
      </c>
      <c r="B580" s="28">
        <v>110</v>
      </c>
      <c r="C580" t="s">
        <v>105</v>
      </c>
      <c r="E580" t="s">
        <v>1184</v>
      </c>
      <c r="G580" t="s">
        <v>693</v>
      </c>
      <c r="H580" t="s">
        <v>112</v>
      </c>
      <c r="I580" t="s">
        <v>1147</v>
      </c>
      <c r="J580" t="s">
        <v>1150</v>
      </c>
      <c r="K580" t="s">
        <v>1149</v>
      </c>
      <c r="L580" t="str">
        <f t="shared" si="90"/>
        <v>02_Slots/Gottheit/Goetter-mit-Epitheta/0110_Osiris/0060_wsjr_GR_01.png &lt;sup&gt;(Gr.)&lt;/sup&gt;</v>
      </c>
    </row>
    <row r="581" spans="1:12" x14ac:dyDescent="0.2">
      <c r="A581" t="s">
        <v>60</v>
      </c>
      <c r="B581" s="28">
        <v>110</v>
      </c>
      <c r="C581" t="s">
        <v>105</v>
      </c>
      <c r="E581" t="s">
        <v>1184</v>
      </c>
      <c r="G581" t="s">
        <v>694</v>
      </c>
      <c r="H581" t="s">
        <v>112</v>
      </c>
      <c r="I581" t="s">
        <v>1147</v>
      </c>
      <c r="J581" t="s">
        <v>1150</v>
      </c>
      <c r="K581" t="s">
        <v>1149</v>
      </c>
      <c r="L581" t="str">
        <f t="shared" si="90"/>
        <v>02_Slots/Gottheit/Goetter-mit-Epitheta/0110_Osiris/0070_wsjr_GR_02.png &lt;sup&gt;(Gr.)&lt;/sup&gt;</v>
      </c>
    </row>
    <row r="582" spans="1:12" x14ac:dyDescent="0.2">
      <c r="A582" t="s">
        <v>60</v>
      </c>
      <c r="B582" s="28">
        <v>110</v>
      </c>
      <c r="C582" t="s">
        <v>105</v>
      </c>
      <c r="E582" t="s">
        <v>1184</v>
      </c>
      <c r="G582" t="s">
        <v>695</v>
      </c>
      <c r="H582" t="s">
        <v>112</v>
      </c>
      <c r="I582" t="s">
        <v>1147</v>
      </c>
      <c r="J582" t="s">
        <v>1150</v>
      </c>
      <c r="K582" t="s">
        <v>1149</v>
      </c>
      <c r="L582" t="str">
        <f t="shared" si="90"/>
        <v>02_Slots/Gottheit/Goetter-mit-Epitheta/0110_Osiris/0080_wsjr_GR_03.png &lt;sup&gt;(Gr.)&lt;/sup&gt;</v>
      </c>
    </row>
    <row r="583" spans="1:12" x14ac:dyDescent="0.2">
      <c r="A583" t="s">
        <v>60</v>
      </c>
      <c r="B583" s="28">
        <v>110</v>
      </c>
      <c r="C583" t="s">
        <v>105</v>
      </c>
      <c r="E583" t="s">
        <v>1184</v>
      </c>
      <c r="G583" t="s">
        <v>696</v>
      </c>
      <c r="H583" t="s">
        <v>112</v>
      </c>
      <c r="I583" t="s">
        <v>1147</v>
      </c>
      <c r="J583" t="s">
        <v>1150</v>
      </c>
      <c r="K583" t="s">
        <v>1149</v>
      </c>
      <c r="L583" t="str">
        <f t="shared" si="90"/>
        <v>02_Slots/Gottheit/Goetter-mit-Epitheta/0110_Osiris/0090_wsjr_GR_04.png &lt;sup&gt;(Gr.)&lt;/sup&gt;</v>
      </c>
    </row>
    <row r="584" spans="1:12" x14ac:dyDescent="0.2">
      <c r="A584" t="s">
        <v>60</v>
      </c>
      <c r="B584" s="28">
        <v>110</v>
      </c>
      <c r="C584" t="s">
        <v>106</v>
      </c>
      <c r="E584" t="s">
        <v>1184</v>
      </c>
      <c r="F584" t="s">
        <v>110</v>
      </c>
      <c r="G584" t="s">
        <v>697</v>
      </c>
      <c r="H584" t="s">
        <v>112</v>
      </c>
      <c r="L584" t="str">
        <f t="shared" si="89"/>
        <v>02_Slots/Gottheit/Goetter-mit-Epitheta/0110_Osiris/det/0001_wsjr_det_01.png</v>
      </c>
    </row>
    <row r="585" spans="1:12" x14ac:dyDescent="0.2">
      <c r="A585" t="s">
        <v>60</v>
      </c>
      <c r="B585" s="28">
        <v>110</v>
      </c>
      <c r="C585" t="s">
        <v>107</v>
      </c>
      <c r="L585" t="s">
        <v>134</v>
      </c>
    </row>
    <row r="586" spans="1:12" x14ac:dyDescent="0.2">
      <c r="A586" t="s">
        <v>60</v>
      </c>
      <c r="B586" s="28">
        <v>110</v>
      </c>
      <c r="C586" t="s">
        <v>108</v>
      </c>
      <c r="L586" t="s">
        <v>1124</v>
      </c>
    </row>
    <row r="588" spans="1:12" x14ac:dyDescent="0.2">
      <c r="A588" t="s">
        <v>698</v>
      </c>
      <c r="B588" s="27">
        <v>1</v>
      </c>
      <c r="C588" t="s">
        <v>39</v>
      </c>
      <c r="L588" t="s">
        <v>699</v>
      </c>
    </row>
    <row r="589" spans="1:12" x14ac:dyDescent="0.2">
      <c r="A589" t="s">
        <v>698</v>
      </c>
      <c r="B589" s="27">
        <v>1</v>
      </c>
      <c r="C589" t="s">
        <v>105</v>
      </c>
      <c r="E589" t="s">
        <v>1184</v>
      </c>
      <c r="F589" t="s">
        <v>710</v>
      </c>
      <c r="G589" t="s">
        <v>717</v>
      </c>
      <c r="H589" t="s">
        <v>112</v>
      </c>
      <c r="L589" t="str">
        <f>_xlfn.TEXTJOIN("", TRUE, D589:J589)</f>
        <v>02_Slots/Gottheit/Goetter-mit-Epitheta/0110_Osiris/epitheta/01_nb-AbDw/0001_nb-AbDw_01.png</v>
      </c>
    </row>
    <row r="590" spans="1:12" x14ac:dyDescent="0.2">
      <c r="A590" t="s">
        <v>698</v>
      </c>
      <c r="B590" s="27">
        <v>1</v>
      </c>
      <c r="C590" t="s">
        <v>105</v>
      </c>
      <c r="E590" t="s">
        <v>1184</v>
      </c>
      <c r="F590" t="s">
        <v>710</v>
      </c>
      <c r="G590" t="s">
        <v>718</v>
      </c>
      <c r="H590" t="s">
        <v>112</v>
      </c>
      <c r="L590" t="str">
        <f>_xlfn.TEXTJOIN("", TRUE, D590:J590)</f>
        <v>02_Slots/Gottheit/Goetter-mit-Epitheta/0110_Osiris/epitheta/01_nb-AbDw/0010_nb-AbDw_02.png</v>
      </c>
    </row>
    <row r="591" spans="1:12" x14ac:dyDescent="0.2">
      <c r="A591" t="s">
        <v>698</v>
      </c>
      <c r="B591" s="27">
        <v>1</v>
      </c>
      <c r="C591" t="s">
        <v>105</v>
      </c>
      <c r="E591" t="s">
        <v>1184</v>
      </c>
      <c r="F591" t="s">
        <v>710</v>
      </c>
      <c r="G591" t="s">
        <v>719</v>
      </c>
      <c r="H591" t="s">
        <v>112</v>
      </c>
      <c r="L591" t="str">
        <f>_xlfn.TEXTJOIN("", TRUE, D591:J591)</f>
        <v>02_Slots/Gottheit/Goetter-mit-Epitheta/0110_Osiris/epitheta/01_nb-AbDw/0020_nb-AbDw_03.png</v>
      </c>
    </row>
    <row r="592" spans="1:12" x14ac:dyDescent="0.2">
      <c r="A592" t="s">
        <v>698</v>
      </c>
      <c r="B592" s="27">
        <v>1</v>
      </c>
      <c r="C592" t="s">
        <v>105</v>
      </c>
      <c r="E592" t="s">
        <v>1184</v>
      </c>
      <c r="F592" t="s">
        <v>710</v>
      </c>
      <c r="G592" t="s">
        <v>720</v>
      </c>
      <c r="H592" t="s">
        <v>112</v>
      </c>
      <c r="I592" t="s">
        <v>1147</v>
      </c>
      <c r="J592" t="s">
        <v>1103</v>
      </c>
      <c r="K592" t="s">
        <v>1149</v>
      </c>
      <c r="L592" t="str">
        <f t="shared" ref="L592:L593" si="91">_xlfn.TEXTJOIN("", TRUE, D592:K592)</f>
        <v>02_Slots/Gottheit/Goetter-mit-Epitheta/0110_Osiris/epitheta/01_nb-AbDw/0030_nb-AbDw_NR_01.png &lt;sup&gt;(NR)&lt;/sup&gt;</v>
      </c>
    </row>
    <row r="593" spans="1:12" x14ac:dyDescent="0.2">
      <c r="A593" t="s">
        <v>698</v>
      </c>
      <c r="B593" s="27">
        <v>1</v>
      </c>
      <c r="C593" t="s">
        <v>105</v>
      </c>
      <c r="E593" t="s">
        <v>1184</v>
      </c>
      <c r="F593" t="s">
        <v>710</v>
      </c>
      <c r="G593" t="s">
        <v>721</v>
      </c>
      <c r="H593" t="s">
        <v>112</v>
      </c>
      <c r="I593" t="s">
        <v>1147</v>
      </c>
      <c r="J593" t="s">
        <v>1150</v>
      </c>
      <c r="K593" t="s">
        <v>1149</v>
      </c>
      <c r="L593" t="str">
        <f t="shared" si="91"/>
        <v>02_Slots/Gottheit/Goetter-mit-Epitheta/0110_Osiris/epitheta/01_nb-AbDw/0040_nb-AbDw_GR_01.png &lt;sup&gt;(Gr.)&lt;/sup&gt;</v>
      </c>
    </row>
    <row r="594" spans="1:12" x14ac:dyDescent="0.2">
      <c r="A594" t="s">
        <v>698</v>
      </c>
      <c r="B594" s="27">
        <v>1</v>
      </c>
      <c r="C594" t="s">
        <v>27</v>
      </c>
      <c r="L594" t="s">
        <v>700</v>
      </c>
    </row>
    <row r="596" spans="1:12" x14ac:dyDescent="0.2">
      <c r="A596" t="s">
        <v>698</v>
      </c>
      <c r="B596" s="27">
        <v>2</v>
      </c>
      <c r="C596" t="s">
        <v>39</v>
      </c>
      <c r="L596" t="s">
        <v>701</v>
      </c>
    </row>
    <row r="597" spans="1:12" x14ac:dyDescent="0.2">
      <c r="A597" t="s">
        <v>698</v>
      </c>
      <c r="B597" s="27">
        <v>2</v>
      </c>
      <c r="C597" t="s">
        <v>105</v>
      </c>
      <c r="E597" t="s">
        <v>1184</v>
      </c>
      <c r="F597" t="s">
        <v>711</v>
      </c>
      <c r="G597" t="s">
        <v>722</v>
      </c>
      <c r="H597" t="s">
        <v>112</v>
      </c>
      <c r="L597" t="str">
        <f t="shared" ref="L597:L604" si="92">_xlfn.TEXTJOIN("", TRUE, D597:J597)</f>
        <v>02_Slots/Gottheit/Goetter-mit-Epitheta/0110_Osiris/epitheta/02_nb-Dd.w/0001_nb-Dd.w_01.png</v>
      </c>
    </row>
    <row r="598" spans="1:12" x14ac:dyDescent="0.2">
      <c r="A598" t="s">
        <v>698</v>
      </c>
      <c r="B598" s="27">
        <v>2</v>
      </c>
      <c r="C598" t="s">
        <v>105</v>
      </c>
      <c r="E598" t="s">
        <v>1184</v>
      </c>
      <c r="F598" t="s">
        <v>711</v>
      </c>
      <c r="G598" t="s">
        <v>723</v>
      </c>
      <c r="L598" t="str">
        <f t="shared" si="92"/>
        <v>02_Slots/Gottheit/Goetter-mit-Epitheta/0110_Osiris/epitheta/02_nb-Dd.w/0010_nb-Dd.w_02.png</v>
      </c>
    </row>
    <row r="599" spans="1:12" x14ac:dyDescent="0.2">
      <c r="A599" t="s">
        <v>698</v>
      </c>
      <c r="B599" s="27">
        <v>2</v>
      </c>
      <c r="C599" t="s">
        <v>105</v>
      </c>
      <c r="E599" t="s">
        <v>1184</v>
      </c>
      <c r="F599" t="s">
        <v>711</v>
      </c>
      <c r="G599" t="s">
        <v>724</v>
      </c>
      <c r="L599" t="str">
        <f t="shared" si="92"/>
        <v>02_Slots/Gottheit/Goetter-mit-Epitheta/0110_Osiris/epitheta/02_nb-Dd.w/0020_nb-Dd.w_03.png</v>
      </c>
    </row>
    <row r="600" spans="1:12" x14ac:dyDescent="0.2">
      <c r="A600" t="s">
        <v>698</v>
      </c>
      <c r="B600" s="27">
        <v>2</v>
      </c>
      <c r="C600" t="s">
        <v>105</v>
      </c>
      <c r="E600" t="s">
        <v>1184</v>
      </c>
      <c r="F600" t="s">
        <v>711</v>
      </c>
      <c r="G600" t="s">
        <v>725</v>
      </c>
      <c r="L600" t="str">
        <f t="shared" si="92"/>
        <v>02_Slots/Gottheit/Goetter-mit-Epitheta/0110_Osiris/epitheta/02_nb-Dd.w/0030_nb-Dd.w_04.png</v>
      </c>
    </row>
    <row r="601" spans="1:12" x14ac:dyDescent="0.2">
      <c r="A601" t="s">
        <v>698</v>
      </c>
      <c r="B601" s="27">
        <v>2</v>
      </c>
      <c r="C601" t="s">
        <v>105</v>
      </c>
      <c r="E601" t="s">
        <v>1184</v>
      </c>
      <c r="F601" t="s">
        <v>711</v>
      </c>
      <c r="G601" t="s">
        <v>726</v>
      </c>
      <c r="L601" t="str">
        <f t="shared" si="92"/>
        <v>02_Slots/Gottheit/Goetter-mit-Epitheta/0110_Osiris/epitheta/02_nb-Dd.w/0040_nb-Dd.w_05.png</v>
      </c>
    </row>
    <row r="602" spans="1:12" x14ac:dyDescent="0.2">
      <c r="A602" t="s">
        <v>698</v>
      </c>
      <c r="B602" s="27">
        <v>2</v>
      </c>
      <c r="C602" t="s">
        <v>105</v>
      </c>
      <c r="E602" t="s">
        <v>1184</v>
      </c>
      <c r="F602" t="s">
        <v>711</v>
      </c>
      <c r="G602" t="s">
        <v>727</v>
      </c>
      <c r="L602" t="str">
        <f t="shared" si="92"/>
        <v>02_Slots/Gottheit/Goetter-mit-Epitheta/0110_Osiris/epitheta/02_nb-Dd.w/0050_nb-Dd.w_06.png</v>
      </c>
    </row>
    <row r="603" spans="1:12" x14ac:dyDescent="0.2">
      <c r="A603" t="s">
        <v>698</v>
      </c>
      <c r="B603" s="27">
        <v>2</v>
      </c>
      <c r="C603" t="s">
        <v>105</v>
      </c>
      <c r="E603" t="s">
        <v>1184</v>
      </c>
      <c r="F603" t="s">
        <v>711</v>
      </c>
      <c r="G603" t="s">
        <v>728</v>
      </c>
      <c r="L603" t="str">
        <f t="shared" si="92"/>
        <v>02_Slots/Gottheit/Goetter-mit-Epitheta/0110_Osiris/epitheta/02_nb-Dd.w/0060_nb-Dd.w_07.png</v>
      </c>
    </row>
    <row r="604" spans="1:12" x14ac:dyDescent="0.2">
      <c r="A604" t="s">
        <v>698</v>
      </c>
      <c r="B604" s="27">
        <v>2</v>
      </c>
      <c r="C604" t="s">
        <v>105</v>
      </c>
      <c r="E604" t="s">
        <v>1184</v>
      </c>
      <c r="F604" t="s">
        <v>711</v>
      </c>
      <c r="G604" t="s">
        <v>729</v>
      </c>
      <c r="L604" t="str">
        <f t="shared" si="92"/>
        <v>02_Slots/Gottheit/Goetter-mit-Epitheta/0110_Osiris/epitheta/02_nb-Dd.w/0070_nb-Dd.w_08.png</v>
      </c>
    </row>
    <row r="605" spans="1:12" x14ac:dyDescent="0.2">
      <c r="A605" t="s">
        <v>698</v>
      </c>
      <c r="B605" s="27">
        <v>2</v>
      </c>
      <c r="C605" t="s">
        <v>105</v>
      </c>
      <c r="E605" t="s">
        <v>1184</v>
      </c>
      <c r="F605" t="s">
        <v>711</v>
      </c>
      <c r="G605" t="s">
        <v>730</v>
      </c>
      <c r="I605" t="s">
        <v>1147</v>
      </c>
      <c r="J605" t="s">
        <v>1157</v>
      </c>
      <c r="K605" t="s">
        <v>1149</v>
      </c>
      <c r="L605" t="str">
        <f>_xlfn.TEXTJOIN("", TRUE, D605:K605)</f>
        <v>02_Slots/Gottheit/Goetter-mit-Epitheta/0110_Osiris/epitheta/02_nb-Dd.w/0080_nb-Dd.w_Pyr._01.png &lt;sup&gt;(Pyr.)&lt;/sup&gt;</v>
      </c>
    </row>
    <row r="606" spans="1:12" x14ac:dyDescent="0.2">
      <c r="A606" t="s">
        <v>698</v>
      </c>
      <c r="B606" s="27">
        <v>2</v>
      </c>
      <c r="C606" t="s">
        <v>27</v>
      </c>
      <c r="L606" t="s">
        <v>702</v>
      </c>
    </row>
    <row r="608" spans="1:12" x14ac:dyDescent="0.2">
      <c r="A608" t="s">
        <v>698</v>
      </c>
      <c r="B608" s="27">
        <v>3</v>
      </c>
      <c r="C608" t="s">
        <v>39</v>
      </c>
      <c r="L608" t="s">
        <v>596</v>
      </c>
    </row>
    <row r="609" spans="1:12" x14ac:dyDescent="0.2">
      <c r="A609" t="s">
        <v>698</v>
      </c>
      <c r="B609" s="27">
        <v>3</v>
      </c>
      <c r="C609" t="s">
        <v>105</v>
      </c>
      <c r="E609" t="s">
        <v>1184</v>
      </c>
      <c r="F609" t="s">
        <v>712</v>
      </c>
      <c r="G609" t="s">
        <v>731</v>
      </c>
      <c r="L609" t="str">
        <f>_xlfn.TEXTJOIN("", TRUE, D609:J609)</f>
        <v>02_Slots/Gottheit/Goetter-mit-Epitheta/0110_Osiris/epitheta/03_nb-tA-Dsr/0001_nb-tA-Dsr_01.png</v>
      </c>
    </row>
    <row r="610" spans="1:12" x14ac:dyDescent="0.2">
      <c r="A610" t="s">
        <v>698</v>
      </c>
      <c r="B610" s="27">
        <v>3</v>
      </c>
      <c r="C610" t="s">
        <v>27</v>
      </c>
      <c r="L610" t="s">
        <v>597</v>
      </c>
    </row>
    <row r="612" spans="1:12" x14ac:dyDescent="0.2">
      <c r="A612" t="s">
        <v>698</v>
      </c>
      <c r="B612" s="27">
        <v>4</v>
      </c>
      <c r="C612" t="s">
        <v>39</v>
      </c>
      <c r="L612" t="s">
        <v>703</v>
      </c>
    </row>
    <row r="613" spans="1:12" x14ac:dyDescent="0.2">
      <c r="A613" t="s">
        <v>698</v>
      </c>
      <c r="B613" s="27">
        <v>4</v>
      </c>
      <c r="C613" t="s">
        <v>105</v>
      </c>
      <c r="E613" t="s">
        <v>1184</v>
      </c>
      <c r="F613" t="s">
        <v>713</v>
      </c>
      <c r="G613" t="s">
        <v>732</v>
      </c>
      <c r="H613" t="s">
        <v>112</v>
      </c>
      <c r="L613" t="str">
        <f>_xlfn.TEXTJOIN("", TRUE, D613:J613)</f>
        <v>02_Slots/Gottheit/Goetter-mit-Epitheta/0110_Osiris/epitheta/04_m-tA-Dsr/0001_m-tA-Dsr_01.png</v>
      </c>
    </row>
    <row r="614" spans="1:12" x14ac:dyDescent="0.2">
      <c r="A614" t="s">
        <v>698</v>
      </c>
      <c r="B614" s="27">
        <v>4</v>
      </c>
      <c r="C614" t="s">
        <v>27</v>
      </c>
      <c r="L614" t="s">
        <v>704</v>
      </c>
    </row>
    <row r="616" spans="1:12" x14ac:dyDescent="0.2">
      <c r="A616" t="s">
        <v>698</v>
      </c>
      <c r="B616" s="27">
        <v>5</v>
      </c>
      <c r="C616" t="s">
        <v>39</v>
      </c>
      <c r="L616" t="s">
        <v>705</v>
      </c>
    </row>
    <row r="617" spans="1:12" x14ac:dyDescent="0.2">
      <c r="A617" t="s">
        <v>698</v>
      </c>
      <c r="B617" s="27">
        <v>5</v>
      </c>
      <c r="C617" t="s">
        <v>105</v>
      </c>
      <c r="E617" t="s">
        <v>1184</v>
      </c>
      <c r="F617" t="s">
        <v>714</v>
      </c>
      <c r="G617" t="s">
        <v>733</v>
      </c>
      <c r="L617" t="str">
        <f t="shared" ref="L617:L618" si="93">_xlfn.TEXTJOIN("", TRUE, D617:J617)</f>
        <v>02_Slots/Gottheit/Goetter-mit-Epitheta/0110_Osiris/epitheta/05_xnt.y-jmn.ty.w/0001_xnt.y-jmn.ty.w_01.png</v>
      </c>
    </row>
    <row r="618" spans="1:12" x14ac:dyDescent="0.2">
      <c r="A618" t="s">
        <v>698</v>
      </c>
      <c r="B618" s="27">
        <v>5</v>
      </c>
      <c r="C618" t="s">
        <v>105</v>
      </c>
      <c r="E618" t="s">
        <v>1184</v>
      </c>
      <c r="F618" t="s">
        <v>714</v>
      </c>
      <c r="G618" t="s">
        <v>734</v>
      </c>
      <c r="L618" t="str">
        <f t="shared" si="93"/>
        <v>02_Slots/Gottheit/Goetter-mit-Epitheta/0110_Osiris/epitheta/05_xnt.y-jmn.ty.w/0010_xnt.y-jmn.ty.w_02.png</v>
      </c>
    </row>
    <row r="619" spans="1:12" x14ac:dyDescent="0.2">
      <c r="A619" t="s">
        <v>698</v>
      </c>
      <c r="B619" s="27">
        <v>5</v>
      </c>
      <c r="C619" t="s">
        <v>105</v>
      </c>
      <c r="E619" t="s">
        <v>1184</v>
      </c>
      <c r="F619" t="s">
        <v>714</v>
      </c>
      <c r="G619" t="s">
        <v>735</v>
      </c>
      <c r="I619" t="s">
        <v>1147</v>
      </c>
      <c r="J619" t="s">
        <v>1148</v>
      </c>
      <c r="K619" t="s">
        <v>1149</v>
      </c>
      <c r="L619" t="str">
        <f t="shared" ref="L619:L623" si="94">_xlfn.TEXTJOIN("", TRUE, D619:K619)</f>
        <v>02_Slots/Gottheit/Goetter-mit-Epitheta/0110_Osiris/epitheta/05_xnt.y-jmn.ty.w/0020_xnt.y-jmn.ty.w_AR_01.png &lt;sup&gt;(AR)&lt;/sup&gt;</v>
      </c>
    </row>
    <row r="620" spans="1:12" x14ac:dyDescent="0.2">
      <c r="A620" t="s">
        <v>698</v>
      </c>
      <c r="B620" s="27">
        <v>5</v>
      </c>
      <c r="C620" t="s">
        <v>105</v>
      </c>
      <c r="E620" t="s">
        <v>1184</v>
      </c>
      <c r="F620" t="s">
        <v>714</v>
      </c>
      <c r="G620" t="s">
        <v>736</v>
      </c>
      <c r="I620" t="s">
        <v>1147</v>
      </c>
      <c r="J620" t="s">
        <v>1148</v>
      </c>
      <c r="K620" t="s">
        <v>1149</v>
      </c>
      <c r="L620" t="str">
        <f t="shared" si="94"/>
        <v>02_Slots/Gottheit/Goetter-mit-Epitheta/0110_Osiris/epitheta/05_xnt.y-jmn.ty.w/0030_xnt.y-jmn.ty.w_AR_02.png &lt;sup&gt;(AR)&lt;/sup&gt;</v>
      </c>
    </row>
    <row r="621" spans="1:12" x14ac:dyDescent="0.2">
      <c r="A621" t="s">
        <v>698</v>
      </c>
      <c r="B621" s="27">
        <v>5</v>
      </c>
      <c r="C621" t="s">
        <v>105</v>
      </c>
      <c r="E621" t="s">
        <v>1184</v>
      </c>
      <c r="F621" t="s">
        <v>714</v>
      </c>
      <c r="G621" t="s">
        <v>737</v>
      </c>
      <c r="I621" t="s">
        <v>1147</v>
      </c>
      <c r="J621" t="s">
        <v>1157</v>
      </c>
      <c r="K621" t="s">
        <v>1149</v>
      </c>
      <c r="L621" t="str">
        <f t="shared" si="94"/>
        <v>02_Slots/Gottheit/Goetter-mit-Epitheta/0110_Osiris/epitheta/05_xnt.y-jmn.ty.w/0040_xnt.y-jmn.ty.w_Pyr._01.png &lt;sup&gt;(Pyr.)&lt;/sup&gt;</v>
      </c>
    </row>
    <row r="622" spans="1:12" x14ac:dyDescent="0.2">
      <c r="A622" t="s">
        <v>698</v>
      </c>
      <c r="B622" s="27">
        <v>5</v>
      </c>
      <c r="C622" t="s">
        <v>105</v>
      </c>
      <c r="E622" t="s">
        <v>1184</v>
      </c>
      <c r="F622" t="s">
        <v>714</v>
      </c>
      <c r="G622" t="s">
        <v>738</v>
      </c>
      <c r="I622" t="s">
        <v>1147</v>
      </c>
      <c r="J622" t="s">
        <v>1151</v>
      </c>
      <c r="K622" t="s">
        <v>1149</v>
      </c>
      <c r="L622" t="str">
        <f t="shared" si="94"/>
        <v>02_Slots/Gottheit/Goetter-mit-Epitheta/0110_Osiris/epitheta/05_xnt.y-jmn.ty.w/0050_xnt.y-jmn.ty.w_MR_01.png &lt;sup&gt;(MR)&lt;/sup&gt;</v>
      </c>
    </row>
    <row r="623" spans="1:12" x14ac:dyDescent="0.2">
      <c r="A623" t="s">
        <v>698</v>
      </c>
      <c r="B623" s="27">
        <v>5</v>
      </c>
      <c r="C623" t="s">
        <v>105</v>
      </c>
      <c r="E623" t="s">
        <v>1184</v>
      </c>
      <c r="F623" t="s">
        <v>714</v>
      </c>
      <c r="G623" t="s">
        <v>739</v>
      </c>
      <c r="I623" t="s">
        <v>1147</v>
      </c>
      <c r="J623" t="s">
        <v>1167</v>
      </c>
      <c r="K623" t="s">
        <v>1149</v>
      </c>
      <c r="L623" t="str">
        <f t="shared" si="94"/>
        <v>02_Slots/Gottheit/Goetter-mit-Epitheta/0110_Osiris/epitheta/05_xnt.y-jmn.ty.w/0060_xnt.y-jmn.ty.w_typ.-ab-NR_01.png &lt;sup&gt;(ab NR)&lt;/sup&gt;</v>
      </c>
    </row>
    <row r="624" spans="1:12" x14ac:dyDescent="0.2">
      <c r="A624" t="s">
        <v>698</v>
      </c>
      <c r="B624" s="27">
        <v>5</v>
      </c>
      <c r="C624" t="s">
        <v>27</v>
      </c>
      <c r="L624" t="s">
        <v>706</v>
      </c>
    </row>
    <row r="626" spans="1:12" x14ac:dyDescent="0.2">
      <c r="A626" t="s">
        <v>698</v>
      </c>
      <c r="B626" s="27">
        <v>6</v>
      </c>
      <c r="C626" t="s">
        <v>39</v>
      </c>
      <c r="L626" t="s">
        <v>705</v>
      </c>
    </row>
    <row r="627" spans="1:12" x14ac:dyDescent="0.2">
      <c r="A627" t="s">
        <v>698</v>
      </c>
      <c r="B627" s="27">
        <v>6</v>
      </c>
      <c r="C627" t="s">
        <v>105</v>
      </c>
      <c r="E627" t="s">
        <v>1184</v>
      </c>
      <c r="F627" t="s">
        <v>715</v>
      </c>
      <c r="G627" t="s">
        <v>740</v>
      </c>
      <c r="L627" t="str">
        <f>_xlfn.TEXTJOIN("", TRUE, D627:J627)</f>
        <v>02_Slots/Gottheit/Goetter-mit-Epitheta/0110_Osiris/epitheta/06_xnt.y-jmn.t.t/0001_xnt.y-jmn.t.t_seit-NR_01.png</v>
      </c>
    </row>
    <row r="628" spans="1:12" x14ac:dyDescent="0.2">
      <c r="A628" t="s">
        <v>698</v>
      </c>
      <c r="B628" s="27">
        <v>6</v>
      </c>
      <c r="C628" t="s">
        <v>105</v>
      </c>
      <c r="E628" t="s">
        <v>1184</v>
      </c>
      <c r="F628" t="s">
        <v>715</v>
      </c>
      <c r="G628" t="s">
        <v>741</v>
      </c>
      <c r="L628" t="str">
        <f>_xlfn.TEXTJOIN("", TRUE, D628:J628)</f>
        <v>02_Slots/Gottheit/Goetter-mit-Epitheta/0110_Osiris/epitheta/06_xnt.y-jmn.t.t/0010_xnt.y-jmn.t.t_seit-NR_02.png</v>
      </c>
    </row>
    <row r="629" spans="1:12" x14ac:dyDescent="0.2">
      <c r="A629" t="s">
        <v>698</v>
      </c>
      <c r="B629" s="27">
        <v>6</v>
      </c>
      <c r="C629" t="s">
        <v>27</v>
      </c>
      <c r="L629" t="s">
        <v>707</v>
      </c>
    </row>
    <row r="631" spans="1:12" x14ac:dyDescent="0.2">
      <c r="A631" t="s">
        <v>698</v>
      </c>
      <c r="B631" s="27">
        <v>7</v>
      </c>
      <c r="C631" t="s">
        <v>39</v>
      </c>
      <c r="L631" t="s">
        <v>708</v>
      </c>
    </row>
    <row r="632" spans="1:12" x14ac:dyDescent="0.2">
      <c r="A632" t="s">
        <v>698</v>
      </c>
      <c r="B632" s="27">
        <v>7</v>
      </c>
      <c r="C632" t="s">
        <v>105</v>
      </c>
      <c r="E632" t="s">
        <v>1184</v>
      </c>
      <c r="F632" t="s">
        <v>716</v>
      </c>
      <c r="G632" t="s">
        <v>742</v>
      </c>
      <c r="H632" t="s">
        <v>112</v>
      </c>
      <c r="L632" t="str">
        <f>_xlfn.TEXTJOIN("", TRUE, D632:J632)</f>
        <v>02_Slots/Gottheit/Goetter-mit-Epitheta/0110_Osiris/epitheta/07_xnt.y-tA-Dsr/0001_xnt.y-tA-Dsr_01.png</v>
      </c>
    </row>
    <row r="633" spans="1:12" x14ac:dyDescent="0.2">
      <c r="A633" t="s">
        <v>698</v>
      </c>
      <c r="B633" s="27">
        <v>7</v>
      </c>
      <c r="C633" t="s">
        <v>27</v>
      </c>
      <c r="L633" t="s">
        <v>709</v>
      </c>
    </row>
    <row r="640" spans="1:12" x14ac:dyDescent="0.2">
      <c r="A640" t="s">
        <v>60</v>
      </c>
      <c r="B640" s="27">
        <v>120</v>
      </c>
      <c r="C640" t="s">
        <v>39</v>
      </c>
      <c r="L640" t="s">
        <v>655</v>
      </c>
    </row>
    <row r="641" spans="1:12" x14ac:dyDescent="0.2">
      <c r="A641" t="s">
        <v>60</v>
      </c>
      <c r="B641" s="27">
        <v>120</v>
      </c>
      <c r="C641" t="s">
        <v>105</v>
      </c>
      <c r="E641" t="s">
        <v>1185</v>
      </c>
      <c r="G641" t="s">
        <v>743</v>
      </c>
      <c r="L641" t="str">
        <f>_xlfn.TEXTJOIN("", TRUE, D641:J641)</f>
        <v>02_Slots/Gottheit/Goetter-mit-Epitheta/0120_Bastet/0001_bAst.t_01.png</v>
      </c>
    </row>
    <row r="642" spans="1:12" x14ac:dyDescent="0.2">
      <c r="A642" t="s">
        <v>60</v>
      </c>
      <c r="B642" s="27">
        <v>120</v>
      </c>
      <c r="C642" t="s">
        <v>105</v>
      </c>
      <c r="E642" t="s">
        <v>1185</v>
      </c>
      <c r="G642" t="s">
        <v>744</v>
      </c>
      <c r="I642" t="s">
        <v>1147</v>
      </c>
      <c r="J642" t="s">
        <v>1148</v>
      </c>
      <c r="K642" t="s">
        <v>1149</v>
      </c>
      <c r="L642" t="str">
        <f t="shared" ref="L642:L643" si="95">_xlfn.TEXTJOIN("", TRUE, D642:K642)</f>
        <v>02_Slots/Gottheit/Goetter-mit-Epitheta/0120_Bastet/0010_bAst.t_AR_01.png &lt;sup&gt;(AR)&lt;/sup&gt;</v>
      </c>
    </row>
    <row r="643" spans="1:12" x14ac:dyDescent="0.2">
      <c r="A643" t="s">
        <v>60</v>
      </c>
      <c r="B643" s="27">
        <v>120</v>
      </c>
      <c r="C643" t="s">
        <v>105</v>
      </c>
      <c r="E643" t="s">
        <v>1185</v>
      </c>
      <c r="G643" t="s">
        <v>745</v>
      </c>
      <c r="I643" t="s">
        <v>1147</v>
      </c>
      <c r="J643" t="s">
        <v>1103</v>
      </c>
      <c r="K643" t="s">
        <v>1149</v>
      </c>
      <c r="L643" t="str">
        <f t="shared" si="95"/>
        <v>02_Slots/Gottheit/Goetter-mit-Epitheta/0120_Bastet/0020_bAst.t_NR_01.png &lt;sup&gt;(NR)&lt;/sup&gt;</v>
      </c>
    </row>
    <row r="644" spans="1:12" x14ac:dyDescent="0.2">
      <c r="A644" t="s">
        <v>60</v>
      </c>
      <c r="B644" s="27">
        <v>120</v>
      </c>
      <c r="C644" t="s">
        <v>106</v>
      </c>
    </row>
    <row r="645" spans="1:12" x14ac:dyDescent="0.2">
      <c r="A645" t="s">
        <v>60</v>
      </c>
      <c r="B645" s="27">
        <v>120</v>
      </c>
      <c r="C645" t="s">
        <v>107</v>
      </c>
      <c r="L645" t="s">
        <v>135</v>
      </c>
    </row>
    <row r="646" spans="1:12" x14ac:dyDescent="0.2">
      <c r="A646" t="s">
        <v>60</v>
      </c>
      <c r="B646" s="27">
        <v>120</v>
      </c>
      <c r="C646" t="s">
        <v>108</v>
      </c>
    </row>
    <row r="649" spans="1:12" x14ac:dyDescent="0.2">
      <c r="A649" t="s">
        <v>60</v>
      </c>
      <c r="B649" s="27">
        <v>130</v>
      </c>
      <c r="C649" t="s">
        <v>39</v>
      </c>
      <c r="L649" t="s">
        <v>656</v>
      </c>
    </row>
    <row r="650" spans="1:12" x14ac:dyDescent="0.2">
      <c r="A650" t="s">
        <v>60</v>
      </c>
      <c r="B650" s="27">
        <v>130</v>
      </c>
      <c r="C650" t="s">
        <v>105</v>
      </c>
      <c r="E650" t="s">
        <v>1186</v>
      </c>
      <c r="G650" t="s">
        <v>746</v>
      </c>
      <c r="L650" t="str">
        <f>_xlfn.TEXTJOIN("", TRUE, D650:J650)</f>
        <v>02_Slots/Gottheit/Goetter-mit-Epitheta/0130_Behedeti/0001_bHd.t_01.png</v>
      </c>
    </row>
    <row r="651" spans="1:12" x14ac:dyDescent="0.2">
      <c r="A651" t="s">
        <v>60</v>
      </c>
      <c r="B651" s="27">
        <v>130</v>
      </c>
      <c r="C651" t="s">
        <v>105</v>
      </c>
      <c r="E651" t="s">
        <v>1186</v>
      </c>
      <c r="G651" t="s">
        <v>747</v>
      </c>
      <c r="L651" t="str">
        <f>_xlfn.TEXTJOIN("", TRUE, D651:J651)</f>
        <v>02_Slots/Gottheit/Goetter-mit-Epitheta/0130_Behedeti/0010_bHd.t_02.png</v>
      </c>
    </row>
    <row r="652" spans="1:12" x14ac:dyDescent="0.2">
      <c r="A652" t="s">
        <v>60</v>
      </c>
      <c r="B652" s="27">
        <v>130</v>
      </c>
      <c r="C652" t="s">
        <v>105</v>
      </c>
      <c r="E652" t="s">
        <v>1186</v>
      </c>
      <c r="G652" t="s">
        <v>748</v>
      </c>
      <c r="I652" t="s">
        <v>1147</v>
      </c>
      <c r="J652" t="s">
        <v>1150</v>
      </c>
      <c r="K652" t="s">
        <v>1149</v>
      </c>
      <c r="L652" t="str">
        <f t="shared" ref="L652:L653" si="96">_xlfn.TEXTJOIN("", TRUE, D652:K652)</f>
        <v>02_Slots/Gottheit/Goetter-mit-Epitheta/0130_Behedeti/0020_bHd.t_GR_01.png &lt;sup&gt;(Gr.)&lt;/sup&gt;</v>
      </c>
    </row>
    <row r="653" spans="1:12" x14ac:dyDescent="0.2">
      <c r="A653" t="s">
        <v>60</v>
      </c>
      <c r="B653" s="27">
        <v>130</v>
      </c>
      <c r="C653" t="s">
        <v>105</v>
      </c>
      <c r="E653" t="s">
        <v>1186</v>
      </c>
      <c r="G653" t="s">
        <v>749</v>
      </c>
      <c r="I653" t="s">
        <v>1147</v>
      </c>
      <c r="J653" t="s">
        <v>1150</v>
      </c>
      <c r="K653" t="s">
        <v>1149</v>
      </c>
      <c r="L653" t="str">
        <f t="shared" si="96"/>
        <v>02_Slots/Gottheit/Goetter-mit-Epitheta/0130_Behedeti/0030_bHd.t_GR_02.png &lt;sup&gt;(Gr.)&lt;/sup&gt;</v>
      </c>
    </row>
    <row r="654" spans="1:12" x14ac:dyDescent="0.2">
      <c r="A654" t="s">
        <v>60</v>
      </c>
      <c r="B654" s="27">
        <v>130</v>
      </c>
      <c r="C654" t="s">
        <v>106</v>
      </c>
      <c r="E654" t="s">
        <v>1186</v>
      </c>
      <c r="F654" t="s">
        <v>110</v>
      </c>
      <c r="G654" t="s">
        <v>750</v>
      </c>
      <c r="H654" t="s">
        <v>112</v>
      </c>
      <c r="L654" t="str">
        <f>_xlfn.TEXTJOIN("", TRUE, D654:J654)</f>
        <v>02_Slots/Gottheit/Goetter-mit-Epitheta/0130_Behedeti/det/0001_bHd.t_det_01.png</v>
      </c>
    </row>
    <row r="655" spans="1:12" x14ac:dyDescent="0.2">
      <c r="A655" t="s">
        <v>60</v>
      </c>
      <c r="B655" s="27">
        <v>130</v>
      </c>
      <c r="C655" t="s">
        <v>107</v>
      </c>
      <c r="L655" t="s">
        <v>136</v>
      </c>
    </row>
    <row r="656" spans="1:12" x14ac:dyDescent="0.2">
      <c r="A656" t="s">
        <v>60</v>
      </c>
      <c r="B656" s="27">
        <v>130</v>
      </c>
      <c r="C656" t="s">
        <v>108</v>
      </c>
      <c r="L656" t="s">
        <v>1125</v>
      </c>
    </row>
    <row r="658" spans="1:12" x14ac:dyDescent="0.2">
      <c r="A658" t="s">
        <v>751</v>
      </c>
      <c r="B658" s="27">
        <v>1</v>
      </c>
      <c r="C658" t="s">
        <v>39</v>
      </c>
      <c r="L658" t="s">
        <v>752</v>
      </c>
    </row>
    <row r="659" spans="1:12" x14ac:dyDescent="0.2">
      <c r="A659" t="s">
        <v>751</v>
      </c>
      <c r="B659" s="27">
        <v>1</v>
      </c>
      <c r="C659" t="s">
        <v>105</v>
      </c>
      <c r="E659" t="s">
        <v>1186</v>
      </c>
      <c r="F659" t="s">
        <v>759</v>
      </c>
      <c r="G659" t="s">
        <v>756</v>
      </c>
      <c r="H659" t="s">
        <v>112</v>
      </c>
      <c r="L659" t="str">
        <f>_xlfn.TEXTJOIN("", TRUE, D659:J659)</f>
        <v>02_Slots/Gottheit/Goetter-mit-Epitheta/0130_Behedeti/epitheta/01_prj-m-Ax.t/0001_prj-m-Ax.t_01.png</v>
      </c>
    </row>
    <row r="660" spans="1:12" x14ac:dyDescent="0.2">
      <c r="A660" t="s">
        <v>751</v>
      </c>
      <c r="B660" s="27">
        <v>1</v>
      </c>
      <c r="C660" t="s">
        <v>27</v>
      </c>
      <c r="L660" t="s">
        <v>755</v>
      </c>
    </row>
    <row r="662" spans="1:12" x14ac:dyDescent="0.2">
      <c r="A662" t="s">
        <v>751</v>
      </c>
      <c r="B662" s="27">
        <v>2</v>
      </c>
      <c r="C662" t="s">
        <v>39</v>
      </c>
      <c r="L662" t="s">
        <v>753</v>
      </c>
    </row>
    <row r="663" spans="1:12" x14ac:dyDescent="0.2">
      <c r="A663" t="s">
        <v>751</v>
      </c>
      <c r="B663" s="27">
        <v>2</v>
      </c>
      <c r="C663" t="s">
        <v>105</v>
      </c>
      <c r="E663" t="s">
        <v>1186</v>
      </c>
      <c r="F663" t="s">
        <v>760</v>
      </c>
      <c r="G663" t="s">
        <v>757</v>
      </c>
      <c r="L663" t="str">
        <f>_xlfn.TEXTJOIN("", TRUE, D663:J663)</f>
        <v>02_Slots/Gottheit/Goetter-mit-Epitheta/0130_Behedeti/epitheta/02_sAb-Sw.t/0001_sAb-Sw.t_01.png</v>
      </c>
    </row>
    <row r="664" spans="1:12" x14ac:dyDescent="0.2">
      <c r="A664" t="s">
        <v>751</v>
      </c>
      <c r="B664" s="27">
        <v>2</v>
      </c>
      <c r="C664" t="s">
        <v>105</v>
      </c>
      <c r="E664" t="s">
        <v>1186</v>
      </c>
      <c r="F664" t="s">
        <v>760</v>
      </c>
      <c r="G664" t="s">
        <v>758</v>
      </c>
      <c r="L664" t="str">
        <f>_xlfn.TEXTJOIN("", TRUE, D664:J664)</f>
        <v>02_Slots/Gottheit/Goetter-mit-Epitheta/0130_Behedeti/epitheta/02_sAb-Sw.t/0010_sAb-Sw.t_D.18_01.png</v>
      </c>
    </row>
    <row r="665" spans="1:12" x14ac:dyDescent="0.2">
      <c r="A665" t="s">
        <v>751</v>
      </c>
      <c r="B665" s="27">
        <v>2</v>
      </c>
      <c r="C665" t="s">
        <v>27</v>
      </c>
      <c r="L665" t="s">
        <v>754</v>
      </c>
    </row>
    <row r="668" spans="1:12" x14ac:dyDescent="0.2">
      <c r="A668" t="s">
        <v>60</v>
      </c>
      <c r="B668" s="27">
        <v>140</v>
      </c>
      <c r="C668" t="s">
        <v>39</v>
      </c>
      <c r="L668" t="s">
        <v>657</v>
      </c>
    </row>
    <row r="669" spans="1:12" x14ac:dyDescent="0.2">
      <c r="A669" t="s">
        <v>60</v>
      </c>
      <c r="B669" s="27">
        <v>140</v>
      </c>
      <c r="C669" t="s">
        <v>105</v>
      </c>
      <c r="E669" t="s">
        <v>1187</v>
      </c>
      <c r="G669" t="s">
        <v>762</v>
      </c>
      <c r="L669" t="str">
        <f t="shared" ref="L669" si="97">_xlfn.TEXTJOIN("", TRUE, D669:J669)</f>
        <v>02_Slots/Gottheit/Goetter-mit-Epitheta/0140_Goetterneunheit/0001_psD.t_01.png</v>
      </c>
    </row>
    <row r="670" spans="1:12" x14ac:dyDescent="0.2">
      <c r="A670" t="s">
        <v>60</v>
      </c>
      <c r="B670" s="27">
        <v>140</v>
      </c>
      <c r="C670" t="s">
        <v>105</v>
      </c>
      <c r="E670" t="s">
        <v>1187</v>
      </c>
      <c r="G670" t="s">
        <v>763</v>
      </c>
      <c r="I670" t="s">
        <v>1147</v>
      </c>
      <c r="J670" t="s">
        <v>1148</v>
      </c>
      <c r="K670" t="s">
        <v>1149</v>
      </c>
      <c r="L670" t="str">
        <f t="shared" ref="L670:L680" si="98">_xlfn.TEXTJOIN("", TRUE, D670:K670)</f>
        <v>02_Slots/Gottheit/Goetter-mit-Epitheta/0140_Goetterneunheit/0010_psD.t_AR_01.png &lt;sup&gt;(AR)&lt;/sup&gt;</v>
      </c>
    </row>
    <row r="671" spans="1:12" x14ac:dyDescent="0.2">
      <c r="A671" t="s">
        <v>60</v>
      </c>
      <c r="B671" s="27">
        <v>140</v>
      </c>
      <c r="C671" t="s">
        <v>105</v>
      </c>
      <c r="E671" t="s">
        <v>1187</v>
      </c>
      <c r="G671" t="s">
        <v>764</v>
      </c>
      <c r="I671" t="s">
        <v>1147</v>
      </c>
      <c r="J671" t="s">
        <v>1148</v>
      </c>
      <c r="K671" t="s">
        <v>1149</v>
      </c>
      <c r="L671" t="str">
        <f t="shared" si="98"/>
        <v>02_Slots/Gottheit/Goetter-mit-Epitheta/0140_Goetterneunheit/0020_psD.t_AR_02.png &lt;sup&gt;(AR)&lt;/sup&gt;</v>
      </c>
    </row>
    <row r="672" spans="1:12" x14ac:dyDescent="0.2">
      <c r="A672" t="s">
        <v>60</v>
      </c>
      <c r="B672" s="27">
        <v>140</v>
      </c>
      <c r="C672" t="s">
        <v>105</v>
      </c>
      <c r="E672" t="s">
        <v>1187</v>
      </c>
      <c r="G672" t="s">
        <v>765</v>
      </c>
      <c r="I672" t="s">
        <v>1147</v>
      </c>
      <c r="J672" t="s">
        <v>1148</v>
      </c>
      <c r="K672" t="s">
        <v>1149</v>
      </c>
      <c r="L672" t="str">
        <f t="shared" si="98"/>
        <v>02_Slots/Gottheit/Goetter-mit-Epitheta/0140_Goetterneunheit/0030_psD.t_AR_03.png &lt;sup&gt;(AR)&lt;/sup&gt;</v>
      </c>
    </row>
    <row r="673" spans="1:12" x14ac:dyDescent="0.2">
      <c r="A673" t="s">
        <v>60</v>
      </c>
      <c r="B673" s="27">
        <v>140</v>
      </c>
      <c r="C673" t="s">
        <v>105</v>
      </c>
      <c r="E673" t="s">
        <v>1187</v>
      </c>
      <c r="G673" t="s">
        <v>766</v>
      </c>
      <c r="I673" t="s">
        <v>1147</v>
      </c>
      <c r="J673" t="s">
        <v>1151</v>
      </c>
      <c r="K673" t="s">
        <v>1149</v>
      </c>
      <c r="L673" t="str">
        <f t="shared" si="98"/>
        <v>02_Slots/Gottheit/Goetter-mit-Epitheta/0140_Goetterneunheit/0040_psD.t_MR_01.png &lt;sup&gt;(MR)&lt;/sup&gt;</v>
      </c>
    </row>
    <row r="674" spans="1:12" x14ac:dyDescent="0.2">
      <c r="A674" t="s">
        <v>60</v>
      </c>
      <c r="B674" s="27">
        <v>140</v>
      </c>
      <c r="C674" t="s">
        <v>105</v>
      </c>
      <c r="E674" t="s">
        <v>1187</v>
      </c>
      <c r="G674" t="s">
        <v>767</v>
      </c>
      <c r="I674" t="s">
        <v>1147</v>
      </c>
      <c r="J674" t="s">
        <v>1156</v>
      </c>
      <c r="K674" t="s">
        <v>1149</v>
      </c>
      <c r="L674" t="str">
        <f t="shared" si="98"/>
        <v>02_Slots/Gottheit/Goetter-mit-Epitheta/0140_Goetterneunheit/0050_psD.t_SP_01.png &lt;sup&gt;(Sp.)&lt;/sup&gt;</v>
      </c>
    </row>
    <row r="675" spans="1:12" x14ac:dyDescent="0.2">
      <c r="A675" t="s">
        <v>60</v>
      </c>
      <c r="B675" s="27">
        <v>140</v>
      </c>
      <c r="C675" t="s">
        <v>105</v>
      </c>
      <c r="E675" t="s">
        <v>1187</v>
      </c>
      <c r="G675" t="s">
        <v>768</v>
      </c>
      <c r="I675" t="s">
        <v>1147</v>
      </c>
      <c r="J675" t="s">
        <v>1150</v>
      </c>
      <c r="K675" t="s">
        <v>1149</v>
      </c>
      <c r="L675" t="str">
        <f t="shared" si="98"/>
        <v>02_Slots/Gottheit/Goetter-mit-Epitheta/0140_Goetterneunheit/0060_psD.t_GR_01.png &lt;sup&gt;(Gr.)&lt;/sup&gt;</v>
      </c>
    </row>
    <row r="676" spans="1:12" x14ac:dyDescent="0.2">
      <c r="A676" t="s">
        <v>60</v>
      </c>
      <c r="B676" s="27">
        <v>140</v>
      </c>
      <c r="C676" t="s">
        <v>105</v>
      </c>
      <c r="E676" t="s">
        <v>1187</v>
      </c>
      <c r="G676" t="s">
        <v>761</v>
      </c>
      <c r="I676" t="s">
        <v>1147</v>
      </c>
      <c r="J676" t="s">
        <v>1150</v>
      </c>
      <c r="K676" t="s">
        <v>1149</v>
      </c>
      <c r="L676" t="str">
        <f t="shared" si="98"/>
        <v>02_Slots/Gottheit/Goetter-mit-Epitheta/0140_Goetterneunheit/0070_psD.t_GR_02.png &lt;sup&gt;(Gr.)&lt;/sup&gt;</v>
      </c>
    </row>
    <row r="677" spans="1:12" x14ac:dyDescent="0.2">
      <c r="A677" t="s">
        <v>60</v>
      </c>
      <c r="B677" s="27">
        <v>140</v>
      </c>
      <c r="C677" t="s">
        <v>106</v>
      </c>
      <c r="E677" t="s">
        <v>1187</v>
      </c>
      <c r="F677" t="s">
        <v>110</v>
      </c>
      <c r="G677" t="s">
        <v>769</v>
      </c>
      <c r="I677" t="s">
        <v>1147</v>
      </c>
      <c r="J677" t="s">
        <v>1148</v>
      </c>
      <c r="K677" t="s">
        <v>1149</v>
      </c>
      <c r="L677" t="str">
        <f t="shared" si="98"/>
        <v>02_Slots/Gottheit/Goetter-mit-Epitheta/0140_Goetterneunheit/det/0001_psD.t_det_AR_01.png &lt;sup&gt;(AR)&lt;/sup&gt;</v>
      </c>
    </row>
    <row r="678" spans="1:12" x14ac:dyDescent="0.2">
      <c r="A678" t="s">
        <v>60</v>
      </c>
      <c r="B678" s="27">
        <v>140</v>
      </c>
      <c r="C678" t="s">
        <v>106</v>
      </c>
      <c r="E678" t="s">
        <v>1187</v>
      </c>
      <c r="F678" t="s">
        <v>110</v>
      </c>
      <c r="G678" t="s">
        <v>770</v>
      </c>
      <c r="I678" t="s">
        <v>1147</v>
      </c>
      <c r="J678" t="s">
        <v>1151</v>
      </c>
      <c r="K678" t="s">
        <v>1149</v>
      </c>
      <c r="L678" t="str">
        <f t="shared" si="98"/>
        <v>02_Slots/Gottheit/Goetter-mit-Epitheta/0140_Goetterneunheit/det/0010_psD.t_det_MR_01.png &lt;sup&gt;(MR)&lt;/sup&gt;</v>
      </c>
    </row>
    <row r="679" spans="1:12" x14ac:dyDescent="0.2">
      <c r="A679" t="s">
        <v>60</v>
      </c>
      <c r="B679" s="27">
        <v>140</v>
      </c>
      <c r="C679" t="s">
        <v>106</v>
      </c>
      <c r="E679" t="s">
        <v>1187</v>
      </c>
      <c r="F679" t="s">
        <v>110</v>
      </c>
      <c r="G679" t="s">
        <v>771</v>
      </c>
      <c r="I679" t="s">
        <v>1147</v>
      </c>
      <c r="J679" t="s">
        <v>1151</v>
      </c>
      <c r="K679" t="s">
        <v>1149</v>
      </c>
      <c r="L679" t="str">
        <f t="shared" si="98"/>
        <v>02_Slots/Gottheit/Goetter-mit-Epitheta/0140_Goetterneunheit/det/0020_psD.t_det_MR_02.png &lt;sup&gt;(MR)&lt;/sup&gt;</v>
      </c>
    </row>
    <row r="680" spans="1:12" x14ac:dyDescent="0.2">
      <c r="A680" t="s">
        <v>60</v>
      </c>
      <c r="B680" s="27">
        <v>140</v>
      </c>
      <c r="C680" t="s">
        <v>106</v>
      </c>
      <c r="E680" t="s">
        <v>1187</v>
      </c>
      <c r="F680" t="s">
        <v>110</v>
      </c>
      <c r="G680" t="s">
        <v>772</v>
      </c>
      <c r="I680" t="s">
        <v>1147</v>
      </c>
      <c r="J680" t="s">
        <v>1156</v>
      </c>
      <c r="K680" t="s">
        <v>1149</v>
      </c>
      <c r="L680" t="str">
        <f t="shared" si="98"/>
        <v>02_Slots/Gottheit/Goetter-mit-Epitheta/0140_Goetterneunheit/det/0030_psD.t_det_SP_01.png &lt;sup&gt;(Sp.)&lt;/sup&gt;</v>
      </c>
    </row>
    <row r="681" spans="1:12" x14ac:dyDescent="0.2">
      <c r="A681" t="s">
        <v>60</v>
      </c>
      <c r="B681" s="27">
        <v>140</v>
      </c>
      <c r="C681" t="s">
        <v>107</v>
      </c>
      <c r="L681" t="s">
        <v>137</v>
      </c>
    </row>
    <row r="682" spans="1:12" x14ac:dyDescent="0.2">
      <c r="A682" t="s">
        <v>60</v>
      </c>
      <c r="B682" s="27">
        <v>140</v>
      </c>
      <c r="C682" t="s">
        <v>108</v>
      </c>
      <c r="L682" t="s">
        <v>1126</v>
      </c>
    </row>
    <row r="684" spans="1:12" x14ac:dyDescent="0.2">
      <c r="A684" t="s">
        <v>773</v>
      </c>
      <c r="B684" s="27">
        <v>1</v>
      </c>
      <c r="C684" t="s">
        <v>39</v>
      </c>
      <c r="L684" t="s">
        <v>775</v>
      </c>
    </row>
    <row r="685" spans="1:12" x14ac:dyDescent="0.2">
      <c r="A685" t="s">
        <v>773</v>
      </c>
      <c r="B685" s="27">
        <v>1</v>
      </c>
      <c r="C685" t="s">
        <v>105</v>
      </c>
      <c r="E685" t="s">
        <v>1187</v>
      </c>
      <c r="F685" t="s">
        <v>774</v>
      </c>
      <c r="G685" t="s">
        <v>780</v>
      </c>
      <c r="L685" t="str">
        <f t="shared" ref="L685:L686" si="99">_xlfn.TEXTJOIN("", TRUE, D685:J685)</f>
        <v>02_Slots/Gottheit/Goetter-mit-Epitheta/0140_Goetterneunheit/epitheta/01_aA.t/0001_aA.t_01.png</v>
      </c>
    </row>
    <row r="686" spans="1:12" x14ac:dyDescent="0.2">
      <c r="A686" t="s">
        <v>773</v>
      </c>
      <c r="B686" s="27">
        <v>1</v>
      </c>
      <c r="C686" t="s">
        <v>105</v>
      </c>
      <c r="E686" t="s">
        <v>1187</v>
      </c>
      <c r="F686" t="s">
        <v>774</v>
      </c>
      <c r="G686" t="s">
        <v>781</v>
      </c>
      <c r="L686" t="str">
        <f t="shared" si="99"/>
        <v>02_Slots/Gottheit/Goetter-mit-Epitheta/0140_Goetterneunheit/epitheta/01_aA.t/0010_aA.t_02.png</v>
      </c>
    </row>
    <row r="687" spans="1:12" x14ac:dyDescent="0.2">
      <c r="A687" t="s">
        <v>773</v>
      </c>
      <c r="B687" s="27">
        <v>1</v>
      </c>
      <c r="C687" t="s">
        <v>105</v>
      </c>
      <c r="E687" t="s">
        <v>1187</v>
      </c>
      <c r="F687" t="s">
        <v>774</v>
      </c>
      <c r="G687" t="s">
        <v>782</v>
      </c>
      <c r="I687" t="s">
        <v>1147</v>
      </c>
      <c r="J687" t="s">
        <v>1148</v>
      </c>
      <c r="K687" t="s">
        <v>1149</v>
      </c>
      <c r="L687" t="str">
        <f t="shared" ref="L687:L690" si="100">_xlfn.TEXTJOIN("", TRUE, D687:K687)</f>
        <v>02_Slots/Gottheit/Goetter-mit-Epitheta/0140_Goetterneunheit/epitheta/01_aA.t/0020_aA.t_AR_01.png &lt;sup&gt;(AR)&lt;/sup&gt;</v>
      </c>
    </row>
    <row r="688" spans="1:12" x14ac:dyDescent="0.2">
      <c r="A688" t="s">
        <v>773</v>
      </c>
      <c r="B688" s="27">
        <v>1</v>
      </c>
      <c r="C688" t="s">
        <v>105</v>
      </c>
      <c r="E688" t="s">
        <v>1187</v>
      </c>
      <c r="F688" t="s">
        <v>774</v>
      </c>
      <c r="G688" t="s">
        <v>783</v>
      </c>
      <c r="I688" t="s">
        <v>1147</v>
      </c>
      <c r="J688" t="s">
        <v>1151</v>
      </c>
      <c r="K688" t="s">
        <v>1149</v>
      </c>
      <c r="L688" t="str">
        <f t="shared" si="100"/>
        <v>02_Slots/Gottheit/Goetter-mit-Epitheta/0140_Goetterneunheit/epitheta/01_aA.t/0030_aA.t_MR_01.png &lt;sup&gt;(MR)&lt;/sup&gt;</v>
      </c>
    </row>
    <row r="689" spans="1:12" x14ac:dyDescent="0.2">
      <c r="A689" t="s">
        <v>773</v>
      </c>
      <c r="B689" s="27">
        <v>1</v>
      </c>
      <c r="C689" t="s">
        <v>105</v>
      </c>
      <c r="E689" t="s">
        <v>1187</v>
      </c>
      <c r="F689" t="s">
        <v>774</v>
      </c>
      <c r="G689" t="s">
        <v>784</v>
      </c>
      <c r="I689" t="s">
        <v>1147</v>
      </c>
      <c r="J689" t="s">
        <v>1151</v>
      </c>
      <c r="K689" t="s">
        <v>1149</v>
      </c>
      <c r="L689" t="str">
        <f t="shared" si="100"/>
        <v>02_Slots/Gottheit/Goetter-mit-Epitheta/0140_Goetterneunheit/epitheta/01_aA.t/0040_aA.t_MR_02.png &lt;sup&gt;(MR)&lt;/sup&gt;</v>
      </c>
    </row>
    <row r="690" spans="1:12" x14ac:dyDescent="0.2">
      <c r="A690" t="s">
        <v>773</v>
      </c>
      <c r="B690" s="27">
        <v>1</v>
      </c>
      <c r="C690" t="s">
        <v>105</v>
      </c>
      <c r="E690" t="s">
        <v>1187</v>
      </c>
      <c r="F690" t="s">
        <v>774</v>
      </c>
      <c r="G690" t="s">
        <v>785</v>
      </c>
      <c r="I690" t="s">
        <v>1147</v>
      </c>
      <c r="J690" t="s">
        <v>1151</v>
      </c>
      <c r="K690" t="s">
        <v>1149</v>
      </c>
      <c r="L690" t="str">
        <f t="shared" si="100"/>
        <v>02_Slots/Gottheit/Goetter-mit-Epitheta/0140_Goetterneunheit/epitheta/01_aA.t/0050_aA.t_MR_03.png &lt;sup&gt;(MR)&lt;/sup&gt;</v>
      </c>
    </row>
    <row r="691" spans="1:12" x14ac:dyDescent="0.2">
      <c r="A691" t="s">
        <v>773</v>
      </c>
      <c r="B691" s="27">
        <v>1</v>
      </c>
      <c r="C691" t="s">
        <v>27</v>
      </c>
      <c r="L691" t="s">
        <v>776</v>
      </c>
    </row>
    <row r="693" spans="1:12" x14ac:dyDescent="0.2">
      <c r="A693" t="s">
        <v>773</v>
      </c>
      <c r="B693" s="27">
        <v>2</v>
      </c>
      <c r="C693" t="s">
        <v>39</v>
      </c>
      <c r="L693" t="s">
        <v>777</v>
      </c>
    </row>
    <row r="694" spans="1:12" x14ac:dyDescent="0.2">
      <c r="A694" t="s">
        <v>773</v>
      </c>
      <c r="B694" s="27">
        <v>2</v>
      </c>
      <c r="C694" t="s">
        <v>105</v>
      </c>
      <c r="E694" t="s">
        <v>1187</v>
      </c>
      <c r="F694" t="s">
        <v>779</v>
      </c>
      <c r="G694" t="s">
        <v>786</v>
      </c>
      <c r="L694" t="str">
        <f>_xlfn.TEXTJOIN("", TRUE, D694:J694)</f>
        <v>02_Slots/Gottheit/Goetter-mit-Epitheta/0140_Goetterneunheit/epitheta/02_nDs.t/0001_nDs.t_01.png</v>
      </c>
    </row>
    <row r="695" spans="1:12" x14ac:dyDescent="0.2">
      <c r="A695" t="s">
        <v>773</v>
      </c>
      <c r="B695" s="27">
        <v>2</v>
      </c>
      <c r="C695" t="s">
        <v>105</v>
      </c>
      <c r="E695" t="s">
        <v>1187</v>
      </c>
      <c r="F695" t="s">
        <v>779</v>
      </c>
      <c r="G695" t="s">
        <v>787</v>
      </c>
      <c r="I695" t="s">
        <v>1147</v>
      </c>
      <c r="J695" t="s">
        <v>1148</v>
      </c>
      <c r="K695" t="s">
        <v>1149</v>
      </c>
      <c r="L695" t="str">
        <f t="shared" ref="L695:L698" si="101">_xlfn.TEXTJOIN("", TRUE, D695:K695)</f>
        <v>02_Slots/Gottheit/Goetter-mit-Epitheta/0140_Goetterneunheit/epitheta/02_nDs.t/0010_nDs.t_AR_01.png &lt;sup&gt;(AR)&lt;/sup&gt;</v>
      </c>
    </row>
    <row r="696" spans="1:12" x14ac:dyDescent="0.2">
      <c r="A696" t="s">
        <v>773</v>
      </c>
      <c r="B696" s="27">
        <v>2</v>
      </c>
      <c r="C696" t="s">
        <v>105</v>
      </c>
      <c r="E696" t="s">
        <v>1187</v>
      </c>
      <c r="F696" t="s">
        <v>779</v>
      </c>
      <c r="G696" t="s">
        <v>788</v>
      </c>
      <c r="I696" t="s">
        <v>1147</v>
      </c>
      <c r="J696" t="s">
        <v>1151</v>
      </c>
      <c r="K696" t="s">
        <v>1149</v>
      </c>
      <c r="L696" t="str">
        <f t="shared" si="101"/>
        <v>02_Slots/Gottheit/Goetter-mit-Epitheta/0140_Goetterneunheit/epitheta/02_nDs.t/0020_nDs.t_MR_01.png &lt;sup&gt;(MR)&lt;/sup&gt;</v>
      </c>
    </row>
    <row r="697" spans="1:12" x14ac:dyDescent="0.2">
      <c r="A697" t="s">
        <v>773</v>
      </c>
      <c r="B697" s="27">
        <v>2</v>
      </c>
      <c r="C697" t="s">
        <v>105</v>
      </c>
      <c r="E697" t="s">
        <v>1187</v>
      </c>
      <c r="F697" t="s">
        <v>779</v>
      </c>
      <c r="G697" t="s">
        <v>789</v>
      </c>
      <c r="I697" t="s">
        <v>1147</v>
      </c>
      <c r="J697" t="s">
        <v>1151</v>
      </c>
      <c r="K697" t="s">
        <v>1149</v>
      </c>
      <c r="L697" t="str">
        <f t="shared" si="101"/>
        <v>02_Slots/Gottheit/Goetter-mit-Epitheta/0140_Goetterneunheit/epitheta/02_nDs.t/0030_nDs.t_MR_02.png &lt;sup&gt;(MR)&lt;/sup&gt;</v>
      </c>
    </row>
    <row r="698" spans="1:12" x14ac:dyDescent="0.2">
      <c r="A698" t="s">
        <v>773</v>
      </c>
      <c r="B698" s="27">
        <v>2</v>
      </c>
      <c r="C698" t="s">
        <v>105</v>
      </c>
      <c r="E698" t="s">
        <v>1187</v>
      </c>
      <c r="F698" t="s">
        <v>779</v>
      </c>
      <c r="G698" t="s">
        <v>790</v>
      </c>
      <c r="I698" t="s">
        <v>1147</v>
      </c>
      <c r="J698" t="s">
        <v>1156</v>
      </c>
      <c r="K698" t="s">
        <v>1149</v>
      </c>
      <c r="L698" t="str">
        <f t="shared" si="101"/>
        <v>02_Slots/Gottheit/Goetter-mit-Epitheta/0140_Goetterneunheit/epitheta/02_nDs.t/0040_nDs.t_Sp_01.png &lt;sup&gt;(Sp.)&lt;/sup&gt;</v>
      </c>
    </row>
    <row r="699" spans="1:12" x14ac:dyDescent="0.2">
      <c r="A699" t="s">
        <v>773</v>
      </c>
      <c r="B699" s="27">
        <v>2</v>
      </c>
      <c r="C699" t="s">
        <v>27</v>
      </c>
      <c r="L699" t="s">
        <v>778</v>
      </c>
    </row>
    <row r="701" spans="1:12" x14ac:dyDescent="0.2">
      <c r="A701" t="s">
        <v>60</v>
      </c>
      <c r="B701" s="27">
        <v>150</v>
      </c>
      <c r="C701" t="s">
        <v>39</v>
      </c>
      <c r="L701" t="s">
        <v>658</v>
      </c>
    </row>
    <row r="702" spans="1:12" x14ac:dyDescent="0.2">
      <c r="A702" t="s">
        <v>60</v>
      </c>
      <c r="B702" s="27">
        <v>150</v>
      </c>
      <c r="C702" t="s">
        <v>105</v>
      </c>
      <c r="E702" t="s">
        <v>1188</v>
      </c>
      <c r="G702" t="s">
        <v>791</v>
      </c>
      <c r="H702" t="s">
        <v>112</v>
      </c>
      <c r="L702" t="str">
        <f>_xlfn.TEXTJOIN("", TRUE, D702:J702)</f>
        <v>02_Slots/Gottheit/Goetter-mit-Epitheta/0150_Ptah/0001_ptH_01.png</v>
      </c>
    </row>
    <row r="703" spans="1:12" x14ac:dyDescent="0.2">
      <c r="A703" t="s">
        <v>60</v>
      </c>
      <c r="B703" s="27">
        <v>150</v>
      </c>
      <c r="C703" t="s">
        <v>106</v>
      </c>
      <c r="E703" t="s">
        <v>1188</v>
      </c>
      <c r="F703" t="s">
        <v>110</v>
      </c>
      <c r="G703" t="s">
        <v>792</v>
      </c>
      <c r="L703" t="str">
        <f>_xlfn.TEXTJOIN("", TRUE, D703:J703)</f>
        <v>02_Slots/Gottheit/Goetter-mit-Epitheta/0150_Ptah/det/0001_ptH_det_01.png</v>
      </c>
    </row>
    <row r="704" spans="1:12" x14ac:dyDescent="0.2">
      <c r="A704" t="s">
        <v>60</v>
      </c>
      <c r="B704" s="27">
        <v>150</v>
      </c>
      <c r="C704" t="s">
        <v>106</v>
      </c>
      <c r="E704" t="s">
        <v>1188</v>
      </c>
      <c r="F704" t="s">
        <v>110</v>
      </c>
      <c r="G704" t="s">
        <v>793</v>
      </c>
      <c r="L704" t="str">
        <f>_xlfn.TEXTJOIN("", TRUE, D704:J704)</f>
        <v>02_Slots/Gottheit/Goetter-mit-Epitheta/0150_Ptah/det/0010_ptH_det_02.png</v>
      </c>
    </row>
    <row r="705" spans="1:12" x14ac:dyDescent="0.2">
      <c r="A705" t="s">
        <v>60</v>
      </c>
      <c r="B705" s="27">
        <v>150</v>
      </c>
      <c r="C705" t="s">
        <v>107</v>
      </c>
      <c r="L705" t="s">
        <v>138</v>
      </c>
    </row>
    <row r="706" spans="1:12" x14ac:dyDescent="0.2">
      <c r="A706" t="s">
        <v>60</v>
      </c>
      <c r="B706" s="27">
        <v>150</v>
      </c>
      <c r="C706" t="s">
        <v>108</v>
      </c>
    </row>
    <row r="709" spans="1:12" x14ac:dyDescent="0.2">
      <c r="A709" t="s">
        <v>60</v>
      </c>
      <c r="B709" s="27">
        <v>160</v>
      </c>
      <c r="C709" t="s">
        <v>39</v>
      </c>
      <c r="L709" t="s">
        <v>659</v>
      </c>
    </row>
    <row r="710" spans="1:12" x14ac:dyDescent="0.2">
      <c r="A710" t="s">
        <v>60</v>
      </c>
      <c r="B710" s="27">
        <v>160</v>
      </c>
      <c r="C710" t="s">
        <v>105</v>
      </c>
      <c r="E710" t="s">
        <v>1189</v>
      </c>
      <c r="G710" t="s">
        <v>795</v>
      </c>
      <c r="L710" t="str">
        <f t="shared" ref="L710:L711" si="102">_xlfn.TEXTJOIN("", TRUE, D710:J710)</f>
        <v>02_Slots/Gottheit/Goetter-mit-Epitheta/0160_Maat/0001_mAa.t_01.png</v>
      </c>
    </row>
    <row r="711" spans="1:12" x14ac:dyDescent="0.2">
      <c r="A711" t="s">
        <v>60</v>
      </c>
      <c r="B711" s="27">
        <v>160</v>
      </c>
      <c r="C711" t="s">
        <v>105</v>
      </c>
      <c r="E711" t="s">
        <v>1189</v>
      </c>
      <c r="G711" t="s">
        <v>796</v>
      </c>
      <c r="L711" t="str">
        <f t="shared" si="102"/>
        <v>02_Slots/Gottheit/Goetter-mit-Epitheta/0160_Maat/0010_mAa.t_02.png</v>
      </c>
    </row>
    <row r="712" spans="1:12" x14ac:dyDescent="0.2">
      <c r="A712" t="s">
        <v>60</v>
      </c>
      <c r="B712" s="27">
        <v>160</v>
      </c>
      <c r="C712" t="s">
        <v>105</v>
      </c>
      <c r="E712" t="s">
        <v>1189</v>
      </c>
      <c r="G712" t="s">
        <v>797</v>
      </c>
      <c r="I712" t="s">
        <v>1147</v>
      </c>
      <c r="J712" t="s">
        <v>1148</v>
      </c>
      <c r="K712" t="s">
        <v>1149</v>
      </c>
      <c r="L712" t="str">
        <f t="shared" ref="L712:L721" si="103">_xlfn.TEXTJOIN("", TRUE, D712:K712)</f>
        <v>02_Slots/Gottheit/Goetter-mit-Epitheta/0160_Maat/0020_mAa.t_AR_01.png &lt;sup&gt;(AR)&lt;/sup&gt;</v>
      </c>
    </row>
    <row r="713" spans="1:12" x14ac:dyDescent="0.2">
      <c r="A713" t="s">
        <v>60</v>
      </c>
      <c r="B713" s="27">
        <v>160</v>
      </c>
      <c r="C713" t="s">
        <v>105</v>
      </c>
      <c r="E713" t="s">
        <v>1189</v>
      </c>
      <c r="G713" t="s">
        <v>798</v>
      </c>
      <c r="I713" t="s">
        <v>1147</v>
      </c>
      <c r="J713" t="s">
        <v>1148</v>
      </c>
      <c r="K713" t="s">
        <v>1149</v>
      </c>
      <c r="L713" t="str">
        <f t="shared" si="103"/>
        <v>02_Slots/Gottheit/Goetter-mit-Epitheta/0160_Maat/0030_mAa.t_AR_02.png &lt;sup&gt;(AR)&lt;/sup&gt;</v>
      </c>
    </row>
    <row r="714" spans="1:12" x14ac:dyDescent="0.2">
      <c r="A714" t="s">
        <v>60</v>
      </c>
      <c r="B714" s="27">
        <v>160</v>
      </c>
      <c r="C714" t="s">
        <v>105</v>
      </c>
      <c r="E714" t="s">
        <v>1189</v>
      </c>
      <c r="G714" t="s">
        <v>799</v>
      </c>
      <c r="I714" t="s">
        <v>1147</v>
      </c>
      <c r="J714" t="s">
        <v>1151</v>
      </c>
      <c r="K714" t="s">
        <v>1149</v>
      </c>
      <c r="L714" t="str">
        <f t="shared" si="103"/>
        <v>02_Slots/Gottheit/Goetter-mit-Epitheta/0160_Maat/0040_mAa.t_MR_01.png &lt;sup&gt;(MR)&lt;/sup&gt;</v>
      </c>
    </row>
    <row r="715" spans="1:12" x14ac:dyDescent="0.2">
      <c r="A715" t="s">
        <v>60</v>
      </c>
      <c r="B715" s="27">
        <v>160</v>
      </c>
      <c r="C715" t="s">
        <v>105</v>
      </c>
      <c r="E715" t="s">
        <v>1189</v>
      </c>
      <c r="G715" t="s">
        <v>800</v>
      </c>
      <c r="I715" t="s">
        <v>1147</v>
      </c>
      <c r="J715" t="s">
        <v>1151</v>
      </c>
      <c r="K715" t="s">
        <v>1149</v>
      </c>
      <c r="L715" t="str">
        <f t="shared" si="103"/>
        <v>02_Slots/Gottheit/Goetter-mit-Epitheta/0160_Maat/0050_mAa.t_MR_02.png &lt;sup&gt;(MR)&lt;/sup&gt;</v>
      </c>
    </row>
    <row r="716" spans="1:12" x14ac:dyDescent="0.2">
      <c r="A716" t="s">
        <v>60</v>
      </c>
      <c r="B716" s="27">
        <v>160</v>
      </c>
      <c r="C716" t="s">
        <v>105</v>
      </c>
      <c r="E716" t="s">
        <v>1189</v>
      </c>
      <c r="G716" t="s">
        <v>801</v>
      </c>
      <c r="I716" t="s">
        <v>1147</v>
      </c>
      <c r="J716" t="s">
        <v>1103</v>
      </c>
      <c r="K716" t="s">
        <v>1149</v>
      </c>
      <c r="L716" t="str">
        <f t="shared" si="103"/>
        <v>02_Slots/Gottheit/Goetter-mit-Epitheta/0160_Maat/0060_mAa.t_NR_01.png &lt;sup&gt;(NR)&lt;/sup&gt;</v>
      </c>
    </row>
    <row r="717" spans="1:12" x14ac:dyDescent="0.2">
      <c r="A717" t="s">
        <v>60</v>
      </c>
      <c r="B717" s="27">
        <v>160</v>
      </c>
      <c r="C717" t="s">
        <v>105</v>
      </c>
      <c r="E717" t="s">
        <v>1189</v>
      </c>
      <c r="G717" t="s">
        <v>802</v>
      </c>
      <c r="I717" t="s">
        <v>1147</v>
      </c>
      <c r="J717" t="s">
        <v>1103</v>
      </c>
      <c r="K717" t="s">
        <v>1149</v>
      </c>
      <c r="L717" t="str">
        <f t="shared" si="103"/>
        <v>02_Slots/Gottheit/Goetter-mit-Epitheta/0160_Maat/0070_mAa.t_NR_02.png &lt;sup&gt;(NR)&lt;/sup&gt;</v>
      </c>
    </row>
    <row r="718" spans="1:12" x14ac:dyDescent="0.2">
      <c r="A718" t="s">
        <v>60</v>
      </c>
      <c r="B718" s="27">
        <v>160</v>
      </c>
      <c r="C718" t="s">
        <v>105</v>
      </c>
      <c r="E718" t="s">
        <v>1189</v>
      </c>
      <c r="G718" t="s">
        <v>803</v>
      </c>
      <c r="I718" t="s">
        <v>1147</v>
      </c>
      <c r="J718" t="s">
        <v>1150</v>
      </c>
      <c r="K718" t="s">
        <v>1149</v>
      </c>
      <c r="L718" t="str">
        <f t="shared" si="103"/>
        <v>02_Slots/Gottheit/Goetter-mit-Epitheta/0160_Maat/0080_mAa.t_GR_01.png &lt;sup&gt;(Gr.)&lt;/sup&gt;</v>
      </c>
    </row>
    <row r="719" spans="1:12" x14ac:dyDescent="0.2">
      <c r="A719" t="s">
        <v>60</v>
      </c>
      <c r="B719" s="27">
        <v>160</v>
      </c>
      <c r="C719" t="s">
        <v>105</v>
      </c>
      <c r="E719" t="s">
        <v>1189</v>
      </c>
      <c r="G719" t="s">
        <v>794</v>
      </c>
      <c r="I719" t="s">
        <v>1147</v>
      </c>
      <c r="J719" t="s">
        <v>1150</v>
      </c>
      <c r="K719" t="s">
        <v>1149</v>
      </c>
      <c r="L719" t="str">
        <f t="shared" si="103"/>
        <v>02_Slots/Gottheit/Goetter-mit-Epitheta/0160_Maat/0090_mAa.t_GR_02.png &lt;sup&gt;(Gr.)&lt;/sup&gt;</v>
      </c>
    </row>
    <row r="720" spans="1:12" x14ac:dyDescent="0.2">
      <c r="A720" t="s">
        <v>60</v>
      </c>
      <c r="B720" s="27">
        <v>160</v>
      </c>
      <c r="C720" t="s">
        <v>106</v>
      </c>
      <c r="E720" t="s">
        <v>1189</v>
      </c>
      <c r="F720" t="s">
        <v>110</v>
      </c>
      <c r="G720" t="s">
        <v>804</v>
      </c>
      <c r="I720" t="s">
        <v>1147</v>
      </c>
      <c r="J720" t="s">
        <v>1148</v>
      </c>
      <c r="K720" t="s">
        <v>1149</v>
      </c>
      <c r="L720" t="str">
        <f t="shared" si="103"/>
        <v>02_Slots/Gottheit/Goetter-mit-Epitheta/0160_Maat/det/0001_mAa.t_det_AR_01.png &lt;sup&gt;(AR)&lt;/sup&gt;</v>
      </c>
    </row>
    <row r="721" spans="1:12" x14ac:dyDescent="0.2">
      <c r="A721" t="s">
        <v>60</v>
      </c>
      <c r="B721" s="27">
        <v>160</v>
      </c>
      <c r="C721" t="s">
        <v>106</v>
      </c>
      <c r="E721" t="s">
        <v>1189</v>
      </c>
      <c r="F721" t="s">
        <v>110</v>
      </c>
      <c r="G721" t="s">
        <v>805</v>
      </c>
      <c r="I721" t="s">
        <v>1147</v>
      </c>
      <c r="J721" t="s">
        <v>1151</v>
      </c>
      <c r="K721" t="s">
        <v>1149</v>
      </c>
      <c r="L721" t="str">
        <f t="shared" si="103"/>
        <v>02_Slots/Gottheit/Goetter-mit-Epitheta/0160_Maat/det/0010_mAa.t_det_MR_01.png &lt;sup&gt;(MR)&lt;/sup&gt;</v>
      </c>
    </row>
    <row r="722" spans="1:12" x14ac:dyDescent="0.2">
      <c r="A722" t="s">
        <v>60</v>
      </c>
      <c r="B722" s="27">
        <v>160</v>
      </c>
      <c r="C722" t="s">
        <v>107</v>
      </c>
      <c r="L722" t="s">
        <v>139</v>
      </c>
    </row>
    <row r="723" spans="1:12" x14ac:dyDescent="0.2">
      <c r="A723" t="s">
        <v>60</v>
      </c>
      <c r="B723" s="27">
        <v>160</v>
      </c>
      <c r="C723" t="s">
        <v>108</v>
      </c>
    </row>
    <row r="726" spans="1:12" x14ac:dyDescent="0.2">
      <c r="A726" t="s">
        <v>60</v>
      </c>
      <c r="B726" s="27">
        <v>170</v>
      </c>
      <c r="C726" t="s">
        <v>39</v>
      </c>
      <c r="L726" t="s">
        <v>660</v>
      </c>
    </row>
    <row r="727" spans="1:12" x14ac:dyDescent="0.2">
      <c r="A727" t="s">
        <v>60</v>
      </c>
      <c r="B727" s="27">
        <v>170</v>
      </c>
      <c r="C727" t="s">
        <v>105</v>
      </c>
      <c r="E727" t="s">
        <v>1190</v>
      </c>
      <c r="G727" t="s">
        <v>806</v>
      </c>
      <c r="L727" t="str">
        <f>_xlfn.TEXTJOIN("", TRUE, D727:J727)</f>
        <v>02_Slots/Gottheit/Goetter-mit-Epitheta/0170_Min/0001_mjn_01.png</v>
      </c>
    </row>
    <row r="728" spans="1:12" x14ac:dyDescent="0.2">
      <c r="A728" t="s">
        <v>60</v>
      </c>
      <c r="B728" s="27">
        <v>170</v>
      </c>
      <c r="C728" t="s">
        <v>105</v>
      </c>
      <c r="E728" t="s">
        <v>1190</v>
      </c>
      <c r="G728" t="s">
        <v>807</v>
      </c>
      <c r="L728" t="str">
        <f>_xlfn.TEXTJOIN("", TRUE, D728:J728)</f>
        <v>02_Slots/Gottheit/Goetter-mit-Epitheta/0170_Min/0010_mjn_AR_01.png</v>
      </c>
    </row>
    <row r="729" spans="1:12" x14ac:dyDescent="0.2">
      <c r="A729" t="s">
        <v>60</v>
      </c>
      <c r="B729" s="27">
        <v>170</v>
      </c>
      <c r="C729" t="s">
        <v>105</v>
      </c>
      <c r="E729" t="s">
        <v>1190</v>
      </c>
      <c r="G729" t="s">
        <v>808</v>
      </c>
      <c r="L729" t="str">
        <f>_xlfn.TEXTJOIN("", TRUE, D729:J729)</f>
        <v>02_Slots/Gottheit/Goetter-mit-Epitheta/0170_Min/0020_mjn_NR_01.png</v>
      </c>
    </row>
    <row r="730" spans="1:12" x14ac:dyDescent="0.2">
      <c r="A730" t="s">
        <v>60</v>
      </c>
      <c r="B730" s="27">
        <v>170</v>
      </c>
      <c r="C730" t="s">
        <v>106</v>
      </c>
      <c r="E730" t="s">
        <v>1190</v>
      </c>
      <c r="F730" t="s">
        <v>110</v>
      </c>
      <c r="G730" t="s">
        <v>809</v>
      </c>
      <c r="H730" t="s">
        <v>112</v>
      </c>
      <c r="L730" t="str">
        <f>_xlfn.TEXTJOIN("", TRUE, D730:J730)</f>
        <v>02_Slots/Gottheit/Goetter-mit-Epitheta/0170_Min/det/0001_mjn_det_01.png</v>
      </c>
    </row>
    <row r="731" spans="1:12" x14ac:dyDescent="0.2">
      <c r="A731" t="s">
        <v>60</v>
      </c>
      <c r="B731" s="27">
        <v>170</v>
      </c>
      <c r="C731" t="s">
        <v>107</v>
      </c>
      <c r="L731" t="s">
        <v>140</v>
      </c>
    </row>
    <row r="732" spans="1:12" x14ac:dyDescent="0.2">
      <c r="A732" t="s">
        <v>60</v>
      </c>
      <c r="B732" s="27">
        <v>170</v>
      </c>
      <c r="C732" t="s">
        <v>108</v>
      </c>
    </row>
    <row r="735" spans="1:12" x14ac:dyDescent="0.2">
      <c r="A735" t="s">
        <v>60</v>
      </c>
      <c r="B735" s="27">
        <v>180</v>
      </c>
      <c r="C735" t="s">
        <v>39</v>
      </c>
      <c r="L735" t="s">
        <v>661</v>
      </c>
    </row>
    <row r="736" spans="1:12" x14ac:dyDescent="0.2">
      <c r="A736" t="s">
        <v>60</v>
      </c>
      <c r="B736" s="27">
        <v>180</v>
      </c>
      <c r="C736" t="s">
        <v>105</v>
      </c>
      <c r="E736" t="s">
        <v>1191</v>
      </c>
      <c r="G736" t="s">
        <v>810</v>
      </c>
      <c r="L736" t="str">
        <f>_xlfn.TEXTJOIN("", TRUE, D736:J736)</f>
        <v>02_Slots/Gottheit/Goetter-mit-Epitheta/0180_Mut/0001_mw.t_01.png</v>
      </c>
    </row>
    <row r="737" spans="1:12" x14ac:dyDescent="0.2">
      <c r="A737" t="s">
        <v>60</v>
      </c>
      <c r="B737" s="27">
        <v>180</v>
      </c>
      <c r="C737" t="s">
        <v>105</v>
      </c>
      <c r="E737" t="s">
        <v>1191</v>
      </c>
      <c r="G737" t="s">
        <v>811</v>
      </c>
      <c r="L737" t="str">
        <f>_xlfn.TEXTJOIN("", TRUE, D737:J737)</f>
        <v>02_Slots/Gottheit/Goetter-mit-Epitheta/0180_Mut/0010_mw.t_02.png</v>
      </c>
    </row>
    <row r="738" spans="1:12" x14ac:dyDescent="0.2">
      <c r="A738" t="s">
        <v>60</v>
      </c>
      <c r="B738" s="27">
        <v>180</v>
      </c>
      <c r="C738" t="s">
        <v>105</v>
      </c>
      <c r="E738" t="s">
        <v>1191</v>
      </c>
      <c r="G738" t="s">
        <v>812</v>
      </c>
      <c r="L738" t="str">
        <f>_xlfn.TEXTJOIN("", TRUE, D738:J738)</f>
        <v>02_Slots/Gottheit/Goetter-mit-Epitheta/0180_Mut/0020_mw.t_03.png</v>
      </c>
    </row>
    <row r="739" spans="1:12" x14ac:dyDescent="0.2">
      <c r="A739" t="s">
        <v>60</v>
      </c>
      <c r="B739" s="27">
        <v>180</v>
      </c>
      <c r="C739" t="s">
        <v>106</v>
      </c>
      <c r="L739" t="str">
        <f>_xlfn.TEXTJOIN("", TRUE, D739:J739)</f>
        <v/>
      </c>
    </row>
    <row r="740" spans="1:12" x14ac:dyDescent="0.2">
      <c r="A740" t="s">
        <v>60</v>
      </c>
      <c r="B740" s="27">
        <v>180</v>
      </c>
      <c r="C740" t="s">
        <v>107</v>
      </c>
      <c r="L740" t="s">
        <v>141</v>
      </c>
    </row>
    <row r="741" spans="1:12" x14ac:dyDescent="0.2">
      <c r="A741" t="s">
        <v>60</v>
      </c>
      <c r="B741" s="27">
        <v>180</v>
      </c>
      <c r="C741" t="s">
        <v>108</v>
      </c>
      <c r="L741" t="s">
        <v>1127</v>
      </c>
    </row>
    <row r="743" spans="1:12" x14ac:dyDescent="0.2">
      <c r="A743" t="s">
        <v>813</v>
      </c>
      <c r="B743" s="27">
        <v>1</v>
      </c>
      <c r="C743" t="s">
        <v>39</v>
      </c>
      <c r="L743" t="s">
        <v>814</v>
      </c>
    </row>
    <row r="744" spans="1:12" x14ac:dyDescent="0.2">
      <c r="A744" t="s">
        <v>813</v>
      </c>
      <c r="B744" s="27">
        <v>1</v>
      </c>
      <c r="C744" t="s">
        <v>105</v>
      </c>
      <c r="E744" t="s">
        <v>1191</v>
      </c>
      <c r="F744" t="s">
        <v>816</v>
      </c>
      <c r="G744" t="s">
        <v>817</v>
      </c>
      <c r="L744" t="str">
        <f>_xlfn.TEXTJOIN("", TRUE, D744:J744)</f>
        <v>02_Slots/Gottheit/Goetter-mit-Epitheta/0180_Mut/epitheta/01_nb.t-jSrw/0001_nb.t-jSrw_01.png</v>
      </c>
    </row>
    <row r="745" spans="1:12" x14ac:dyDescent="0.2">
      <c r="A745" t="s">
        <v>813</v>
      </c>
      <c r="B745" s="27">
        <v>1</v>
      </c>
      <c r="C745" t="s">
        <v>105</v>
      </c>
      <c r="E745" t="s">
        <v>1191</v>
      </c>
      <c r="F745" t="s">
        <v>816</v>
      </c>
      <c r="G745" t="s">
        <v>818</v>
      </c>
      <c r="L745" t="str">
        <f>_xlfn.TEXTJOIN("", TRUE, D745:J745)</f>
        <v>02_Slots/Gottheit/Goetter-mit-Epitheta/0180_Mut/epitheta/01_nb.t-jSrw/0010_nb.t-jSrw_02.png</v>
      </c>
    </row>
    <row r="746" spans="1:12" x14ac:dyDescent="0.2">
      <c r="A746" t="s">
        <v>813</v>
      </c>
      <c r="B746" s="27">
        <v>1</v>
      </c>
      <c r="C746" t="s">
        <v>105</v>
      </c>
      <c r="E746" t="s">
        <v>1191</v>
      </c>
      <c r="F746" t="s">
        <v>816</v>
      </c>
      <c r="G746" t="s">
        <v>819</v>
      </c>
      <c r="L746" t="str">
        <f>_xlfn.TEXTJOIN("", TRUE, D746:J746)</f>
        <v>02_Slots/Gottheit/Goetter-mit-Epitheta/0180_Mut/epitheta/01_nb.t-jSrw/0020_nb.t-jSrw_GR_01.png</v>
      </c>
    </row>
    <row r="747" spans="1:12" x14ac:dyDescent="0.2">
      <c r="A747" t="s">
        <v>813</v>
      </c>
      <c r="B747" s="27">
        <v>1</v>
      </c>
      <c r="C747" t="s">
        <v>27</v>
      </c>
      <c r="L747" t="s">
        <v>815</v>
      </c>
    </row>
    <row r="752" spans="1:12" x14ac:dyDescent="0.2">
      <c r="A752" t="s">
        <v>60</v>
      </c>
      <c r="B752" s="27">
        <v>190</v>
      </c>
      <c r="C752" t="s">
        <v>39</v>
      </c>
      <c r="L752" t="s">
        <v>662</v>
      </c>
    </row>
    <row r="753" spans="1:12" x14ac:dyDescent="0.2">
      <c r="A753" t="s">
        <v>60</v>
      </c>
      <c r="B753" s="27">
        <v>190</v>
      </c>
      <c r="C753" t="s">
        <v>105</v>
      </c>
      <c r="E753" t="s">
        <v>1192</v>
      </c>
      <c r="G753" t="s">
        <v>820</v>
      </c>
      <c r="L753" t="str">
        <f t="shared" ref="L753:L759" si="104">_xlfn.TEXTJOIN("", TRUE, D753:J753)</f>
        <v>02_Slots/Gottheit/Goetter-mit-Epitheta/0190_Month/0001_mnTw_01.png</v>
      </c>
    </row>
    <row r="754" spans="1:12" x14ac:dyDescent="0.2">
      <c r="A754" t="s">
        <v>60</v>
      </c>
      <c r="B754" s="27">
        <v>190</v>
      </c>
      <c r="C754" t="s">
        <v>105</v>
      </c>
      <c r="E754" t="s">
        <v>1192</v>
      </c>
      <c r="G754" t="s">
        <v>821</v>
      </c>
      <c r="I754" t="s">
        <v>1147</v>
      </c>
      <c r="J754" t="s">
        <v>1103</v>
      </c>
      <c r="K754" t="s">
        <v>1149</v>
      </c>
      <c r="L754" t="str">
        <f>_xlfn.TEXTJOIN("", TRUE, D754:K754)</f>
        <v>02_Slots/Gottheit/Goetter-mit-Epitheta/0190_Month/0010_mnTw_NR_01.png &lt;sup&gt;(NR)&lt;/sup&gt;</v>
      </c>
    </row>
    <row r="755" spans="1:12" x14ac:dyDescent="0.2">
      <c r="A755" t="s">
        <v>60</v>
      </c>
      <c r="B755" s="27">
        <v>190</v>
      </c>
      <c r="C755" t="s">
        <v>105</v>
      </c>
      <c r="E755" t="s">
        <v>1192</v>
      </c>
      <c r="G755" t="s">
        <v>822</v>
      </c>
      <c r="I755" t="s">
        <v>1147</v>
      </c>
      <c r="J755" t="s">
        <v>1103</v>
      </c>
      <c r="K755" t="s">
        <v>1149</v>
      </c>
      <c r="L755" t="str">
        <f t="shared" ref="L755:L757" si="105">_xlfn.TEXTJOIN("", TRUE, D755:K755)</f>
        <v>02_Slots/Gottheit/Goetter-mit-Epitheta/0190_Month/0020_mnTw_NR_02.png &lt;sup&gt;(NR)&lt;/sup&gt;</v>
      </c>
    </row>
    <row r="756" spans="1:12" x14ac:dyDescent="0.2">
      <c r="A756" t="s">
        <v>60</v>
      </c>
      <c r="B756" s="27">
        <v>190</v>
      </c>
      <c r="C756" t="s">
        <v>105</v>
      </c>
      <c r="E756" t="s">
        <v>1192</v>
      </c>
      <c r="G756" t="s">
        <v>823</v>
      </c>
      <c r="I756" t="s">
        <v>1147</v>
      </c>
      <c r="J756" t="s">
        <v>1103</v>
      </c>
      <c r="K756" t="s">
        <v>1149</v>
      </c>
      <c r="L756" t="str">
        <f t="shared" si="105"/>
        <v>02_Slots/Gottheit/Goetter-mit-Epitheta/0190_Month/0030_mnTw_NR_03.png &lt;sup&gt;(NR)&lt;/sup&gt;</v>
      </c>
    </row>
    <row r="757" spans="1:12" x14ac:dyDescent="0.2">
      <c r="A757" t="s">
        <v>60</v>
      </c>
      <c r="B757" s="27">
        <v>190</v>
      </c>
      <c r="C757" t="s">
        <v>105</v>
      </c>
      <c r="E757" t="s">
        <v>1192</v>
      </c>
      <c r="G757" t="s">
        <v>824</v>
      </c>
      <c r="I757" t="s">
        <v>1147</v>
      </c>
      <c r="J757" t="s">
        <v>1150</v>
      </c>
      <c r="K757" t="s">
        <v>1149</v>
      </c>
      <c r="L757" t="str">
        <f t="shared" si="105"/>
        <v>02_Slots/Gottheit/Goetter-mit-Epitheta/0190_Month/0040_mnTw_GR_01.png &lt;sup&gt;(Gr.)&lt;/sup&gt;</v>
      </c>
    </row>
    <row r="758" spans="1:12" x14ac:dyDescent="0.2">
      <c r="A758" t="s">
        <v>60</v>
      </c>
      <c r="B758" s="27">
        <v>190</v>
      </c>
      <c r="C758" t="s">
        <v>106</v>
      </c>
      <c r="E758" t="s">
        <v>1192</v>
      </c>
      <c r="F758" t="s">
        <v>110</v>
      </c>
      <c r="G758" t="s">
        <v>825</v>
      </c>
      <c r="L758" t="str">
        <f t="shared" si="104"/>
        <v>02_Slots/Gottheit/Goetter-mit-Epitheta/0190_Month/det/0001_mnTw_det_01.png</v>
      </c>
    </row>
    <row r="759" spans="1:12" x14ac:dyDescent="0.2">
      <c r="A759" t="s">
        <v>60</v>
      </c>
      <c r="B759" s="27">
        <v>190</v>
      </c>
      <c r="C759" t="s">
        <v>106</v>
      </c>
      <c r="E759" t="s">
        <v>1192</v>
      </c>
      <c r="F759" t="s">
        <v>110</v>
      </c>
      <c r="G759" t="s">
        <v>826</v>
      </c>
      <c r="L759" t="str">
        <f t="shared" si="104"/>
        <v>02_Slots/Gottheit/Goetter-mit-Epitheta/0190_Month/det/0010_mnTw_det_02.png</v>
      </c>
    </row>
    <row r="760" spans="1:12" x14ac:dyDescent="0.2">
      <c r="A760" t="s">
        <v>60</v>
      </c>
      <c r="B760" s="27">
        <v>190</v>
      </c>
      <c r="C760" t="s">
        <v>107</v>
      </c>
      <c r="L760" t="s">
        <v>142</v>
      </c>
    </row>
    <row r="761" spans="1:12" x14ac:dyDescent="0.2">
      <c r="A761" t="s">
        <v>60</v>
      </c>
      <c r="B761" s="27">
        <v>190</v>
      </c>
      <c r="C761" t="s">
        <v>108</v>
      </c>
      <c r="L761" t="s">
        <v>1128</v>
      </c>
    </row>
    <row r="763" spans="1:12" x14ac:dyDescent="0.2">
      <c r="A763" t="s">
        <v>827</v>
      </c>
      <c r="B763" s="27">
        <v>1</v>
      </c>
      <c r="C763" t="s">
        <v>39</v>
      </c>
      <c r="L763" t="s">
        <v>828</v>
      </c>
    </row>
    <row r="764" spans="1:12" x14ac:dyDescent="0.2">
      <c r="A764" t="s">
        <v>827</v>
      </c>
      <c r="B764" s="27">
        <v>1</v>
      </c>
      <c r="C764" t="s">
        <v>105</v>
      </c>
      <c r="E764" t="s">
        <v>1192</v>
      </c>
      <c r="F764" t="s">
        <v>830</v>
      </c>
      <c r="G764" t="s">
        <v>831</v>
      </c>
      <c r="L764" t="str">
        <f t="shared" ref="L764:L771" si="106">_xlfn.TEXTJOIN("", TRUE, D764:K764)</f>
        <v>02_Slots/Gottheit/Goetter-mit-Epitheta/0190_Month/epitheta/01_nb-wAs.t/0001_nb-WAs.t_01.png</v>
      </c>
    </row>
    <row r="765" spans="1:12" x14ac:dyDescent="0.2">
      <c r="A765" t="s">
        <v>827</v>
      </c>
      <c r="B765" s="27">
        <v>1</v>
      </c>
      <c r="C765" t="s">
        <v>105</v>
      </c>
      <c r="E765" t="s">
        <v>1192</v>
      </c>
      <c r="F765" t="s">
        <v>830</v>
      </c>
      <c r="G765" t="s">
        <v>832</v>
      </c>
      <c r="I765" t="s">
        <v>1147</v>
      </c>
      <c r="J765" t="s">
        <v>1148</v>
      </c>
      <c r="K765" t="s">
        <v>1149</v>
      </c>
      <c r="L765" t="str">
        <f t="shared" si="106"/>
        <v>02_Slots/Gottheit/Goetter-mit-Epitheta/0190_Month/epitheta/01_nb-wAs.t/0010_nb-WAs.t_AR_01.png &lt;sup&gt;(AR)&lt;/sup&gt;</v>
      </c>
    </row>
    <row r="766" spans="1:12" x14ac:dyDescent="0.2">
      <c r="A766" t="s">
        <v>827</v>
      </c>
      <c r="B766" s="27">
        <v>1</v>
      </c>
      <c r="C766" t="s">
        <v>105</v>
      </c>
      <c r="E766" t="s">
        <v>1192</v>
      </c>
      <c r="F766" t="s">
        <v>830</v>
      </c>
      <c r="G766" t="s">
        <v>833</v>
      </c>
      <c r="I766" t="s">
        <v>1147</v>
      </c>
      <c r="J766" t="s">
        <v>1103</v>
      </c>
      <c r="K766" t="s">
        <v>1149</v>
      </c>
      <c r="L766" t="str">
        <f t="shared" si="106"/>
        <v>02_Slots/Gottheit/Goetter-mit-Epitheta/0190_Month/epitheta/01_nb-wAs.t/0020_nb-WAs.t_NR_01.png &lt;sup&gt;(NR)&lt;/sup&gt;</v>
      </c>
    </row>
    <row r="767" spans="1:12" x14ac:dyDescent="0.2">
      <c r="A767" t="s">
        <v>827</v>
      </c>
      <c r="B767" s="27">
        <v>1</v>
      </c>
      <c r="C767" t="s">
        <v>105</v>
      </c>
      <c r="E767" t="s">
        <v>1192</v>
      </c>
      <c r="F767" t="s">
        <v>830</v>
      </c>
      <c r="G767" t="s">
        <v>834</v>
      </c>
      <c r="I767" t="s">
        <v>1147</v>
      </c>
      <c r="J767" t="s">
        <v>1103</v>
      </c>
      <c r="K767" t="s">
        <v>1149</v>
      </c>
      <c r="L767" t="str">
        <f t="shared" si="106"/>
        <v>02_Slots/Gottheit/Goetter-mit-Epitheta/0190_Month/epitheta/01_nb-wAs.t/0030_nb-WAs.t_NR_02.png &lt;sup&gt;(NR)&lt;/sup&gt;</v>
      </c>
    </row>
    <row r="768" spans="1:12" x14ac:dyDescent="0.2">
      <c r="A768" t="s">
        <v>827</v>
      </c>
      <c r="B768" s="27">
        <v>1</v>
      </c>
      <c r="C768" t="s">
        <v>105</v>
      </c>
      <c r="E768" t="s">
        <v>1192</v>
      </c>
      <c r="F768" t="s">
        <v>830</v>
      </c>
      <c r="G768" t="s">
        <v>835</v>
      </c>
      <c r="I768" t="s">
        <v>1147</v>
      </c>
      <c r="J768" t="s">
        <v>1103</v>
      </c>
      <c r="K768" t="s">
        <v>1149</v>
      </c>
      <c r="L768" t="str">
        <f t="shared" si="106"/>
        <v>02_Slots/Gottheit/Goetter-mit-Epitheta/0190_Month/epitheta/01_nb-wAs.t/0040_nb-WAs.t_NR_03.png &lt;sup&gt;(NR)&lt;/sup&gt;</v>
      </c>
    </row>
    <row r="769" spans="1:12" x14ac:dyDescent="0.2">
      <c r="A769" t="s">
        <v>827</v>
      </c>
      <c r="B769" s="27">
        <v>1</v>
      </c>
      <c r="C769" t="s">
        <v>105</v>
      </c>
      <c r="E769" t="s">
        <v>1192</v>
      </c>
      <c r="F769" t="s">
        <v>830</v>
      </c>
      <c r="G769" t="s">
        <v>1330</v>
      </c>
      <c r="H769" t="s">
        <v>112</v>
      </c>
      <c r="I769" t="s">
        <v>1147</v>
      </c>
      <c r="J769" t="s">
        <v>1103</v>
      </c>
      <c r="K769" t="s">
        <v>1149</v>
      </c>
      <c r="L769" t="str">
        <f t="shared" si="106"/>
        <v>02_Slots/Gottheit/Goetter-mit-Epitheta/0190_Month/epitheta/01_nb-wAs.t/0050_nb-WAs.t_NR_04.png &lt;sup&gt;(NR)&lt;/sup&gt;</v>
      </c>
    </row>
    <row r="770" spans="1:12" x14ac:dyDescent="0.2">
      <c r="A770" t="s">
        <v>827</v>
      </c>
      <c r="B770" s="27">
        <v>1</v>
      </c>
      <c r="C770" t="s">
        <v>105</v>
      </c>
      <c r="E770" t="s">
        <v>1192</v>
      </c>
      <c r="F770" t="s">
        <v>830</v>
      </c>
      <c r="G770" t="s">
        <v>1329</v>
      </c>
      <c r="H770" t="s">
        <v>112</v>
      </c>
      <c r="I770" t="s">
        <v>1147</v>
      </c>
      <c r="J770" t="s">
        <v>1156</v>
      </c>
      <c r="K770" t="s">
        <v>1149</v>
      </c>
      <c r="L770" t="str">
        <f t="shared" si="106"/>
        <v>02_Slots/Gottheit/Goetter-mit-Epitheta/0190_Month/epitheta/01_nb-wAs.t/0060_nb-WAs.t_Sp_01.png &lt;sup&gt;(Sp.)&lt;/sup&gt;</v>
      </c>
    </row>
    <row r="771" spans="1:12" x14ac:dyDescent="0.2">
      <c r="A771" t="s">
        <v>827</v>
      </c>
      <c r="B771" s="27">
        <v>1</v>
      </c>
      <c r="C771" t="s">
        <v>105</v>
      </c>
      <c r="E771" t="s">
        <v>1192</v>
      </c>
      <c r="F771" t="s">
        <v>830</v>
      </c>
      <c r="G771" t="s">
        <v>1331</v>
      </c>
      <c r="H771" t="s">
        <v>112</v>
      </c>
      <c r="I771" t="s">
        <v>1147</v>
      </c>
      <c r="J771" t="s">
        <v>1332</v>
      </c>
      <c r="K771" t="s">
        <v>1149</v>
      </c>
      <c r="L771" t="str">
        <f t="shared" si="106"/>
        <v>02_Slots/Gottheit/Goetter-mit-Epitheta/0190_Month/epitheta/01_nb-wAs.t/0070_nb-WAs.t_Gr_01.png &lt;sup&gt;  &lt;/sup&gt;</v>
      </c>
    </row>
    <row r="772" spans="1:12" x14ac:dyDescent="0.2">
      <c r="A772" t="s">
        <v>827</v>
      </c>
      <c r="B772" s="27">
        <v>1</v>
      </c>
      <c r="C772" t="s">
        <v>27</v>
      </c>
      <c r="L772" t="s">
        <v>829</v>
      </c>
    </row>
    <row r="776" spans="1:12" x14ac:dyDescent="0.2">
      <c r="A776" t="s">
        <v>60</v>
      </c>
      <c r="B776" s="27">
        <v>200</v>
      </c>
      <c r="C776" t="s">
        <v>39</v>
      </c>
      <c r="L776" t="s">
        <v>663</v>
      </c>
    </row>
    <row r="777" spans="1:12" x14ac:dyDescent="0.2">
      <c r="A777" t="s">
        <v>60</v>
      </c>
      <c r="B777" s="27">
        <v>200</v>
      </c>
      <c r="C777" t="s">
        <v>105</v>
      </c>
      <c r="E777" t="s">
        <v>1193</v>
      </c>
      <c r="G777" t="s">
        <v>836</v>
      </c>
      <c r="L777" t="str">
        <f>_xlfn.TEXTJOIN("", TRUE, D777:K777)</f>
        <v>02_Slots/Gottheit/Goetter-mit-Epitheta/0200_Neith/0001_nj.t_01.png</v>
      </c>
    </row>
    <row r="778" spans="1:12" x14ac:dyDescent="0.2">
      <c r="A778" t="s">
        <v>60</v>
      </c>
      <c r="B778" s="27">
        <v>200</v>
      </c>
      <c r="C778" t="s">
        <v>105</v>
      </c>
      <c r="E778" t="s">
        <v>1193</v>
      </c>
      <c r="G778" t="s">
        <v>837</v>
      </c>
      <c r="L778" t="str">
        <f>_xlfn.TEXTJOIN("", TRUE, D778:K778)</f>
        <v>02_Slots/Gottheit/Goetter-mit-Epitheta/0200_Neith/0010_nj.t_02.png</v>
      </c>
    </row>
    <row r="779" spans="1:12" x14ac:dyDescent="0.2">
      <c r="A779" t="s">
        <v>60</v>
      </c>
      <c r="B779" s="27">
        <v>200</v>
      </c>
      <c r="C779" t="s">
        <v>105</v>
      </c>
      <c r="E779" t="s">
        <v>1193</v>
      </c>
      <c r="G779" t="s">
        <v>838</v>
      </c>
      <c r="L779" t="str">
        <f>_xlfn.TEXTJOIN("", TRUE, D779:K779)</f>
        <v>02_Slots/Gottheit/Goetter-mit-Epitheta/0200_Neith/0020_nj.t_03.png</v>
      </c>
    </row>
    <row r="780" spans="1:12" x14ac:dyDescent="0.2">
      <c r="A780" t="s">
        <v>60</v>
      </c>
      <c r="B780" s="27">
        <v>200</v>
      </c>
      <c r="C780" t="s">
        <v>105</v>
      </c>
      <c r="E780" t="s">
        <v>1193</v>
      </c>
      <c r="G780" t="s">
        <v>839</v>
      </c>
      <c r="L780" t="str">
        <f>_xlfn.TEXTJOIN("", TRUE, D780:K780)</f>
        <v>02_Slots/Gottheit/Goetter-mit-Epitheta/0200_Neith/0030_nj.t_04.png</v>
      </c>
    </row>
    <row r="781" spans="1:12" x14ac:dyDescent="0.2">
      <c r="A781" t="s">
        <v>60</v>
      </c>
      <c r="B781" s="27">
        <v>200</v>
      </c>
      <c r="C781" t="s">
        <v>105</v>
      </c>
      <c r="E781" t="s">
        <v>1193</v>
      </c>
      <c r="G781" t="s">
        <v>840</v>
      </c>
      <c r="I781" t="s">
        <v>1147</v>
      </c>
      <c r="J781" t="s">
        <v>1103</v>
      </c>
      <c r="K781" t="s">
        <v>1149</v>
      </c>
      <c r="L781" t="str">
        <f>_xlfn.TEXTJOIN("", TRUE, D781:K781)</f>
        <v>02_Slots/Gottheit/Goetter-mit-Epitheta/0200_Neith/0040_nj.t_NR_01.png &lt;sup&gt;(NR)&lt;/sup&gt;</v>
      </c>
    </row>
    <row r="782" spans="1:12" x14ac:dyDescent="0.2">
      <c r="A782" t="s">
        <v>60</v>
      </c>
      <c r="B782" s="27">
        <v>200</v>
      </c>
      <c r="C782" t="s">
        <v>106</v>
      </c>
      <c r="L782" t="str">
        <f t="shared" ref="L782" si="107">_xlfn.TEXTJOIN("", TRUE, D782:J782)</f>
        <v/>
      </c>
    </row>
    <row r="783" spans="1:12" x14ac:dyDescent="0.2">
      <c r="A783" t="s">
        <v>60</v>
      </c>
      <c r="B783" s="27">
        <v>200</v>
      </c>
      <c r="C783" t="s">
        <v>107</v>
      </c>
      <c r="L783" t="s">
        <v>143</v>
      </c>
    </row>
    <row r="784" spans="1:12" x14ac:dyDescent="0.2">
      <c r="A784" t="s">
        <v>60</v>
      </c>
      <c r="B784" s="27">
        <v>200</v>
      </c>
      <c r="C784" t="s">
        <v>108</v>
      </c>
    </row>
    <row r="787" spans="1:12" x14ac:dyDescent="0.2">
      <c r="A787" t="s">
        <v>60</v>
      </c>
      <c r="B787" s="27">
        <v>210</v>
      </c>
      <c r="C787" t="s">
        <v>39</v>
      </c>
      <c r="L787" t="s">
        <v>664</v>
      </c>
    </row>
    <row r="788" spans="1:12" x14ac:dyDescent="0.2">
      <c r="A788" t="s">
        <v>60</v>
      </c>
      <c r="B788" s="27">
        <v>210</v>
      </c>
      <c r="C788" t="s">
        <v>105</v>
      </c>
      <c r="E788" t="s">
        <v>1194</v>
      </c>
      <c r="G788" t="s">
        <v>841</v>
      </c>
      <c r="L788" t="str">
        <f t="shared" ref="L788:L793" si="108">_xlfn.TEXTJOIN("", TRUE, D788:K788)</f>
        <v>02_Slots/Gottheit/Goetter-mit-Epitheta/0210_Nut/0001_nw.t_01.png</v>
      </c>
    </row>
    <row r="789" spans="1:12" x14ac:dyDescent="0.2">
      <c r="A789" t="s">
        <v>60</v>
      </c>
      <c r="B789" s="27">
        <v>210</v>
      </c>
      <c r="C789" t="s">
        <v>105</v>
      </c>
      <c r="E789" t="s">
        <v>1194</v>
      </c>
      <c r="G789" t="s">
        <v>842</v>
      </c>
      <c r="I789" t="s">
        <v>1147</v>
      </c>
      <c r="J789" t="s">
        <v>1148</v>
      </c>
      <c r="K789" t="s">
        <v>1149</v>
      </c>
      <c r="L789" t="str">
        <f t="shared" si="108"/>
        <v>02_Slots/Gottheit/Goetter-mit-Epitheta/0210_Nut/0010_nw.t_AR_01.png &lt;sup&gt;(AR)&lt;/sup&gt;</v>
      </c>
    </row>
    <row r="790" spans="1:12" x14ac:dyDescent="0.2">
      <c r="A790" t="s">
        <v>60</v>
      </c>
      <c r="B790" s="27">
        <v>210</v>
      </c>
      <c r="C790" t="s">
        <v>105</v>
      </c>
      <c r="E790" t="s">
        <v>1194</v>
      </c>
      <c r="G790" t="s">
        <v>843</v>
      </c>
      <c r="I790" t="s">
        <v>1147</v>
      </c>
      <c r="J790" t="s">
        <v>1148</v>
      </c>
      <c r="K790" t="s">
        <v>1149</v>
      </c>
      <c r="L790" t="str">
        <f t="shared" si="108"/>
        <v>02_Slots/Gottheit/Goetter-mit-Epitheta/0210_Nut/0020_nw.t_AR_02.png &lt;sup&gt;(AR)&lt;/sup&gt;</v>
      </c>
    </row>
    <row r="791" spans="1:12" x14ac:dyDescent="0.2">
      <c r="A791" t="s">
        <v>60</v>
      </c>
      <c r="B791" s="27">
        <v>210</v>
      </c>
      <c r="C791" t="s">
        <v>105</v>
      </c>
      <c r="E791" t="s">
        <v>1194</v>
      </c>
      <c r="G791" t="s">
        <v>844</v>
      </c>
      <c r="I791" t="s">
        <v>1147</v>
      </c>
      <c r="J791" t="s">
        <v>1148</v>
      </c>
      <c r="K791" t="s">
        <v>1149</v>
      </c>
      <c r="L791" t="str">
        <f t="shared" si="108"/>
        <v>02_Slots/Gottheit/Goetter-mit-Epitheta/0210_Nut/0030_nw.t_AR_03.png &lt;sup&gt;(AR)&lt;/sup&gt;</v>
      </c>
    </row>
    <row r="792" spans="1:12" x14ac:dyDescent="0.2">
      <c r="A792" t="s">
        <v>60</v>
      </c>
      <c r="B792" s="27">
        <v>210</v>
      </c>
      <c r="C792" t="s">
        <v>105</v>
      </c>
      <c r="E792" t="s">
        <v>1194</v>
      </c>
      <c r="G792" t="s">
        <v>845</v>
      </c>
      <c r="I792" t="s">
        <v>1147</v>
      </c>
      <c r="J792" t="s">
        <v>1103</v>
      </c>
      <c r="K792" t="s">
        <v>1149</v>
      </c>
      <c r="L792" t="str">
        <f t="shared" si="108"/>
        <v>02_Slots/Gottheit/Goetter-mit-Epitheta/0210_Nut/0040_nw.t_NR_01.png &lt;sup&gt;(NR)&lt;/sup&gt;</v>
      </c>
    </row>
    <row r="793" spans="1:12" x14ac:dyDescent="0.2">
      <c r="A793" t="s">
        <v>60</v>
      </c>
      <c r="B793" s="27">
        <v>210</v>
      </c>
      <c r="C793" t="s">
        <v>105</v>
      </c>
      <c r="E793" t="s">
        <v>1194</v>
      </c>
      <c r="G793" t="s">
        <v>846</v>
      </c>
      <c r="I793" t="s">
        <v>1147</v>
      </c>
      <c r="J793" t="s">
        <v>1150</v>
      </c>
      <c r="K793" t="s">
        <v>1149</v>
      </c>
      <c r="L793" t="str">
        <f t="shared" si="108"/>
        <v>02_Slots/Gottheit/Goetter-mit-Epitheta/0210_Nut/0050_nw.t_GR_01.png &lt;sup&gt;(Gr.)&lt;/sup&gt;</v>
      </c>
    </row>
    <row r="794" spans="1:12" x14ac:dyDescent="0.2">
      <c r="A794" t="s">
        <v>60</v>
      </c>
      <c r="B794" s="27">
        <v>210</v>
      </c>
      <c r="C794" t="s">
        <v>106</v>
      </c>
      <c r="L794" t="str">
        <f t="shared" ref="L794" si="109">_xlfn.TEXTJOIN("", TRUE, D794:J794)</f>
        <v/>
      </c>
    </row>
    <row r="795" spans="1:12" x14ac:dyDescent="0.2">
      <c r="A795" t="s">
        <v>60</v>
      </c>
      <c r="B795" s="27">
        <v>210</v>
      </c>
      <c r="C795" t="s">
        <v>107</v>
      </c>
      <c r="L795" t="s">
        <v>144</v>
      </c>
    </row>
    <row r="796" spans="1:12" x14ac:dyDescent="0.2">
      <c r="A796" t="s">
        <v>60</v>
      </c>
      <c r="B796" s="27">
        <v>210</v>
      </c>
      <c r="C796" t="s">
        <v>108</v>
      </c>
    </row>
    <row r="799" spans="1:12" x14ac:dyDescent="0.2">
      <c r="A799" t="s">
        <v>60</v>
      </c>
      <c r="B799" s="27">
        <v>220</v>
      </c>
      <c r="C799" t="s">
        <v>39</v>
      </c>
      <c r="L799" t="s">
        <v>665</v>
      </c>
    </row>
    <row r="800" spans="1:12" x14ac:dyDescent="0.2">
      <c r="A800" t="s">
        <v>60</v>
      </c>
      <c r="B800" s="27">
        <v>220</v>
      </c>
      <c r="C800" t="s">
        <v>105</v>
      </c>
      <c r="E800" t="s">
        <v>1195</v>
      </c>
      <c r="G800" t="s">
        <v>847</v>
      </c>
      <c r="L800" t="str">
        <f t="shared" ref="L800:L806" si="110">_xlfn.TEXTJOIN("", TRUE, D800:K800)</f>
        <v>02_Slots/Gottheit/Goetter-mit-Epitheta/0220_Nephthys/0001_nb.t-Hw.t_01.png</v>
      </c>
    </row>
    <row r="801" spans="1:12" x14ac:dyDescent="0.2">
      <c r="A801" t="s">
        <v>60</v>
      </c>
      <c r="B801" s="27">
        <v>220</v>
      </c>
      <c r="C801" t="s">
        <v>105</v>
      </c>
      <c r="E801" t="s">
        <v>1195</v>
      </c>
      <c r="G801" t="s">
        <v>848</v>
      </c>
      <c r="I801" t="s">
        <v>1147</v>
      </c>
      <c r="J801" t="s">
        <v>1148</v>
      </c>
      <c r="K801" t="s">
        <v>1149</v>
      </c>
      <c r="L801" t="str">
        <f t="shared" si="110"/>
        <v>02_Slots/Gottheit/Goetter-mit-Epitheta/0220_Nephthys/0010_nb.t-Hw.t_AR_01.png &lt;sup&gt;(AR)&lt;/sup&gt;</v>
      </c>
    </row>
    <row r="802" spans="1:12" x14ac:dyDescent="0.2">
      <c r="A802" t="s">
        <v>60</v>
      </c>
      <c r="B802" s="27">
        <v>220</v>
      </c>
      <c r="C802" t="s">
        <v>105</v>
      </c>
      <c r="E802" t="s">
        <v>1195</v>
      </c>
      <c r="G802" t="s">
        <v>849</v>
      </c>
      <c r="I802" t="s">
        <v>1147</v>
      </c>
      <c r="J802" t="s">
        <v>1103</v>
      </c>
      <c r="K802" t="s">
        <v>1149</v>
      </c>
      <c r="L802" t="str">
        <f t="shared" si="110"/>
        <v>02_Slots/Gottheit/Goetter-mit-Epitheta/0220_Nephthys/0020_nb.t-Hw.t_NR_01.png &lt;sup&gt;(NR)&lt;/sup&gt;</v>
      </c>
    </row>
    <row r="803" spans="1:12" x14ac:dyDescent="0.2">
      <c r="A803" t="s">
        <v>60</v>
      </c>
      <c r="B803" s="27">
        <v>220</v>
      </c>
      <c r="C803" t="s">
        <v>105</v>
      </c>
      <c r="E803" t="s">
        <v>1195</v>
      </c>
      <c r="G803" t="s">
        <v>850</v>
      </c>
      <c r="I803" t="s">
        <v>1147</v>
      </c>
      <c r="J803" t="s">
        <v>1103</v>
      </c>
      <c r="K803" t="s">
        <v>1149</v>
      </c>
      <c r="L803" t="str">
        <f t="shared" si="110"/>
        <v>02_Slots/Gottheit/Goetter-mit-Epitheta/0220_Nephthys/0030_nb.t-Hw.t_NR_02.png &lt;sup&gt;(NR)&lt;/sup&gt;</v>
      </c>
    </row>
    <row r="804" spans="1:12" x14ac:dyDescent="0.2">
      <c r="A804" t="s">
        <v>60</v>
      </c>
      <c r="B804" s="27">
        <v>220</v>
      </c>
      <c r="C804" t="s">
        <v>105</v>
      </c>
      <c r="E804" t="s">
        <v>1195</v>
      </c>
      <c r="G804" t="s">
        <v>851</v>
      </c>
      <c r="I804" t="s">
        <v>1147</v>
      </c>
      <c r="J804" t="s">
        <v>1156</v>
      </c>
      <c r="K804" t="s">
        <v>1149</v>
      </c>
      <c r="L804" t="str">
        <f t="shared" si="110"/>
        <v>02_Slots/Gottheit/Goetter-mit-Epitheta/0220_Nephthys/0040_nb.t-Hw.t_SP_01.png &lt;sup&gt;(Sp.)&lt;/sup&gt;</v>
      </c>
    </row>
    <row r="805" spans="1:12" x14ac:dyDescent="0.2">
      <c r="A805" t="s">
        <v>60</v>
      </c>
      <c r="B805" s="27">
        <v>220</v>
      </c>
      <c r="C805" t="s">
        <v>105</v>
      </c>
      <c r="E805" t="s">
        <v>1195</v>
      </c>
      <c r="G805" t="s">
        <v>852</v>
      </c>
      <c r="I805" t="s">
        <v>1147</v>
      </c>
      <c r="J805" t="s">
        <v>1150</v>
      </c>
      <c r="K805" t="s">
        <v>1149</v>
      </c>
      <c r="L805" t="str">
        <f t="shared" si="110"/>
        <v>02_Slots/Gottheit/Goetter-mit-Epitheta/0220_Nephthys/0050_nb.t-Hw.t_GR_01.png &lt;sup&gt;(Gr.)&lt;/sup&gt;</v>
      </c>
    </row>
    <row r="806" spans="1:12" x14ac:dyDescent="0.2">
      <c r="A806" t="s">
        <v>60</v>
      </c>
      <c r="B806" s="27">
        <v>220</v>
      </c>
      <c r="C806" t="s">
        <v>105</v>
      </c>
      <c r="E806" t="s">
        <v>1195</v>
      </c>
      <c r="G806" t="s">
        <v>853</v>
      </c>
      <c r="I806" t="s">
        <v>1147</v>
      </c>
      <c r="J806" t="s">
        <v>1150</v>
      </c>
      <c r="K806" t="s">
        <v>1149</v>
      </c>
      <c r="L806" t="str">
        <f t="shared" si="110"/>
        <v>02_Slots/Gottheit/Goetter-mit-Epitheta/0220_Nephthys/0060_nb.t-Hw.t_GR_02.png &lt;sup&gt;(Gr.)&lt;/sup&gt;</v>
      </c>
    </row>
    <row r="807" spans="1:12" x14ac:dyDescent="0.2">
      <c r="A807" t="s">
        <v>60</v>
      </c>
      <c r="B807" s="27">
        <v>220</v>
      </c>
      <c r="C807" t="s">
        <v>106</v>
      </c>
      <c r="L807" t="str">
        <f t="shared" ref="L807" si="111">_xlfn.TEXTJOIN("", TRUE, D807:J807)</f>
        <v/>
      </c>
    </row>
    <row r="808" spans="1:12" x14ac:dyDescent="0.2">
      <c r="A808" t="s">
        <v>60</v>
      </c>
      <c r="B808" s="27">
        <v>220</v>
      </c>
      <c r="C808" t="s">
        <v>107</v>
      </c>
      <c r="L808" t="s">
        <v>145</v>
      </c>
    </row>
    <row r="809" spans="1:12" x14ac:dyDescent="0.2">
      <c r="A809" t="s">
        <v>60</v>
      </c>
      <c r="B809" s="27">
        <v>220</v>
      </c>
      <c r="C809" t="s">
        <v>108</v>
      </c>
    </row>
    <row r="812" spans="1:12" x14ac:dyDescent="0.2">
      <c r="A812" t="s">
        <v>60</v>
      </c>
      <c r="B812" s="27">
        <v>230</v>
      </c>
      <c r="C812" t="s">
        <v>39</v>
      </c>
      <c r="L812" t="s">
        <v>666</v>
      </c>
    </row>
    <row r="813" spans="1:12" x14ac:dyDescent="0.2">
      <c r="A813" t="s">
        <v>60</v>
      </c>
      <c r="B813" s="27">
        <v>230</v>
      </c>
      <c r="C813" t="s">
        <v>105</v>
      </c>
      <c r="E813" t="s">
        <v>1196</v>
      </c>
      <c r="G813" t="s">
        <v>854</v>
      </c>
      <c r="L813" t="str">
        <f t="shared" ref="L813:L814" si="112">_xlfn.TEXTJOIN("", TRUE, D813:J813)</f>
        <v>02_Slots/Gottheit/Goetter-mit-Epitheta/0230_Nefertem/0001_nfr-tm_01.png</v>
      </c>
    </row>
    <row r="814" spans="1:12" x14ac:dyDescent="0.2">
      <c r="A814" t="s">
        <v>60</v>
      </c>
      <c r="B814" s="27">
        <v>230</v>
      </c>
      <c r="C814" t="s">
        <v>105</v>
      </c>
      <c r="E814" t="s">
        <v>1196</v>
      </c>
      <c r="G814" t="s">
        <v>855</v>
      </c>
      <c r="L814" t="str">
        <f t="shared" si="112"/>
        <v>02_Slots/Gottheit/Goetter-mit-Epitheta/0230_Nefertem/0010_nfr-tm_02.png</v>
      </c>
    </row>
    <row r="815" spans="1:12" x14ac:dyDescent="0.2">
      <c r="A815" t="s">
        <v>60</v>
      </c>
      <c r="B815" s="27">
        <v>230</v>
      </c>
      <c r="C815" t="s">
        <v>105</v>
      </c>
      <c r="E815" t="s">
        <v>1196</v>
      </c>
      <c r="G815" t="s">
        <v>856</v>
      </c>
      <c r="I815" t="s">
        <v>1147</v>
      </c>
      <c r="J815" t="s">
        <v>1103</v>
      </c>
      <c r="K815" t="s">
        <v>1149</v>
      </c>
      <c r="L815" t="str">
        <f t="shared" ref="L815:L819" si="113">_xlfn.TEXTJOIN("", TRUE, D815:K815)</f>
        <v>02_Slots/Gottheit/Goetter-mit-Epitheta/0230_Nefertem/0020_nfr-tm_NR_01.png &lt;sup&gt;(NR)&lt;/sup&gt;</v>
      </c>
    </row>
    <row r="816" spans="1:12" x14ac:dyDescent="0.2">
      <c r="A816" t="s">
        <v>60</v>
      </c>
      <c r="B816" s="27">
        <v>230</v>
      </c>
      <c r="C816" t="s">
        <v>105</v>
      </c>
      <c r="E816" t="s">
        <v>1196</v>
      </c>
      <c r="G816" t="s">
        <v>857</v>
      </c>
      <c r="I816" t="s">
        <v>1147</v>
      </c>
      <c r="J816" t="s">
        <v>1150</v>
      </c>
      <c r="K816" t="s">
        <v>1149</v>
      </c>
      <c r="L816" t="str">
        <f t="shared" si="113"/>
        <v>02_Slots/Gottheit/Goetter-mit-Epitheta/0230_Nefertem/0030_nfr-tm_GR_01.png &lt;sup&gt;(Gr.)&lt;/sup&gt;</v>
      </c>
    </row>
    <row r="817" spans="1:12" x14ac:dyDescent="0.2">
      <c r="A817" t="s">
        <v>60</v>
      </c>
      <c r="B817" s="27">
        <v>230</v>
      </c>
      <c r="C817" t="s">
        <v>105</v>
      </c>
      <c r="E817" t="s">
        <v>1196</v>
      </c>
      <c r="G817" t="s">
        <v>858</v>
      </c>
      <c r="I817" t="s">
        <v>1147</v>
      </c>
      <c r="J817" t="s">
        <v>1150</v>
      </c>
      <c r="K817" t="s">
        <v>1149</v>
      </c>
      <c r="L817" t="str">
        <f t="shared" si="113"/>
        <v>02_Slots/Gottheit/Goetter-mit-Epitheta/0230_Nefertem/0040_nfr-tm_GR_02.png &lt;sup&gt;(Gr.)&lt;/sup&gt;</v>
      </c>
    </row>
    <row r="818" spans="1:12" x14ac:dyDescent="0.2">
      <c r="A818" t="s">
        <v>60</v>
      </c>
      <c r="B818" s="27">
        <v>230</v>
      </c>
      <c r="C818" t="s">
        <v>106</v>
      </c>
      <c r="E818" t="s">
        <v>1196</v>
      </c>
      <c r="F818" t="s">
        <v>110</v>
      </c>
      <c r="G818" t="s">
        <v>859</v>
      </c>
      <c r="I818" t="s">
        <v>1147</v>
      </c>
      <c r="J818" t="s">
        <v>1103</v>
      </c>
      <c r="K818" t="s">
        <v>1149</v>
      </c>
      <c r="L818" t="str">
        <f t="shared" si="113"/>
        <v>02_Slots/Gottheit/Goetter-mit-Epitheta/0230_Nefertem/det/0001_nfr-tm_det_NR_01.png &lt;sup&gt;(NR)&lt;/sup&gt;</v>
      </c>
    </row>
    <row r="819" spans="1:12" x14ac:dyDescent="0.2">
      <c r="A819" t="s">
        <v>60</v>
      </c>
      <c r="B819" s="27">
        <v>230</v>
      </c>
      <c r="C819" t="s">
        <v>106</v>
      </c>
      <c r="E819" t="s">
        <v>1196</v>
      </c>
      <c r="F819" t="s">
        <v>110</v>
      </c>
      <c r="G819" t="s">
        <v>860</v>
      </c>
      <c r="I819" t="s">
        <v>1147</v>
      </c>
      <c r="J819" t="s">
        <v>1103</v>
      </c>
      <c r="K819" t="s">
        <v>1149</v>
      </c>
      <c r="L819" t="str">
        <f t="shared" si="113"/>
        <v>02_Slots/Gottheit/Goetter-mit-Epitheta/0230_Nefertem/det/0010_nfr-tm_det_NR_02.png &lt;sup&gt;(NR)&lt;/sup&gt;</v>
      </c>
    </row>
    <row r="820" spans="1:12" x14ac:dyDescent="0.2">
      <c r="A820" t="s">
        <v>60</v>
      </c>
      <c r="B820" s="27">
        <v>230</v>
      </c>
      <c r="C820" t="s">
        <v>107</v>
      </c>
      <c r="L820" t="s">
        <v>146</v>
      </c>
    </row>
    <row r="821" spans="1:12" x14ac:dyDescent="0.2">
      <c r="A821" t="s">
        <v>60</v>
      </c>
      <c r="B821" s="27">
        <v>230</v>
      </c>
      <c r="C821" t="s">
        <v>108</v>
      </c>
    </row>
    <row r="824" spans="1:12" x14ac:dyDescent="0.2">
      <c r="A824" t="s">
        <v>60</v>
      </c>
      <c r="B824" s="27">
        <v>240</v>
      </c>
      <c r="C824" t="s">
        <v>39</v>
      </c>
      <c r="L824" t="s">
        <v>667</v>
      </c>
    </row>
    <row r="825" spans="1:12" x14ac:dyDescent="0.2">
      <c r="A825" t="s">
        <v>60</v>
      </c>
      <c r="B825" s="27">
        <v>240</v>
      </c>
      <c r="C825" t="s">
        <v>105</v>
      </c>
      <c r="E825" t="s">
        <v>1197</v>
      </c>
      <c r="G825" t="s">
        <v>861</v>
      </c>
      <c r="L825" t="str">
        <f>_xlfn.TEXTJOIN("", TRUE, D825:J825)</f>
        <v>02_Slots/Gottheit/Goetter-mit-Epitheta/0240_Nechbet/0001_nxb.t_01.png</v>
      </c>
    </row>
    <row r="826" spans="1:12" x14ac:dyDescent="0.2">
      <c r="A826" t="s">
        <v>60</v>
      </c>
      <c r="B826" s="27">
        <v>240</v>
      </c>
      <c r="C826" t="s">
        <v>105</v>
      </c>
      <c r="E826" t="s">
        <v>1197</v>
      </c>
      <c r="G826" t="s">
        <v>862</v>
      </c>
      <c r="L826" t="str">
        <f>_xlfn.TEXTJOIN("", TRUE, D826:J826)</f>
        <v>02_Slots/Gottheit/Goetter-mit-Epitheta/0240_Nechbet/0010_nxb.t_02.png</v>
      </c>
    </row>
    <row r="827" spans="1:12" x14ac:dyDescent="0.2">
      <c r="A827" t="s">
        <v>60</v>
      </c>
      <c r="B827" s="27">
        <v>240</v>
      </c>
      <c r="C827" t="s">
        <v>105</v>
      </c>
      <c r="E827" t="s">
        <v>1197</v>
      </c>
      <c r="G827" t="s">
        <v>863</v>
      </c>
      <c r="I827" t="s">
        <v>1147</v>
      </c>
      <c r="J827" t="s">
        <v>1103</v>
      </c>
      <c r="K827" t="s">
        <v>1149</v>
      </c>
      <c r="L827" t="str">
        <f t="shared" ref="L827:L829" si="114">_xlfn.TEXTJOIN("", TRUE, D827:K827)</f>
        <v>02_Slots/Gottheit/Goetter-mit-Epitheta/0240_Nechbet/0020_nxb.t_NR_01.png &lt;sup&gt;(NR)&lt;/sup&gt;</v>
      </c>
    </row>
    <row r="828" spans="1:12" x14ac:dyDescent="0.2">
      <c r="A828" t="s">
        <v>60</v>
      </c>
      <c r="B828" s="27">
        <v>240</v>
      </c>
      <c r="C828" t="s">
        <v>105</v>
      </c>
      <c r="E828" t="s">
        <v>1197</v>
      </c>
      <c r="G828" t="s">
        <v>864</v>
      </c>
      <c r="I828" t="s">
        <v>1147</v>
      </c>
      <c r="J828" t="s">
        <v>1150</v>
      </c>
      <c r="K828" t="s">
        <v>1149</v>
      </c>
      <c r="L828" t="str">
        <f t="shared" si="114"/>
        <v>02_Slots/Gottheit/Goetter-mit-Epitheta/0240_Nechbet/0030_nxb.t_GR_01.png &lt;sup&gt;(Gr.)&lt;/sup&gt;</v>
      </c>
    </row>
    <row r="829" spans="1:12" x14ac:dyDescent="0.2">
      <c r="A829" t="s">
        <v>60</v>
      </c>
      <c r="B829" s="27">
        <v>240</v>
      </c>
      <c r="C829" t="s">
        <v>106</v>
      </c>
      <c r="E829" t="s">
        <v>1197</v>
      </c>
      <c r="F829" t="s">
        <v>110</v>
      </c>
      <c r="G829" t="s">
        <v>865</v>
      </c>
      <c r="H829" t="s">
        <v>112</v>
      </c>
      <c r="I829" t="s">
        <v>1147</v>
      </c>
      <c r="J829" t="s">
        <v>1148</v>
      </c>
      <c r="K829" t="s">
        <v>1149</v>
      </c>
      <c r="L829" t="str">
        <f t="shared" si="114"/>
        <v>02_Slots/Gottheit/Goetter-mit-Epitheta/0240_Nechbet/det/0001_nxb.t_det_AR_01.png &lt;sup&gt;(AR)&lt;/sup&gt;</v>
      </c>
    </row>
    <row r="830" spans="1:12" x14ac:dyDescent="0.2">
      <c r="A830" t="s">
        <v>60</v>
      </c>
      <c r="B830" s="27">
        <v>240</v>
      </c>
      <c r="C830" t="s">
        <v>107</v>
      </c>
      <c r="L830" t="s">
        <v>147</v>
      </c>
    </row>
    <row r="831" spans="1:12" x14ac:dyDescent="0.2">
      <c r="A831" t="s">
        <v>60</v>
      </c>
      <c r="B831" s="27">
        <v>240</v>
      </c>
      <c r="C831" t="s">
        <v>108</v>
      </c>
    </row>
    <row r="834" spans="1:12" x14ac:dyDescent="0.2">
      <c r="A834" t="s">
        <v>60</v>
      </c>
      <c r="B834" s="27">
        <v>250</v>
      </c>
      <c r="C834" t="s">
        <v>39</v>
      </c>
      <c r="L834" t="s">
        <v>668</v>
      </c>
    </row>
    <row r="835" spans="1:12" x14ac:dyDescent="0.2">
      <c r="A835" t="s">
        <v>60</v>
      </c>
      <c r="B835" s="27">
        <v>250</v>
      </c>
      <c r="C835" t="s">
        <v>105</v>
      </c>
      <c r="E835" t="s">
        <v>1198</v>
      </c>
      <c r="G835" t="s">
        <v>866</v>
      </c>
      <c r="L835" t="str">
        <f t="shared" ref="L835" si="115">_xlfn.TEXTJOIN("", TRUE, D835:J835)</f>
        <v>02_Slots/Gottheit/Goetter-mit-Epitheta/0250_Re/0001_ra_01.png</v>
      </c>
    </row>
    <row r="836" spans="1:12" x14ac:dyDescent="0.2">
      <c r="A836" t="s">
        <v>60</v>
      </c>
      <c r="B836" s="27">
        <v>250</v>
      </c>
      <c r="C836" t="s">
        <v>105</v>
      </c>
      <c r="E836" t="s">
        <v>1198</v>
      </c>
      <c r="G836" t="s">
        <v>867</v>
      </c>
      <c r="I836" t="s">
        <v>1147</v>
      </c>
      <c r="J836" t="s">
        <v>1156</v>
      </c>
      <c r="K836" t="s">
        <v>1149</v>
      </c>
      <c r="L836" t="str">
        <f t="shared" ref="L836:L842" si="116">_xlfn.TEXTJOIN("", TRUE, D836:K836)</f>
        <v>02_Slots/Gottheit/Goetter-mit-Epitheta/0250_Re/0010_ra_SP_01.png &lt;sup&gt;(Sp.)&lt;/sup&gt;</v>
      </c>
    </row>
    <row r="837" spans="1:12" x14ac:dyDescent="0.2">
      <c r="A837" t="s">
        <v>60</v>
      </c>
      <c r="B837" s="27">
        <v>250</v>
      </c>
      <c r="C837" t="s">
        <v>105</v>
      </c>
      <c r="E837" t="s">
        <v>1198</v>
      </c>
      <c r="G837" t="s">
        <v>868</v>
      </c>
      <c r="I837" t="s">
        <v>1147</v>
      </c>
      <c r="J837" t="s">
        <v>1150</v>
      </c>
      <c r="K837" t="s">
        <v>1149</v>
      </c>
      <c r="L837" t="str">
        <f t="shared" si="116"/>
        <v>02_Slots/Gottheit/Goetter-mit-Epitheta/0250_Re/0020_ra_GR_01.png &lt;sup&gt;(Gr.)&lt;/sup&gt;</v>
      </c>
    </row>
    <row r="838" spans="1:12" x14ac:dyDescent="0.2">
      <c r="A838" t="s">
        <v>60</v>
      </c>
      <c r="B838" s="27">
        <v>250</v>
      </c>
      <c r="C838" t="s">
        <v>105</v>
      </c>
      <c r="E838" t="s">
        <v>1198</v>
      </c>
      <c r="G838" t="s">
        <v>869</v>
      </c>
      <c r="I838" t="s">
        <v>1147</v>
      </c>
      <c r="J838" t="s">
        <v>1150</v>
      </c>
      <c r="K838" t="s">
        <v>1149</v>
      </c>
      <c r="L838" t="str">
        <f t="shared" si="116"/>
        <v>02_Slots/Gottheit/Goetter-mit-Epitheta/0250_Re/0030_ra_GR_02.png &lt;sup&gt;(Gr.)&lt;/sup&gt;</v>
      </c>
    </row>
    <row r="839" spans="1:12" x14ac:dyDescent="0.2">
      <c r="A839" t="s">
        <v>60</v>
      </c>
      <c r="B839" s="27">
        <v>250</v>
      </c>
      <c r="C839" t="s">
        <v>106</v>
      </c>
      <c r="E839" t="s">
        <v>1198</v>
      </c>
      <c r="F839" t="s">
        <v>110</v>
      </c>
      <c r="G839" t="s">
        <v>870</v>
      </c>
      <c r="I839" t="s">
        <v>1147</v>
      </c>
      <c r="J839" t="s">
        <v>1148</v>
      </c>
      <c r="K839" t="s">
        <v>1149</v>
      </c>
      <c r="L839" t="str">
        <f t="shared" si="116"/>
        <v>02_Slots/Gottheit/Goetter-mit-Epitheta/0250_Re/det/0001_ra_det_AR_01.png &lt;sup&gt;(AR)&lt;/sup&gt;</v>
      </c>
    </row>
    <row r="840" spans="1:12" x14ac:dyDescent="0.2">
      <c r="A840" t="s">
        <v>60</v>
      </c>
      <c r="B840" s="27">
        <v>250</v>
      </c>
      <c r="C840" t="s">
        <v>106</v>
      </c>
      <c r="E840" t="s">
        <v>1198</v>
      </c>
      <c r="F840" t="s">
        <v>110</v>
      </c>
      <c r="G840" t="s">
        <v>871</v>
      </c>
      <c r="I840" t="s">
        <v>1147</v>
      </c>
      <c r="J840" t="s">
        <v>1151</v>
      </c>
      <c r="K840" t="s">
        <v>1149</v>
      </c>
      <c r="L840" t="str">
        <f t="shared" si="116"/>
        <v>02_Slots/Gottheit/Goetter-mit-Epitheta/0250_Re/det/0010_ra_det_MR_01.png &lt;sup&gt;(MR)&lt;/sup&gt;</v>
      </c>
    </row>
    <row r="841" spans="1:12" x14ac:dyDescent="0.2">
      <c r="A841" t="s">
        <v>60</v>
      </c>
      <c r="B841" s="27">
        <v>250</v>
      </c>
      <c r="C841" t="s">
        <v>106</v>
      </c>
      <c r="E841" t="s">
        <v>1198</v>
      </c>
      <c r="F841" t="s">
        <v>110</v>
      </c>
      <c r="G841" t="s">
        <v>872</v>
      </c>
      <c r="I841" t="s">
        <v>1147</v>
      </c>
      <c r="J841" t="s">
        <v>1103</v>
      </c>
      <c r="K841" t="s">
        <v>1149</v>
      </c>
      <c r="L841" t="str">
        <f t="shared" si="116"/>
        <v>02_Slots/Gottheit/Goetter-mit-Epitheta/0250_Re/det/0020_ra_det_NR_01.png &lt;sup&gt;(NR)&lt;/sup&gt;</v>
      </c>
    </row>
    <row r="842" spans="1:12" x14ac:dyDescent="0.2">
      <c r="A842" t="s">
        <v>60</v>
      </c>
      <c r="B842" s="27">
        <v>250</v>
      </c>
      <c r="C842" t="s">
        <v>106</v>
      </c>
      <c r="E842" t="s">
        <v>1198</v>
      </c>
      <c r="F842" t="s">
        <v>110</v>
      </c>
      <c r="G842" t="s">
        <v>873</v>
      </c>
      <c r="I842" t="s">
        <v>1147</v>
      </c>
      <c r="J842" t="s">
        <v>1103</v>
      </c>
      <c r="K842" t="s">
        <v>1149</v>
      </c>
      <c r="L842" t="str">
        <f t="shared" si="116"/>
        <v>02_Slots/Gottheit/Goetter-mit-Epitheta/0250_Re/det/0030_ra_det_NR_02.png &lt;sup&gt;(NR)&lt;/sup&gt;</v>
      </c>
    </row>
    <row r="843" spans="1:12" x14ac:dyDescent="0.2">
      <c r="A843" t="s">
        <v>60</v>
      </c>
      <c r="B843" s="27">
        <v>250</v>
      </c>
      <c r="C843" t="s">
        <v>107</v>
      </c>
      <c r="L843" t="s">
        <v>148</v>
      </c>
    </row>
    <row r="844" spans="1:12" x14ac:dyDescent="0.2">
      <c r="A844" t="s">
        <v>60</v>
      </c>
      <c r="B844" s="27">
        <v>250</v>
      </c>
      <c r="C844" t="s">
        <v>108</v>
      </c>
    </row>
    <row r="847" spans="1:12" x14ac:dyDescent="0.2">
      <c r="A847" t="s">
        <v>60</v>
      </c>
      <c r="B847" s="27">
        <v>260</v>
      </c>
      <c r="C847" t="s">
        <v>39</v>
      </c>
      <c r="L847" t="s">
        <v>669</v>
      </c>
    </row>
    <row r="848" spans="1:12" x14ac:dyDescent="0.2">
      <c r="A848" t="s">
        <v>60</v>
      </c>
      <c r="B848" s="27">
        <v>260</v>
      </c>
      <c r="C848" t="s">
        <v>105</v>
      </c>
      <c r="E848" t="s">
        <v>1199</v>
      </c>
      <c r="L848" t="str">
        <f>_xlfn.TEXTJOIN("", TRUE, D848:J848)</f>
        <v>02_Slots/Gottheit/Goetter-mit-Epitheta/0260_Re-Harachte/</v>
      </c>
    </row>
    <row r="849" spans="1:12" x14ac:dyDescent="0.2">
      <c r="A849" t="s">
        <v>60</v>
      </c>
      <c r="B849" s="27">
        <v>260</v>
      </c>
      <c r="C849" t="s">
        <v>106</v>
      </c>
      <c r="L849" t="str">
        <f>_xlfn.TEXTJOIN("", TRUE, D849:J849)</f>
        <v/>
      </c>
    </row>
    <row r="850" spans="1:12" x14ac:dyDescent="0.2">
      <c r="A850" t="s">
        <v>60</v>
      </c>
      <c r="B850" s="27">
        <v>260</v>
      </c>
      <c r="C850" t="s">
        <v>107</v>
      </c>
      <c r="L850" t="s">
        <v>149</v>
      </c>
    </row>
    <row r="851" spans="1:12" x14ac:dyDescent="0.2">
      <c r="A851" t="s">
        <v>60</v>
      </c>
      <c r="B851" s="27">
        <v>260</v>
      </c>
      <c r="C851" t="s">
        <v>108</v>
      </c>
    </row>
    <row r="854" spans="1:12" x14ac:dyDescent="0.2">
      <c r="A854" t="s">
        <v>60</v>
      </c>
      <c r="B854" s="27">
        <v>270</v>
      </c>
      <c r="C854" t="s">
        <v>39</v>
      </c>
      <c r="L854" t="s">
        <v>670</v>
      </c>
    </row>
    <row r="855" spans="1:12" x14ac:dyDescent="0.2">
      <c r="A855" t="s">
        <v>60</v>
      </c>
      <c r="B855" s="27">
        <v>270</v>
      </c>
      <c r="C855" t="s">
        <v>105</v>
      </c>
      <c r="E855" t="s">
        <v>1200</v>
      </c>
      <c r="G855" t="s">
        <v>874</v>
      </c>
      <c r="L855" t="str">
        <f t="shared" ref="L855:L861" si="117">_xlfn.TEXTJOIN("", TRUE, D855:J855)</f>
        <v>02_Slots/Gottheit/Goetter-mit-Epitheta/0270_Renenutet/0001_rnnwt.t_01.png</v>
      </c>
    </row>
    <row r="856" spans="1:12" x14ac:dyDescent="0.2">
      <c r="A856" t="s">
        <v>60</v>
      </c>
      <c r="B856" s="27">
        <v>270</v>
      </c>
      <c r="C856" t="s">
        <v>105</v>
      </c>
      <c r="E856" t="s">
        <v>1200</v>
      </c>
      <c r="G856" t="s">
        <v>875</v>
      </c>
      <c r="I856" t="s">
        <v>1147</v>
      </c>
      <c r="J856" t="s">
        <v>1148</v>
      </c>
      <c r="K856" t="s">
        <v>1149</v>
      </c>
      <c r="L856" t="str">
        <f t="shared" ref="L856:L860" si="118">_xlfn.TEXTJOIN("", TRUE, D856:K856)</f>
        <v>02_Slots/Gottheit/Goetter-mit-Epitheta/0270_Renenutet/0010_rnnwt.t_AR_01.png &lt;sup&gt;(AR)&lt;/sup&gt;</v>
      </c>
    </row>
    <row r="857" spans="1:12" x14ac:dyDescent="0.2">
      <c r="A857" t="s">
        <v>60</v>
      </c>
      <c r="B857" s="27">
        <v>270</v>
      </c>
      <c r="C857" t="s">
        <v>105</v>
      </c>
      <c r="E857" t="s">
        <v>1200</v>
      </c>
      <c r="G857" t="s">
        <v>876</v>
      </c>
      <c r="I857" t="s">
        <v>1147</v>
      </c>
      <c r="J857" t="s">
        <v>1148</v>
      </c>
      <c r="K857" t="s">
        <v>1149</v>
      </c>
      <c r="L857" t="str">
        <f t="shared" si="118"/>
        <v>02_Slots/Gottheit/Goetter-mit-Epitheta/0270_Renenutet/0020_rnnwt.t_AR_02.png &lt;sup&gt;(AR)&lt;/sup&gt;</v>
      </c>
    </row>
    <row r="858" spans="1:12" x14ac:dyDescent="0.2">
      <c r="A858" t="s">
        <v>60</v>
      </c>
      <c r="B858" s="27">
        <v>270</v>
      </c>
      <c r="C858" t="s">
        <v>105</v>
      </c>
      <c r="E858" t="s">
        <v>1200</v>
      </c>
      <c r="G858" t="s">
        <v>877</v>
      </c>
      <c r="I858" t="s">
        <v>1147</v>
      </c>
      <c r="J858" t="s">
        <v>1155</v>
      </c>
      <c r="K858" t="s">
        <v>1149</v>
      </c>
      <c r="L858" t="str">
        <f t="shared" si="118"/>
        <v>02_Slots/Gottheit/Goetter-mit-Epitheta/0270_Renenutet/0030_rnnwt.t_D.18_01.png &lt;sup&gt;(D.18)&lt;/sup&gt;</v>
      </c>
    </row>
    <row r="859" spans="1:12" x14ac:dyDescent="0.2">
      <c r="A859" t="s">
        <v>60</v>
      </c>
      <c r="B859" s="27">
        <v>270</v>
      </c>
      <c r="C859" t="s">
        <v>105</v>
      </c>
      <c r="E859" t="s">
        <v>1200</v>
      </c>
      <c r="G859" t="s">
        <v>878</v>
      </c>
      <c r="I859" t="s">
        <v>1147</v>
      </c>
      <c r="J859" t="s">
        <v>1155</v>
      </c>
      <c r="K859" t="s">
        <v>1149</v>
      </c>
      <c r="L859" t="str">
        <f t="shared" si="118"/>
        <v>02_Slots/Gottheit/Goetter-mit-Epitheta/0270_Renenutet/0040_rnnwt.t_D.18_02.png &lt;sup&gt;(D.18)&lt;/sup&gt;</v>
      </c>
    </row>
    <row r="860" spans="1:12" x14ac:dyDescent="0.2">
      <c r="A860" t="s">
        <v>60</v>
      </c>
      <c r="B860" s="27">
        <v>270</v>
      </c>
      <c r="C860" t="s">
        <v>105</v>
      </c>
      <c r="E860" t="s">
        <v>1200</v>
      </c>
      <c r="G860" t="s">
        <v>879</v>
      </c>
      <c r="I860" t="s">
        <v>1147</v>
      </c>
      <c r="J860" t="s">
        <v>1155</v>
      </c>
      <c r="K860" t="s">
        <v>1149</v>
      </c>
      <c r="L860" t="str">
        <f t="shared" si="118"/>
        <v>02_Slots/Gottheit/Goetter-mit-Epitheta/0270_Renenutet/0050_rnnwt.t_D.18_03.png &lt;sup&gt;(D.18)&lt;/sup&gt;</v>
      </c>
    </row>
    <row r="861" spans="1:12" x14ac:dyDescent="0.2">
      <c r="A861" t="s">
        <v>60</v>
      </c>
      <c r="B861" s="27">
        <v>270</v>
      </c>
      <c r="C861" t="s">
        <v>106</v>
      </c>
      <c r="L861" t="str">
        <f t="shared" si="117"/>
        <v/>
      </c>
    </row>
    <row r="862" spans="1:12" x14ac:dyDescent="0.2">
      <c r="A862" t="s">
        <v>60</v>
      </c>
      <c r="B862" s="27">
        <v>270</v>
      </c>
      <c r="C862" t="s">
        <v>107</v>
      </c>
      <c r="L862" t="s">
        <v>150</v>
      </c>
    </row>
    <row r="863" spans="1:12" x14ac:dyDescent="0.2">
      <c r="A863" t="s">
        <v>60</v>
      </c>
      <c r="B863" s="27">
        <v>270</v>
      </c>
      <c r="C863" t="s">
        <v>108</v>
      </c>
    </row>
    <row r="866" spans="1:12" x14ac:dyDescent="0.2">
      <c r="A866" t="s">
        <v>60</v>
      </c>
      <c r="B866" s="27">
        <v>280</v>
      </c>
      <c r="C866" t="s">
        <v>39</v>
      </c>
      <c r="L866" t="s">
        <v>671</v>
      </c>
    </row>
    <row r="867" spans="1:12" x14ac:dyDescent="0.2">
      <c r="A867" t="s">
        <v>60</v>
      </c>
      <c r="B867" s="27">
        <v>280</v>
      </c>
      <c r="C867" t="s">
        <v>105</v>
      </c>
      <c r="E867" t="s">
        <v>1201</v>
      </c>
      <c r="G867" t="s">
        <v>880</v>
      </c>
      <c r="I867" t="s">
        <v>1147</v>
      </c>
      <c r="J867" t="s">
        <v>1148</v>
      </c>
      <c r="K867" t="s">
        <v>1149</v>
      </c>
      <c r="L867" t="str">
        <f t="shared" ref="L867:L878" si="119">_xlfn.TEXTJOIN("", TRUE, D867:K867)</f>
        <v>02_Slots/Gottheit/Goetter-mit-Epitheta/0280_Hapi-Nilgott/0001_Hapj_AR_01.png &lt;sup&gt;(AR)&lt;/sup&gt;</v>
      </c>
    </row>
    <row r="868" spans="1:12" x14ac:dyDescent="0.2">
      <c r="A868" t="s">
        <v>60</v>
      </c>
      <c r="B868" s="27">
        <v>280</v>
      </c>
      <c r="C868" t="s">
        <v>105</v>
      </c>
      <c r="E868" t="s">
        <v>1201</v>
      </c>
      <c r="G868" t="s">
        <v>881</v>
      </c>
      <c r="I868" t="s">
        <v>1147</v>
      </c>
      <c r="J868" t="s">
        <v>1151</v>
      </c>
      <c r="K868" t="s">
        <v>1149</v>
      </c>
      <c r="L868" t="str">
        <f t="shared" si="119"/>
        <v>02_Slots/Gottheit/Goetter-mit-Epitheta/0280_Hapi-Nilgott/0010_Hapj_MR_01.png &lt;sup&gt;(MR)&lt;/sup&gt;</v>
      </c>
    </row>
    <row r="869" spans="1:12" x14ac:dyDescent="0.2">
      <c r="A869" t="s">
        <v>60</v>
      </c>
      <c r="B869" s="27">
        <v>280</v>
      </c>
      <c r="C869" t="s">
        <v>105</v>
      </c>
      <c r="E869" t="s">
        <v>1201</v>
      </c>
      <c r="G869" t="s">
        <v>882</v>
      </c>
      <c r="I869" t="s">
        <v>1147</v>
      </c>
      <c r="J869" t="s">
        <v>1151</v>
      </c>
      <c r="K869" t="s">
        <v>1149</v>
      </c>
      <c r="L869" t="str">
        <f t="shared" si="119"/>
        <v>02_Slots/Gottheit/Goetter-mit-Epitheta/0280_Hapi-Nilgott/0020_Hapj_MR_02.png &lt;sup&gt;(MR)&lt;/sup&gt;</v>
      </c>
    </row>
    <row r="870" spans="1:12" x14ac:dyDescent="0.2">
      <c r="A870" t="s">
        <v>60</v>
      </c>
      <c r="B870" s="27">
        <v>280</v>
      </c>
      <c r="C870" t="s">
        <v>105</v>
      </c>
      <c r="E870" t="s">
        <v>1201</v>
      </c>
      <c r="G870" t="s">
        <v>883</v>
      </c>
      <c r="I870" t="s">
        <v>1147</v>
      </c>
      <c r="J870" t="s">
        <v>1151</v>
      </c>
      <c r="K870" t="s">
        <v>1149</v>
      </c>
      <c r="L870" t="str">
        <f t="shared" si="119"/>
        <v>02_Slots/Gottheit/Goetter-mit-Epitheta/0280_Hapi-Nilgott/0030_Hapj_MR_03.png &lt;sup&gt;(MR)&lt;/sup&gt;</v>
      </c>
    </row>
    <row r="871" spans="1:12" x14ac:dyDescent="0.2">
      <c r="A871" t="s">
        <v>60</v>
      </c>
      <c r="B871" s="27">
        <v>280</v>
      </c>
      <c r="C871" t="s">
        <v>105</v>
      </c>
      <c r="E871" t="s">
        <v>1201</v>
      </c>
      <c r="G871" t="s">
        <v>884</v>
      </c>
      <c r="I871" t="s">
        <v>1147</v>
      </c>
      <c r="J871" t="s">
        <v>1151</v>
      </c>
      <c r="K871" t="s">
        <v>1149</v>
      </c>
      <c r="L871" t="str">
        <f t="shared" si="119"/>
        <v>02_Slots/Gottheit/Goetter-mit-Epitheta/0280_Hapi-Nilgott/0040_Hapj_MR_04.png &lt;sup&gt;(MR)&lt;/sup&gt;</v>
      </c>
    </row>
    <row r="872" spans="1:12" x14ac:dyDescent="0.2">
      <c r="A872" t="s">
        <v>60</v>
      </c>
      <c r="B872" s="27">
        <v>280</v>
      </c>
      <c r="C872" t="s">
        <v>105</v>
      </c>
      <c r="E872" t="s">
        <v>1201</v>
      </c>
      <c r="G872" t="s">
        <v>885</v>
      </c>
      <c r="I872" t="s">
        <v>1147</v>
      </c>
      <c r="J872" t="s">
        <v>1151</v>
      </c>
      <c r="K872" t="s">
        <v>1149</v>
      </c>
      <c r="L872" t="str">
        <f t="shared" si="119"/>
        <v>02_Slots/Gottheit/Goetter-mit-Epitheta/0280_Hapi-Nilgott/0050_Hapj_MR_05.png &lt;sup&gt;(MR)&lt;/sup&gt;</v>
      </c>
    </row>
    <row r="873" spans="1:12" x14ac:dyDescent="0.2">
      <c r="A873" t="s">
        <v>60</v>
      </c>
      <c r="B873" s="27">
        <v>280</v>
      </c>
      <c r="C873" t="s">
        <v>105</v>
      </c>
      <c r="E873" t="s">
        <v>1201</v>
      </c>
      <c r="G873" t="s">
        <v>886</v>
      </c>
      <c r="I873" t="s">
        <v>1147</v>
      </c>
      <c r="J873" t="s">
        <v>1151</v>
      </c>
      <c r="K873" t="s">
        <v>1149</v>
      </c>
      <c r="L873" t="str">
        <f t="shared" si="119"/>
        <v>02_Slots/Gottheit/Goetter-mit-Epitheta/0280_Hapi-Nilgott/0060_Hapj_MR_06.png &lt;sup&gt;(MR)&lt;/sup&gt;</v>
      </c>
    </row>
    <row r="874" spans="1:12" x14ac:dyDescent="0.2">
      <c r="A874" t="s">
        <v>60</v>
      </c>
      <c r="B874" s="27">
        <v>280</v>
      </c>
      <c r="C874" t="s">
        <v>105</v>
      </c>
      <c r="E874" t="s">
        <v>1201</v>
      </c>
      <c r="G874" t="s">
        <v>887</v>
      </c>
      <c r="I874" t="s">
        <v>1147</v>
      </c>
      <c r="J874" t="s">
        <v>1158</v>
      </c>
      <c r="K874" t="s">
        <v>1149</v>
      </c>
      <c r="L874" t="str">
        <f t="shared" si="119"/>
        <v>02_Slots/Gottheit/Goetter-mit-Epitheta/0280_Hapi-Nilgott/0070_Hapj_Sait._01.png &lt;sup&gt;(Saït.)&lt;/sup&gt;</v>
      </c>
    </row>
    <row r="875" spans="1:12" x14ac:dyDescent="0.2">
      <c r="A875" t="s">
        <v>60</v>
      </c>
      <c r="B875" s="27">
        <v>280</v>
      </c>
      <c r="C875" t="s">
        <v>105</v>
      </c>
      <c r="E875" t="s">
        <v>1201</v>
      </c>
      <c r="G875" t="s">
        <v>888</v>
      </c>
      <c r="I875" t="s">
        <v>1147</v>
      </c>
      <c r="J875" t="s">
        <v>1158</v>
      </c>
      <c r="K875" t="s">
        <v>1149</v>
      </c>
      <c r="L875" t="str">
        <f t="shared" si="119"/>
        <v>02_Slots/Gottheit/Goetter-mit-Epitheta/0280_Hapi-Nilgott/0080_Hapj_Sait._02.png &lt;sup&gt;(Saït.)&lt;/sup&gt;</v>
      </c>
    </row>
    <row r="876" spans="1:12" x14ac:dyDescent="0.2">
      <c r="A876" t="s">
        <v>60</v>
      </c>
      <c r="B876" s="27">
        <v>280</v>
      </c>
      <c r="C876" t="s">
        <v>105</v>
      </c>
      <c r="E876" t="s">
        <v>1201</v>
      </c>
      <c r="G876" t="s">
        <v>891</v>
      </c>
      <c r="I876" t="s">
        <v>1147</v>
      </c>
      <c r="J876" t="s">
        <v>1159</v>
      </c>
      <c r="K876" t="s">
        <v>1149</v>
      </c>
      <c r="L876" t="str">
        <f t="shared" si="119"/>
        <v>02_Slots/Gottheit/Goetter-mit-Epitheta/0280_Hapi-Nilgott/0090_Hapj_SP-GR_01.png &lt;sup&gt;(Sp.–Gr.)&lt;/sup&gt;</v>
      </c>
    </row>
    <row r="877" spans="1:12" x14ac:dyDescent="0.2">
      <c r="A877" t="s">
        <v>60</v>
      </c>
      <c r="B877" s="27">
        <v>280</v>
      </c>
      <c r="C877" t="s">
        <v>105</v>
      </c>
      <c r="E877" t="s">
        <v>1201</v>
      </c>
      <c r="G877" t="s">
        <v>892</v>
      </c>
      <c r="I877" t="s">
        <v>1147</v>
      </c>
      <c r="J877" t="s">
        <v>1159</v>
      </c>
      <c r="K877" t="s">
        <v>1149</v>
      </c>
      <c r="L877" t="str">
        <f t="shared" si="119"/>
        <v>02_Slots/Gottheit/Goetter-mit-Epitheta/0280_Hapi-Nilgott/0100_Hapj_SP-GR_02.png &lt;sup&gt;(Sp.–Gr.)&lt;/sup&gt;</v>
      </c>
    </row>
    <row r="878" spans="1:12" x14ac:dyDescent="0.2">
      <c r="A878" t="s">
        <v>60</v>
      </c>
      <c r="B878" s="27">
        <v>280</v>
      </c>
      <c r="C878" t="s">
        <v>105</v>
      </c>
      <c r="E878" t="s">
        <v>1201</v>
      </c>
      <c r="G878" t="s">
        <v>893</v>
      </c>
      <c r="I878" t="s">
        <v>1147</v>
      </c>
      <c r="J878" t="s">
        <v>1159</v>
      </c>
      <c r="K878" t="s">
        <v>1149</v>
      </c>
      <c r="L878" t="str">
        <f t="shared" si="119"/>
        <v>02_Slots/Gottheit/Goetter-mit-Epitheta/0280_Hapi-Nilgott/0110_Hapj_SP-GR_03.png &lt;sup&gt;(Sp.–Gr.)&lt;/sup&gt;</v>
      </c>
    </row>
    <row r="879" spans="1:12" x14ac:dyDescent="0.2">
      <c r="A879" t="s">
        <v>60</v>
      </c>
      <c r="B879" s="27">
        <v>280</v>
      </c>
      <c r="C879" t="s">
        <v>106</v>
      </c>
      <c r="E879" t="s">
        <v>1201</v>
      </c>
      <c r="F879" t="s">
        <v>110</v>
      </c>
      <c r="G879" t="s">
        <v>889</v>
      </c>
      <c r="L879" t="str">
        <f t="shared" ref="L879:L880" si="120">_xlfn.TEXTJOIN("", TRUE, D879:J879)</f>
        <v>02_Slots/Gottheit/Goetter-mit-Epitheta/0280_Hapi-Nilgott/det/0001_Hapj_det_01.png</v>
      </c>
    </row>
    <row r="880" spans="1:12" x14ac:dyDescent="0.2">
      <c r="A880" t="s">
        <v>60</v>
      </c>
      <c r="B880" s="27">
        <v>280</v>
      </c>
      <c r="C880" t="s">
        <v>106</v>
      </c>
      <c r="E880" t="s">
        <v>1201</v>
      </c>
      <c r="F880" t="s">
        <v>110</v>
      </c>
      <c r="G880" t="s">
        <v>890</v>
      </c>
      <c r="L880" t="str">
        <f t="shared" si="120"/>
        <v>02_Slots/Gottheit/Goetter-mit-Epitheta/0280_Hapi-Nilgott/det/0010_Hapj_det_02.png</v>
      </c>
    </row>
    <row r="881" spans="1:12" x14ac:dyDescent="0.2">
      <c r="A881" t="s">
        <v>60</v>
      </c>
      <c r="B881" s="27">
        <v>280</v>
      </c>
      <c r="C881" t="s">
        <v>107</v>
      </c>
      <c r="L881" t="s">
        <v>151</v>
      </c>
    </row>
    <row r="882" spans="1:12" x14ac:dyDescent="0.2">
      <c r="A882" t="s">
        <v>60</v>
      </c>
      <c r="B882" s="27">
        <v>280</v>
      </c>
      <c r="C882" t="s">
        <v>108</v>
      </c>
    </row>
    <row r="885" spans="1:12" x14ac:dyDescent="0.2">
      <c r="A885" t="s">
        <v>60</v>
      </c>
      <c r="B885" s="27">
        <v>290</v>
      </c>
      <c r="C885" t="s">
        <v>39</v>
      </c>
      <c r="L885" t="s">
        <v>412</v>
      </c>
    </row>
    <row r="886" spans="1:12" x14ac:dyDescent="0.2">
      <c r="A886" t="s">
        <v>60</v>
      </c>
      <c r="B886" s="27">
        <v>290</v>
      </c>
      <c r="C886" t="s">
        <v>105</v>
      </c>
      <c r="E886" t="s">
        <v>1202</v>
      </c>
      <c r="G886" t="s">
        <v>894</v>
      </c>
      <c r="L886" t="str">
        <f>_xlfn.TEXTJOIN("", TRUE, D886:J886)</f>
        <v>02_Slots/Gottheit/Goetter-mit-Epitheta/0290_Hathor/0001_Hwt-Hr_01.png</v>
      </c>
    </row>
    <row r="887" spans="1:12" x14ac:dyDescent="0.2">
      <c r="A887" t="s">
        <v>60</v>
      </c>
      <c r="B887" s="27">
        <v>290</v>
      </c>
      <c r="C887" t="s">
        <v>105</v>
      </c>
      <c r="E887" t="s">
        <v>1202</v>
      </c>
      <c r="G887" t="s">
        <v>895</v>
      </c>
      <c r="I887" t="s">
        <v>1147</v>
      </c>
      <c r="J887" t="s">
        <v>1148</v>
      </c>
      <c r="K887" t="s">
        <v>1149</v>
      </c>
      <c r="L887" t="str">
        <f t="shared" ref="L887:L888" si="121">_xlfn.TEXTJOIN("", TRUE, D887:K887)</f>
        <v>02_Slots/Gottheit/Goetter-mit-Epitheta/0290_Hathor/0010_Hwt-Hr_AR_01.png &lt;sup&gt;(AR)&lt;/sup&gt;</v>
      </c>
    </row>
    <row r="888" spans="1:12" x14ac:dyDescent="0.2">
      <c r="A888" t="s">
        <v>60</v>
      </c>
      <c r="B888" s="27">
        <v>290</v>
      </c>
      <c r="C888" t="s">
        <v>105</v>
      </c>
      <c r="E888" t="s">
        <v>1202</v>
      </c>
      <c r="G888" t="s">
        <v>896</v>
      </c>
      <c r="I888" t="s">
        <v>1147</v>
      </c>
      <c r="J888" t="s">
        <v>1148</v>
      </c>
      <c r="K888" t="s">
        <v>1149</v>
      </c>
      <c r="L888" t="str">
        <f t="shared" si="121"/>
        <v>02_Slots/Gottheit/Goetter-mit-Epitheta/0290_Hathor/0020_Hwt-Hr_AR_02.png &lt;sup&gt;(AR)&lt;/sup&gt;</v>
      </c>
    </row>
    <row r="889" spans="1:12" x14ac:dyDescent="0.2">
      <c r="A889" t="s">
        <v>60</v>
      </c>
      <c r="B889" s="27">
        <v>290</v>
      </c>
      <c r="C889" t="s">
        <v>106</v>
      </c>
      <c r="L889" t="str">
        <f>_xlfn.TEXTJOIN("", TRUE, D889:J889)</f>
        <v/>
      </c>
    </row>
    <row r="890" spans="1:12" x14ac:dyDescent="0.2">
      <c r="A890" t="s">
        <v>60</v>
      </c>
      <c r="B890" s="27">
        <v>290</v>
      </c>
      <c r="C890" t="s">
        <v>107</v>
      </c>
      <c r="L890" t="s">
        <v>152</v>
      </c>
    </row>
    <row r="891" spans="1:12" x14ac:dyDescent="0.2">
      <c r="A891" t="s">
        <v>60</v>
      </c>
      <c r="B891" s="27">
        <v>290</v>
      </c>
      <c r="C891" t="s">
        <v>108</v>
      </c>
    </row>
    <row r="894" spans="1:12" x14ac:dyDescent="0.2">
      <c r="A894" t="s">
        <v>60</v>
      </c>
      <c r="B894" s="27">
        <v>300</v>
      </c>
      <c r="C894" t="s">
        <v>39</v>
      </c>
      <c r="L894" t="s">
        <v>672</v>
      </c>
    </row>
    <row r="895" spans="1:12" x14ac:dyDescent="0.2">
      <c r="A895" t="s">
        <v>60</v>
      </c>
      <c r="B895" s="27">
        <v>300</v>
      </c>
      <c r="C895" t="s">
        <v>105</v>
      </c>
      <c r="E895" t="s">
        <v>1203</v>
      </c>
      <c r="G895" t="s">
        <v>897</v>
      </c>
      <c r="L895" t="str">
        <f t="shared" ref="L895:L900" si="122">_xlfn.TEXTJOIN("", TRUE, D895:J895)</f>
        <v>02_Slots/Gottheit/Goetter-mit-Epitheta/0300_Apis/0001_Hp_01.png</v>
      </c>
    </row>
    <row r="896" spans="1:12" x14ac:dyDescent="0.2">
      <c r="A896" t="s">
        <v>60</v>
      </c>
      <c r="B896" s="27">
        <v>300</v>
      </c>
      <c r="C896" t="s">
        <v>105</v>
      </c>
      <c r="E896" t="s">
        <v>1203</v>
      </c>
      <c r="G896" t="s">
        <v>898</v>
      </c>
      <c r="L896" t="str">
        <f t="shared" si="122"/>
        <v>02_Slots/Gottheit/Goetter-mit-Epitheta/0300_Apis/0010_Hp_02.png</v>
      </c>
    </row>
    <row r="897" spans="1:12" x14ac:dyDescent="0.2">
      <c r="A897" t="s">
        <v>60</v>
      </c>
      <c r="B897" s="27">
        <v>300</v>
      </c>
      <c r="C897" t="s">
        <v>105</v>
      </c>
      <c r="E897" t="s">
        <v>1203</v>
      </c>
      <c r="G897" t="s">
        <v>899</v>
      </c>
      <c r="I897" t="s">
        <v>1147</v>
      </c>
      <c r="J897" t="s">
        <v>1148</v>
      </c>
      <c r="K897" t="s">
        <v>1149</v>
      </c>
      <c r="L897" t="str">
        <f t="shared" ref="L897:L898" si="123">_xlfn.TEXTJOIN("", TRUE, D897:K897)</f>
        <v>02_Slots/Gottheit/Goetter-mit-Epitheta/0300_Apis/0020_Hp_AR_01.png &lt;sup&gt;(AR)&lt;/sup&gt;</v>
      </c>
    </row>
    <row r="898" spans="1:12" x14ac:dyDescent="0.2">
      <c r="A898" t="s">
        <v>60</v>
      </c>
      <c r="B898" s="27">
        <v>300</v>
      </c>
      <c r="C898" t="s">
        <v>105</v>
      </c>
      <c r="E898" t="s">
        <v>1203</v>
      </c>
      <c r="G898" t="s">
        <v>900</v>
      </c>
      <c r="I898" t="s">
        <v>1147</v>
      </c>
      <c r="J898" t="s">
        <v>1103</v>
      </c>
      <c r="K898" t="s">
        <v>1149</v>
      </c>
      <c r="L898" t="str">
        <f t="shared" si="123"/>
        <v>02_Slots/Gottheit/Goetter-mit-Epitheta/0300_Apis/0030_Hp_NR_01.png &lt;sup&gt;(NR)&lt;/sup&gt;</v>
      </c>
    </row>
    <row r="899" spans="1:12" x14ac:dyDescent="0.2">
      <c r="A899" t="s">
        <v>60</v>
      </c>
      <c r="B899" s="27">
        <v>300</v>
      </c>
      <c r="C899" t="s">
        <v>106</v>
      </c>
      <c r="E899" t="s">
        <v>1203</v>
      </c>
      <c r="F899" t="s">
        <v>110</v>
      </c>
      <c r="G899" t="s">
        <v>901</v>
      </c>
      <c r="L899" t="str">
        <f t="shared" si="122"/>
        <v>02_Slots/Gottheit/Goetter-mit-Epitheta/0300_Apis/det/0001_Hp_det_01.png</v>
      </c>
    </row>
    <row r="900" spans="1:12" x14ac:dyDescent="0.2">
      <c r="A900" t="s">
        <v>60</v>
      </c>
      <c r="B900" s="27">
        <v>300</v>
      </c>
      <c r="C900" t="s">
        <v>106</v>
      </c>
      <c r="E900" t="s">
        <v>1203</v>
      </c>
      <c r="F900" t="s">
        <v>110</v>
      </c>
      <c r="G900" t="s">
        <v>902</v>
      </c>
      <c r="L900" t="str">
        <f t="shared" si="122"/>
        <v>02_Slots/Gottheit/Goetter-mit-Epitheta/0300_Apis/det/0010_Hp_det_02.png</v>
      </c>
    </row>
    <row r="901" spans="1:12" x14ac:dyDescent="0.2">
      <c r="A901" t="s">
        <v>60</v>
      </c>
      <c r="B901" s="27">
        <v>300</v>
      </c>
      <c r="C901" t="s">
        <v>106</v>
      </c>
      <c r="E901" t="s">
        <v>1203</v>
      </c>
      <c r="F901" t="s">
        <v>110</v>
      </c>
      <c r="G901" t="s">
        <v>903</v>
      </c>
      <c r="I901" t="s">
        <v>1147</v>
      </c>
      <c r="J901" t="s">
        <v>1169</v>
      </c>
      <c r="K901" t="s">
        <v>1149</v>
      </c>
      <c r="L901" t="str">
        <f>_xlfn.TEXTJOIN("", TRUE, D901:K901)</f>
        <v>02_Slots/Gottheit/Goetter-mit-Epitheta/0300_Apis/det/0020_Hp_det_AR-SP_01.png &lt;sup&gt;(AR; Sp.)&lt;/sup&gt;</v>
      </c>
    </row>
    <row r="902" spans="1:12" x14ac:dyDescent="0.2">
      <c r="A902" t="s">
        <v>60</v>
      </c>
      <c r="B902" s="27">
        <v>300</v>
      </c>
      <c r="C902" t="s">
        <v>107</v>
      </c>
      <c r="L902" t="s">
        <v>153</v>
      </c>
    </row>
    <row r="903" spans="1:12" x14ac:dyDescent="0.2">
      <c r="A903" t="s">
        <v>60</v>
      </c>
      <c r="B903" s="27">
        <v>300</v>
      </c>
      <c r="C903" t="s">
        <v>108</v>
      </c>
      <c r="L903" t="s">
        <v>1129</v>
      </c>
    </row>
    <row r="905" spans="1:12" x14ac:dyDescent="0.2">
      <c r="A905" t="s">
        <v>904</v>
      </c>
      <c r="B905" s="27">
        <v>1</v>
      </c>
      <c r="C905" t="s">
        <v>39</v>
      </c>
      <c r="L905" t="s">
        <v>644</v>
      </c>
    </row>
    <row r="906" spans="1:12" x14ac:dyDescent="0.2">
      <c r="A906" t="s">
        <v>904</v>
      </c>
      <c r="B906" s="27">
        <v>1</v>
      </c>
      <c r="C906" t="s">
        <v>105</v>
      </c>
      <c r="E906" t="s">
        <v>1203</v>
      </c>
      <c r="F906" t="s">
        <v>905</v>
      </c>
      <c r="G906" t="s">
        <v>906</v>
      </c>
      <c r="H906" t="s">
        <v>112</v>
      </c>
      <c r="I906" t="s">
        <v>1147</v>
      </c>
      <c r="J906" t="s">
        <v>1168</v>
      </c>
      <c r="K906" t="s">
        <v>1149</v>
      </c>
      <c r="L906" t="str">
        <f>_xlfn.TEXTJOIN("", TRUE, D906:K906)</f>
        <v>02_Slots/Gottheit/Goetter-mit-Epitheta/0300_Apis/epitheta/01_anx/0001_anx_seit-NR_01.png &lt;sup&gt;(seit NR)&lt;/sup&gt;</v>
      </c>
    </row>
    <row r="907" spans="1:12" x14ac:dyDescent="0.2">
      <c r="A907" t="s">
        <v>904</v>
      </c>
      <c r="B907" s="27">
        <v>1</v>
      </c>
      <c r="C907" t="s">
        <v>27</v>
      </c>
      <c r="L907" t="s">
        <v>646</v>
      </c>
    </row>
    <row r="913" spans="1:12" x14ac:dyDescent="0.2">
      <c r="A913" t="s">
        <v>60</v>
      </c>
      <c r="B913" s="27">
        <v>310</v>
      </c>
      <c r="C913" t="s">
        <v>39</v>
      </c>
      <c r="L913" t="s">
        <v>673</v>
      </c>
    </row>
    <row r="914" spans="1:12" x14ac:dyDescent="0.2">
      <c r="A914" t="s">
        <v>60</v>
      </c>
      <c r="B914" s="27">
        <v>310</v>
      </c>
      <c r="C914" t="s">
        <v>105</v>
      </c>
      <c r="E914" t="s">
        <v>1204</v>
      </c>
      <c r="G914" t="s">
        <v>907</v>
      </c>
      <c r="L914" t="str">
        <f t="shared" ref="L914:L922" si="124">_xlfn.TEXTJOIN("", TRUE, D914:J914)</f>
        <v>02_Slots/Gottheit/Goetter-mit-Epitheta/0310_Hapi-Horussohn/0001_Hpy_01.png</v>
      </c>
    </row>
    <row r="915" spans="1:12" x14ac:dyDescent="0.2">
      <c r="A915" t="s">
        <v>60</v>
      </c>
      <c r="B915" s="27">
        <v>310</v>
      </c>
      <c r="C915" t="s">
        <v>105</v>
      </c>
      <c r="E915" t="s">
        <v>1204</v>
      </c>
      <c r="G915" t="s">
        <v>908</v>
      </c>
      <c r="L915" t="str">
        <f t="shared" si="124"/>
        <v>02_Slots/Gottheit/Goetter-mit-Epitheta/0310_Hapi-Horussohn/0010_Hpy_02.png</v>
      </c>
    </row>
    <row r="916" spans="1:12" x14ac:dyDescent="0.2">
      <c r="A916" t="s">
        <v>60</v>
      </c>
      <c r="B916" s="27">
        <v>310</v>
      </c>
      <c r="C916" t="s">
        <v>105</v>
      </c>
      <c r="E916" t="s">
        <v>1204</v>
      </c>
      <c r="G916" t="s">
        <v>909</v>
      </c>
      <c r="L916" t="str">
        <f t="shared" si="124"/>
        <v>02_Slots/Gottheit/Goetter-mit-Epitheta/0310_Hapi-Horussohn/0020_Hpy_03.png</v>
      </c>
    </row>
    <row r="917" spans="1:12" x14ac:dyDescent="0.2">
      <c r="A917" t="s">
        <v>60</v>
      </c>
      <c r="B917" s="27">
        <v>310</v>
      </c>
      <c r="C917" t="s">
        <v>105</v>
      </c>
      <c r="E917" t="s">
        <v>1204</v>
      </c>
      <c r="G917" t="s">
        <v>910</v>
      </c>
      <c r="L917" t="str">
        <f t="shared" si="124"/>
        <v>02_Slots/Gottheit/Goetter-mit-Epitheta/0310_Hapi-Horussohn/0030_Hpy_04.png</v>
      </c>
    </row>
    <row r="918" spans="1:12" x14ac:dyDescent="0.2">
      <c r="A918" t="s">
        <v>60</v>
      </c>
      <c r="B918" s="27">
        <v>310</v>
      </c>
      <c r="C918" t="s">
        <v>105</v>
      </c>
      <c r="E918" t="s">
        <v>1204</v>
      </c>
      <c r="G918" t="s">
        <v>911</v>
      </c>
      <c r="I918" t="s">
        <v>1147</v>
      </c>
      <c r="J918" t="s">
        <v>1148</v>
      </c>
      <c r="K918" t="s">
        <v>1149</v>
      </c>
      <c r="L918" t="str">
        <f t="shared" ref="L918:L920" si="125">_xlfn.TEXTJOIN("", TRUE, D918:K918)</f>
        <v>02_Slots/Gottheit/Goetter-mit-Epitheta/0310_Hapi-Horussohn/0040_Hpy_AR_01.png &lt;sup&gt;(AR)&lt;/sup&gt;</v>
      </c>
    </row>
    <row r="919" spans="1:12" x14ac:dyDescent="0.2">
      <c r="A919" t="s">
        <v>60</v>
      </c>
      <c r="B919" s="27">
        <v>310</v>
      </c>
      <c r="C919" t="s">
        <v>105</v>
      </c>
      <c r="E919" t="s">
        <v>1204</v>
      </c>
      <c r="G919" t="s">
        <v>912</v>
      </c>
      <c r="I919" t="s">
        <v>1147</v>
      </c>
      <c r="J919" t="s">
        <v>1151</v>
      </c>
      <c r="K919" t="s">
        <v>1149</v>
      </c>
      <c r="L919" t="str">
        <f t="shared" si="125"/>
        <v>02_Slots/Gottheit/Goetter-mit-Epitheta/0310_Hapi-Horussohn/0050_Hpy_MR_01.png &lt;sup&gt;(MR)&lt;/sup&gt;</v>
      </c>
    </row>
    <row r="920" spans="1:12" x14ac:dyDescent="0.2">
      <c r="A920" t="s">
        <v>60</v>
      </c>
      <c r="B920" s="27">
        <v>310</v>
      </c>
      <c r="C920" t="s">
        <v>105</v>
      </c>
      <c r="E920" t="s">
        <v>1204</v>
      </c>
      <c r="G920" t="s">
        <v>913</v>
      </c>
      <c r="I920" t="s">
        <v>1147</v>
      </c>
      <c r="J920" t="s">
        <v>1163</v>
      </c>
      <c r="K920" t="s">
        <v>1149</v>
      </c>
      <c r="L920" t="str">
        <f t="shared" si="125"/>
        <v>02_Slots/Gottheit/Goetter-mit-Epitheta/0310_Hapi-Horussohn/0060_Hpy_MR-NR-GR_01.png &lt;sup&gt;(MR; NR; Gr.)&lt;/sup&gt;</v>
      </c>
    </row>
    <row r="921" spans="1:12" x14ac:dyDescent="0.2">
      <c r="A921" t="s">
        <v>60</v>
      </c>
      <c r="B921" s="27">
        <v>310</v>
      </c>
      <c r="C921" t="s">
        <v>106</v>
      </c>
      <c r="E921" t="s">
        <v>1204</v>
      </c>
      <c r="F921" t="s">
        <v>110</v>
      </c>
      <c r="G921" t="s">
        <v>914</v>
      </c>
      <c r="L921" t="str">
        <f t="shared" si="124"/>
        <v>02_Slots/Gottheit/Goetter-mit-Epitheta/0310_Hapi-Horussohn/det/0001_Hpy_det_01.png</v>
      </c>
    </row>
    <row r="922" spans="1:12" x14ac:dyDescent="0.2">
      <c r="A922" t="s">
        <v>60</v>
      </c>
      <c r="B922" s="27">
        <v>310</v>
      </c>
      <c r="C922" t="s">
        <v>106</v>
      </c>
      <c r="E922" t="s">
        <v>1204</v>
      </c>
      <c r="F922" t="s">
        <v>110</v>
      </c>
      <c r="G922" t="s">
        <v>915</v>
      </c>
      <c r="L922" t="str">
        <f t="shared" si="124"/>
        <v>02_Slots/Gottheit/Goetter-mit-Epitheta/0310_Hapi-Horussohn/det/0010_Hpy_det_AR_01.png</v>
      </c>
    </row>
    <row r="923" spans="1:12" x14ac:dyDescent="0.2">
      <c r="A923" t="s">
        <v>60</v>
      </c>
      <c r="B923" s="27">
        <v>310</v>
      </c>
      <c r="C923" t="s">
        <v>107</v>
      </c>
      <c r="L923" t="s">
        <v>154</v>
      </c>
    </row>
    <row r="924" spans="1:12" x14ac:dyDescent="0.2">
      <c r="A924" t="s">
        <v>60</v>
      </c>
      <c r="B924" s="27">
        <v>310</v>
      </c>
      <c r="C924" t="s">
        <v>108</v>
      </c>
    </row>
    <row r="927" spans="1:12" x14ac:dyDescent="0.2">
      <c r="A927" t="s">
        <v>60</v>
      </c>
      <c r="B927" s="27">
        <v>320</v>
      </c>
      <c r="C927" t="s">
        <v>39</v>
      </c>
      <c r="L927" t="s">
        <v>505</v>
      </c>
    </row>
    <row r="928" spans="1:12" x14ac:dyDescent="0.2">
      <c r="A928" t="s">
        <v>60</v>
      </c>
      <c r="B928" s="27">
        <v>320</v>
      </c>
      <c r="C928" t="s">
        <v>105</v>
      </c>
      <c r="E928" t="s">
        <v>1205</v>
      </c>
      <c r="G928" t="s">
        <v>916</v>
      </c>
      <c r="L928" t="str">
        <f>_xlfn.TEXTJOIN("", TRUE, D928:J928)</f>
        <v>02_Slots/Gottheit/Goetter-mit-Epitheta/0320_Horus/0001_Hr_01.png</v>
      </c>
    </row>
    <row r="929" spans="1:12" x14ac:dyDescent="0.2">
      <c r="A929" t="s">
        <v>60</v>
      </c>
      <c r="B929" s="27">
        <v>320</v>
      </c>
      <c r="C929" t="s">
        <v>105</v>
      </c>
      <c r="E929" t="s">
        <v>1205</v>
      </c>
      <c r="G929" t="s">
        <v>917</v>
      </c>
      <c r="L929" t="str">
        <f>_xlfn.TEXTJOIN("", TRUE, D929:J929)</f>
        <v>02_Slots/Gottheit/Goetter-mit-Epitheta/0320_Horus/0010_Hr_02.png</v>
      </c>
    </row>
    <row r="930" spans="1:12" x14ac:dyDescent="0.2">
      <c r="A930" t="s">
        <v>60</v>
      </c>
      <c r="B930" s="27">
        <v>320</v>
      </c>
      <c r="C930" t="s">
        <v>105</v>
      </c>
      <c r="E930" t="s">
        <v>1205</v>
      </c>
      <c r="G930" t="s">
        <v>918</v>
      </c>
      <c r="I930" t="s">
        <v>1147</v>
      </c>
      <c r="J930" t="s">
        <v>1148</v>
      </c>
      <c r="K930" t="s">
        <v>1149</v>
      </c>
      <c r="L930" t="str">
        <f t="shared" ref="L930:L931" si="126">_xlfn.TEXTJOIN("", TRUE, D930:K930)</f>
        <v>02_Slots/Gottheit/Goetter-mit-Epitheta/0320_Horus/0020_Hr_AR_01.png &lt;sup&gt;(AR)&lt;/sup&gt;</v>
      </c>
    </row>
    <row r="931" spans="1:12" x14ac:dyDescent="0.2">
      <c r="A931" t="s">
        <v>60</v>
      </c>
      <c r="B931" s="27">
        <v>320</v>
      </c>
      <c r="C931" t="s">
        <v>105</v>
      </c>
      <c r="E931" t="s">
        <v>1205</v>
      </c>
      <c r="G931" t="s">
        <v>919</v>
      </c>
      <c r="I931" t="s">
        <v>1147</v>
      </c>
      <c r="J931" t="s">
        <v>1151</v>
      </c>
      <c r="K931" t="s">
        <v>1149</v>
      </c>
      <c r="L931" t="str">
        <f t="shared" si="126"/>
        <v>02_Slots/Gottheit/Goetter-mit-Epitheta/0320_Horus/0030_Hr_MR_01.png &lt;sup&gt;(MR)&lt;/sup&gt;</v>
      </c>
    </row>
    <row r="932" spans="1:12" x14ac:dyDescent="0.2">
      <c r="A932" t="s">
        <v>60</v>
      </c>
      <c r="B932" s="27">
        <v>320</v>
      </c>
      <c r="C932" t="s">
        <v>106</v>
      </c>
      <c r="L932" t="str">
        <f>_xlfn.TEXTJOIN("", TRUE, D932:J932)</f>
        <v/>
      </c>
    </row>
    <row r="933" spans="1:12" x14ac:dyDescent="0.2">
      <c r="A933" t="s">
        <v>60</v>
      </c>
      <c r="B933" s="27">
        <v>320</v>
      </c>
      <c r="C933" t="s">
        <v>107</v>
      </c>
      <c r="L933" t="s">
        <v>155</v>
      </c>
    </row>
    <row r="934" spans="1:12" x14ac:dyDescent="0.2">
      <c r="A934" t="s">
        <v>60</v>
      </c>
      <c r="B934" s="27">
        <v>320</v>
      </c>
      <c r="C934" t="s">
        <v>108</v>
      </c>
      <c r="L934" t="s">
        <v>1130</v>
      </c>
    </row>
    <row r="936" spans="1:12" x14ac:dyDescent="0.2">
      <c r="A936" t="s">
        <v>923</v>
      </c>
      <c r="B936" s="27">
        <v>1</v>
      </c>
      <c r="C936" t="s">
        <v>39</v>
      </c>
      <c r="L936" t="s">
        <v>938</v>
      </c>
    </row>
    <row r="937" spans="1:12" x14ac:dyDescent="0.2">
      <c r="A937" t="s">
        <v>923</v>
      </c>
      <c r="B937" s="27">
        <v>1</v>
      </c>
      <c r="C937" t="s">
        <v>105</v>
      </c>
      <c r="E937" t="s">
        <v>1205</v>
      </c>
      <c r="F937" t="s">
        <v>920</v>
      </c>
      <c r="G937" t="s">
        <v>921</v>
      </c>
      <c r="H937" t="s">
        <v>112</v>
      </c>
      <c r="L937" t="str">
        <f>_xlfn.TEXTJOIN("", TRUE, D937:J937)</f>
        <v>02_Slots/Gottheit/Goetter-mit-Epitheta/0320_Horus/epitheta/0001_m-Ax.t_01.png</v>
      </c>
    </row>
    <row r="938" spans="1:12" x14ac:dyDescent="0.2">
      <c r="A938" t="s">
        <v>923</v>
      </c>
      <c r="B938" s="27">
        <v>1</v>
      </c>
      <c r="C938" t="s">
        <v>27</v>
      </c>
      <c r="L938" t="s">
        <v>939</v>
      </c>
    </row>
    <row r="940" spans="1:12" x14ac:dyDescent="0.2">
      <c r="A940" t="s">
        <v>923</v>
      </c>
      <c r="B940" s="27">
        <v>2</v>
      </c>
      <c r="C940" t="s">
        <v>39</v>
      </c>
      <c r="L940" t="s">
        <v>937</v>
      </c>
    </row>
    <row r="941" spans="1:12" x14ac:dyDescent="0.2">
      <c r="A941" t="s">
        <v>923</v>
      </c>
      <c r="B941" s="27">
        <v>2</v>
      </c>
      <c r="C941" t="s">
        <v>105</v>
      </c>
      <c r="E941" t="s">
        <v>1205</v>
      </c>
      <c r="F941" t="s">
        <v>920</v>
      </c>
      <c r="G941" t="s">
        <v>922</v>
      </c>
      <c r="H941" t="s">
        <v>112</v>
      </c>
      <c r="L941" t="str">
        <f>_xlfn.TEXTJOIN("", TRUE, D941:J941)</f>
        <v>02_Slots/Gottheit/Goetter-mit-Epitheta/0320_Horus/epitheta/0001_nD-jt_01.png</v>
      </c>
    </row>
    <row r="942" spans="1:12" x14ac:dyDescent="0.2">
      <c r="A942" t="s">
        <v>923</v>
      </c>
      <c r="B942" s="27">
        <v>2</v>
      </c>
      <c r="C942" t="s">
        <v>27</v>
      </c>
      <c r="L942" t="s">
        <v>936</v>
      </c>
    </row>
    <row r="944" spans="1:12" x14ac:dyDescent="0.2">
      <c r="A944" t="s">
        <v>923</v>
      </c>
      <c r="B944" s="27">
        <v>3</v>
      </c>
      <c r="C944" t="s">
        <v>39</v>
      </c>
      <c r="L944" t="s">
        <v>934</v>
      </c>
    </row>
    <row r="945" spans="1:12" x14ac:dyDescent="0.2">
      <c r="A945" t="s">
        <v>923</v>
      </c>
      <c r="B945" s="27">
        <v>3</v>
      </c>
      <c r="C945" t="s">
        <v>105</v>
      </c>
      <c r="E945" t="s">
        <v>1205</v>
      </c>
      <c r="F945" t="s">
        <v>920</v>
      </c>
      <c r="G945" t="s">
        <v>924</v>
      </c>
      <c r="H945" t="s">
        <v>112</v>
      </c>
      <c r="I945" t="s">
        <v>1147</v>
      </c>
      <c r="J945" t="s">
        <v>1139</v>
      </c>
      <c r="K945" t="s">
        <v>1149</v>
      </c>
      <c r="L945" t="str">
        <f>_xlfn.TEXTJOIN("", TRUE, D945:K945)</f>
        <v>02_Slots/Gottheit/Goetter-mit-Epitheta/0320_Horus/epitheta/0001_pA-Xrd_SP_01.png &lt;sup&gt;(Spät.)&lt;/sup&gt;</v>
      </c>
    </row>
    <row r="946" spans="1:12" x14ac:dyDescent="0.2">
      <c r="A946" t="s">
        <v>923</v>
      </c>
      <c r="B946" s="27">
        <v>3</v>
      </c>
      <c r="C946" t="s">
        <v>27</v>
      </c>
      <c r="L946" t="s">
        <v>935</v>
      </c>
    </row>
    <row r="948" spans="1:12" x14ac:dyDescent="0.2">
      <c r="A948" t="s">
        <v>923</v>
      </c>
      <c r="B948" s="27">
        <v>4</v>
      </c>
      <c r="C948" t="s">
        <v>39</v>
      </c>
      <c r="L948" t="s">
        <v>932</v>
      </c>
    </row>
    <row r="949" spans="1:12" x14ac:dyDescent="0.2">
      <c r="A949" t="s">
        <v>923</v>
      </c>
      <c r="B949" s="27">
        <v>4</v>
      </c>
      <c r="C949" t="s">
        <v>105</v>
      </c>
      <c r="E949" t="s">
        <v>1205</v>
      </c>
      <c r="F949" t="s">
        <v>920</v>
      </c>
      <c r="G949" t="s">
        <v>925</v>
      </c>
      <c r="H949" t="s">
        <v>112</v>
      </c>
      <c r="L949" t="str">
        <f>_xlfn.TEXTJOIN("", TRUE, D949:J949)</f>
        <v>02_Slots/Gottheit/Goetter-mit-Epitheta/0320_Horus/epitheta/0001_sA-s.t_01.png</v>
      </c>
    </row>
    <row r="950" spans="1:12" x14ac:dyDescent="0.2">
      <c r="A950" t="s">
        <v>923</v>
      </c>
      <c r="B950" s="27">
        <v>4</v>
      </c>
      <c r="C950" t="s">
        <v>27</v>
      </c>
      <c r="L950" t="s">
        <v>933</v>
      </c>
    </row>
    <row r="952" spans="1:12" x14ac:dyDescent="0.2">
      <c r="A952" t="s">
        <v>923</v>
      </c>
      <c r="B952" s="27">
        <v>5</v>
      </c>
      <c r="C952" t="s">
        <v>39</v>
      </c>
      <c r="L952" t="s">
        <v>930</v>
      </c>
    </row>
    <row r="953" spans="1:12" x14ac:dyDescent="0.2">
      <c r="A953" t="s">
        <v>923</v>
      </c>
      <c r="B953" s="27">
        <v>5</v>
      </c>
      <c r="C953" t="s">
        <v>105</v>
      </c>
      <c r="E953" t="s">
        <v>1205</v>
      </c>
      <c r="F953" t="s">
        <v>920</v>
      </c>
      <c r="G953" t="s">
        <v>926</v>
      </c>
      <c r="H953" t="s">
        <v>112</v>
      </c>
      <c r="L953" t="str">
        <f>_xlfn.TEXTJOIN("", TRUE, D953:J953)</f>
        <v>02_Slots/Gottheit/Goetter-mit-Epitheta/0320_Horus/epitheta/0001_smA-tA.wj_01.png</v>
      </c>
    </row>
    <row r="954" spans="1:12" x14ac:dyDescent="0.2">
      <c r="A954" t="s">
        <v>923</v>
      </c>
      <c r="B954" s="27">
        <v>5</v>
      </c>
      <c r="C954" t="s">
        <v>27</v>
      </c>
      <c r="L954" t="s">
        <v>931</v>
      </c>
    </row>
    <row r="956" spans="1:12" x14ac:dyDescent="0.2">
      <c r="A956" t="s">
        <v>923</v>
      </c>
      <c r="B956" s="27">
        <v>6</v>
      </c>
      <c r="C956" t="s">
        <v>39</v>
      </c>
      <c r="L956" t="s">
        <v>928</v>
      </c>
    </row>
    <row r="957" spans="1:12" x14ac:dyDescent="0.2">
      <c r="A957" t="s">
        <v>923</v>
      </c>
      <c r="B957" s="27">
        <v>6</v>
      </c>
      <c r="C957" t="s">
        <v>105</v>
      </c>
      <c r="E957" t="s">
        <v>1205</v>
      </c>
      <c r="F957" t="s">
        <v>920</v>
      </c>
      <c r="G957" t="s">
        <v>927</v>
      </c>
      <c r="H957" t="s">
        <v>112</v>
      </c>
      <c r="L957" t="str">
        <f>_xlfn.TEXTJOIN("", TRUE, D957:J957)</f>
        <v>02_Slots/Gottheit/Goetter-mit-Epitheta/0320_Horus/epitheta/0001_wr_01.png</v>
      </c>
    </row>
    <row r="958" spans="1:12" x14ac:dyDescent="0.2">
      <c r="A958" t="s">
        <v>923</v>
      </c>
      <c r="B958" s="27">
        <v>6</v>
      </c>
      <c r="C958" t="s">
        <v>27</v>
      </c>
      <c r="L958" t="s">
        <v>929</v>
      </c>
    </row>
    <row r="960" spans="1:12" x14ac:dyDescent="0.2">
      <c r="A960" t="s">
        <v>60</v>
      </c>
      <c r="B960" s="27">
        <v>330</v>
      </c>
      <c r="C960" t="s">
        <v>39</v>
      </c>
      <c r="L960" t="s">
        <v>674</v>
      </c>
    </row>
    <row r="961" spans="1:12" x14ac:dyDescent="0.2">
      <c r="A961" t="s">
        <v>60</v>
      </c>
      <c r="B961" s="27">
        <v>330</v>
      </c>
      <c r="C961" t="s">
        <v>105</v>
      </c>
      <c r="E961" t="s">
        <v>1206</v>
      </c>
      <c r="G961" t="s">
        <v>940</v>
      </c>
      <c r="L961" t="str">
        <f>_xlfn.TEXTJOIN("", TRUE, D961:J961)</f>
        <v>02_Slots/Gottheit/Goetter-mit-Epitheta/0330_Harachte/0001_Hr-Axtj_01.png</v>
      </c>
    </row>
    <row r="962" spans="1:12" x14ac:dyDescent="0.2">
      <c r="A962" t="s">
        <v>60</v>
      </c>
      <c r="B962" s="27">
        <v>330</v>
      </c>
      <c r="C962" t="s">
        <v>105</v>
      </c>
      <c r="E962" t="s">
        <v>1206</v>
      </c>
      <c r="G962" t="s">
        <v>941</v>
      </c>
      <c r="L962" t="str">
        <f>_xlfn.TEXTJOIN("", TRUE, D962:J962)</f>
        <v>02_Slots/Gottheit/Goetter-mit-Epitheta/0330_Harachte/0010_Hr-Axtj_02.png</v>
      </c>
    </row>
    <row r="963" spans="1:12" x14ac:dyDescent="0.2">
      <c r="A963" t="s">
        <v>60</v>
      </c>
      <c r="B963" s="27">
        <v>330</v>
      </c>
      <c r="C963" t="s">
        <v>105</v>
      </c>
      <c r="E963" t="s">
        <v>1206</v>
      </c>
      <c r="G963" t="s">
        <v>942</v>
      </c>
      <c r="L963" t="str">
        <f>_xlfn.TEXTJOIN("", TRUE, D963:J963)</f>
        <v>02_Slots/Gottheit/Goetter-mit-Epitheta/0330_Harachte/0020_Hr-Axtj_03.png</v>
      </c>
    </row>
    <row r="964" spans="1:12" x14ac:dyDescent="0.2">
      <c r="A964" t="s">
        <v>60</v>
      </c>
      <c r="B964" s="27">
        <v>330</v>
      </c>
      <c r="C964" t="s">
        <v>106</v>
      </c>
      <c r="L964" t="str">
        <f>_xlfn.TEXTJOIN("", TRUE, D964:J964)</f>
        <v/>
      </c>
    </row>
    <row r="965" spans="1:12" x14ac:dyDescent="0.2">
      <c r="A965" t="s">
        <v>60</v>
      </c>
      <c r="B965" s="27">
        <v>330</v>
      </c>
      <c r="C965" t="s">
        <v>107</v>
      </c>
      <c r="L965" t="s">
        <v>156</v>
      </c>
    </row>
    <row r="966" spans="1:12" x14ac:dyDescent="0.2">
      <c r="A966" t="s">
        <v>60</v>
      </c>
      <c r="B966" s="27">
        <v>330</v>
      </c>
      <c r="C966" t="s">
        <v>108</v>
      </c>
    </row>
    <row r="969" spans="1:12" x14ac:dyDescent="0.2">
      <c r="A969" t="s">
        <v>60</v>
      </c>
      <c r="B969" s="27">
        <v>340</v>
      </c>
      <c r="C969" t="s">
        <v>39</v>
      </c>
      <c r="L969" t="s">
        <v>675</v>
      </c>
    </row>
    <row r="970" spans="1:12" x14ac:dyDescent="0.2">
      <c r="A970" t="s">
        <v>60</v>
      </c>
      <c r="B970" s="27">
        <v>340</v>
      </c>
      <c r="C970" t="s">
        <v>105</v>
      </c>
      <c r="E970" t="s">
        <v>1207</v>
      </c>
      <c r="G970" t="s">
        <v>943</v>
      </c>
      <c r="L970" t="str">
        <f>_xlfn.TEXTJOIN("", TRUE, D970:J970)</f>
        <v>02_Slots/Gottheit/Goetter-mit-Epitheta/0340_Heqet/0001_Hqt_01.png</v>
      </c>
    </row>
    <row r="971" spans="1:12" x14ac:dyDescent="0.2">
      <c r="A971" t="s">
        <v>60</v>
      </c>
      <c r="B971" s="27">
        <v>340</v>
      </c>
      <c r="C971" t="s">
        <v>105</v>
      </c>
      <c r="E971" t="s">
        <v>1207</v>
      </c>
      <c r="G971" t="s">
        <v>944</v>
      </c>
      <c r="I971" t="s">
        <v>1147</v>
      </c>
      <c r="J971" t="s">
        <v>1155</v>
      </c>
      <c r="K971" t="s">
        <v>1149</v>
      </c>
      <c r="L971" t="str">
        <f>_xlfn.TEXTJOIN("", TRUE, D971:K971)</f>
        <v>02_Slots/Gottheit/Goetter-mit-Epitheta/0340_Heqet/0010_Hqt_D.18_01.png &lt;sup&gt;(D.18)&lt;/sup&gt;</v>
      </c>
    </row>
    <row r="972" spans="1:12" x14ac:dyDescent="0.2">
      <c r="A972" t="s">
        <v>60</v>
      </c>
      <c r="B972" s="27">
        <v>340</v>
      </c>
      <c r="C972" t="s">
        <v>106</v>
      </c>
      <c r="E972" t="s">
        <v>1207</v>
      </c>
      <c r="F972" t="s">
        <v>110</v>
      </c>
      <c r="G972" t="s">
        <v>945</v>
      </c>
      <c r="L972" t="str">
        <f>_xlfn.TEXTJOIN("", TRUE, D972:J972)</f>
        <v>02_Slots/Gottheit/Goetter-mit-Epitheta/0340_Heqet/det/0001_Hqt_det_01.png</v>
      </c>
    </row>
    <row r="973" spans="1:12" x14ac:dyDescent="0.2">
      <c r="A973" t="s">
        <v>60</v>
      </c>
      <c r="B973" s="27">
        <v>340</v>
      </c>
      <c r="C973" t="s">
        <v>106</v>
      </c>
      <c r="E973" t="s">
        <v>1207</v>
      </c>
      <c r="F973" t="s">
        <v>110</v>
      </c>
      <c r="G973" t="s">
        <v>946</v>
      </c>
      <c r="L973" t="str">
        <f>_xlfn.TEXTJOIN("", TRUE, D973:J973)</f>
        <v>02_Slots/Gottheit/Goetter-mit-Epitheta/0340_Heqet/det/0010_Hqt_det_02.png</v>
      </c>
    </row>
    <row r="974" spans="1:12" x14ac:dyDescent="0.2">
      <c r="A974" t="s">
        <v>60</v>
      </c>
      <c r="B974" s="27">
        <v>340</v>
      </c>
      <c r="C974" t="s">
        <v>107</v>
      </c>
      <c r="L974" t="s">
        <v>157</v>
      </c>
    </row>
    <row r="975" spans="1:12" x14ac:dyDescent="0.2">
      <c r="A975" t="s">
        <v>60</v>
      </c>
      <c r="B975" s="27">
        <v>340</v>
      </c>
      <c r="C975" t="s">
        <v>108</v>
      </c>
    </row>
    <row r="978" spans="1:12" x14ac:dyDescent="0.2">
      <c r="A978" t="s">
        <v>60</v>
      </c>
      <c r="B978" s="27">
        <v>350</v>
      </c>
      <c r="C978" t="s">
        <v>39</v>
      </c>
      <c r="L978" t="s">
        <v>676</v>
      </c>
    </row>
    <row r="979" spans="1:12" x14ac:dyDescent="0.2">
      <c r="A979" t="s">
        <v>60</v>
      </c>
      <c r="B979" s="27">
        <v>350</v>
      </c>
      <c r="C979" t="s">
        <v>105</v>
      </c>
      <c r="E979" t="s">
        <v>1208</v>
      </c>
      <c r="G979" t="s">
        <v>947</v>
      </c>
      <c r="L979" t="str">
        <f t="shared" ref="L979:L986" si="127">_xlfn.TEXTJOIN("", TRUE, D979:J979)</f>
        <v>02_Slots/Gottheit/Goetter-mit-Epitheta/0350_Chnum/0001_Xnm.w_01.png</v>
      </c>
    </row>
    <row r="980" spans="1:12" x14ac:dyDescent="0.2">
      <c r="A980" t="s">
        <v>60</v>
      </c>
      <c r="B980" s="27">
        <v>350</v>
      </c>
      <c r="C980" t="s">
        <v>105</v>
      </c>
      <c r="E980" t="s">
        <v>1208</v>
      </c>
      <c r="G980" t="s">
        <v>948</v>
      </c>
      <c r="L980" t="str">
        <f t="shared" si="127"/>
        <v>02_Slots/Gottheit/Goetter-mit-Epitheta/0350_Chnum/0010_Xnm.w_02.png</v>
      </c>
    </row>
    <row r="981" spans="1:12" x14ac:dyDescent="0.2">
      <c r="A981" t="s">
        <v>60</v>
      </c>
      <c r="B981" s="27">
        <v>350</v>
      </c>
      <c r="C981" t="s">
        <v>105</v>
      </c>
      <c r="E981" t="s">
        <v>1208</v>
      </c>
      <c r="G981" t="s">
        <v>949</v>
      </c>
      <c r="L981" t="str">
        <f t="shared" si="127"/>
        <v>02_Slots/Gottheit/Goetter-mit-Epitheta/0350_Chnum/0020_Xnm.w_03.png</v>
      </c>
    </row>
    <row r="982" spans="1:12" x14ac:dyDescent="0.2">
      <c r="A982" t="s">
        <v>60</v>
      </c>
      <c r="B982" s="27">
        <v>350</v>
      </c>
      <c r="C982" t="s">
        <v>105</v>
      </c>
      <c r="E982" t="s">
        <v>1208</v>
      </c>
      <c r="G982" t="s">
        <v>950</v>
      </c>
      <c r="L982" t="str">
        <f t="shared" si="127"/>
        <v>02_Slots/Gottheit/Goetter-mit-Epitheta/0350_Chnum/0030_Xnm.w_04.png</v>
      </c>
    </row>
    <row r="983" spans="1:12" x14ac:dyDescent="0.2">
      <c r="A983" t="s">
        <v>60</v>
      </c>
      <c r="B983" s="27">
        <v>350</v>
      </c>
      <c r="C983" t="s">
        <v>105</v>
      </c>
      <c r="E983" t="s">
        <v>1208</v>
      </c>
      <c r="G983" t="s">
        <v>951</v>
      </c>
      <c r="I983" t="s">
        <v>1147</v>
      </c>
      <c r="J983" t="s">
        <v>1150</v>
      </c>
      <c r="K983" t="s">
        <v>1149</v>
      </c>
      <c r="L983" t="str">
        <f t="shared" ref="L983:L984" si="128">_xlfn.TEXTJOIN("", TRUE, D983:K983)</f>
        <v>02_Slots/Gottheit/Goetter-mit-Epitheta/0350_Chnum/0040_Xnm.w_GR_01.png &lt;sup&gt;(Gr.)&lt;/sup&gt;</v>
      </c>
    </row>
    <row r="984" spans="1:12" x14ac:dyDescent="0.2">
      <c r="A984" t="s">
        <v>60</v>
      </c>
      <c r="B984" s="27">
        <v>350</v>
      </c>
      <c r="C984" t="s">
        <v>105</v>
      </c>
      <c r="E984" t="s">
        <v>1208</v>
      </c>
      <c r="G984" t="s">
        <v>952</v>
      </c>
      <c r="I984" t="s">
        <v>1147</v>
      </c>
      <c r="J984" t="s">
        <v>1150</v>
      </c>
      <c r="K984" t="s">
        <v>1149</v>
      </c>
      <c r="L984" t="str">
        <f t="shared" si="128"/>
        <v>02_Slots/Gottheit/Goetter-mit-Epitheta/0350_Chnum/0050_Xnm.w_GR_02.png &lt;sup&gt;(Gr.)&lt;/sup&gt;</v>
      </c>
    </row>
    <row r="985" spans="1:12" x14ac:dyDescent="0.2">
      <c r="A985" t="s">
        <v>60</v>
      </c>
      <c r="B985" s="27">
        <v>350</v>
      </c>
      <c r="C985" t="s">
        <v>106</v>
      </c>
      <c r="E985" t="s">
        <v>1208</v>
      </c>
      <c r="F985" t="s">
        <v>110</v>
      </c>
      <c r="G985" t="s">
        <v>953</v>
      </c>
      <c r="L985" t="str">
        <f t="shared" si="127"/>
        <v>02_Slots/Gottheit/Goetter-mit-Epitheta/0350_Chnum/det/0001_Xnm.w_det_01.png</v>
      </c>
    </row>
    <row r="986" spans="1:12" x14ac:dyDescent="0.2">
      <c r="A986" t="s">
        <v>60</v>
      </c>
      <c r="B986" s="27">
        <v>350</v>
      </c>
      <c r="C986" t="s">
        <v>106</v>
      </c>
      <c r="E986" t="s">
        <v>1208</v>
      </c>
      <c r="F986" t="s">
        <v>110</v>
      </c>
      <c r="G986" t="s">
        <v>954</v>
      </c>
      <c r="L986" t="str">
        <f t="shared" si="127"/>
        <v>02_Slots/Gottheit/Goetter-mit-Epitheta/0350_Chnum/det/0010_Xnm.w_det_02.png</v>
      </c>
    </row>
    <row r="987" spans="1:12" x14ac:dyDescent="0.2">
      <c r="A987" t="s">
        <v>60</v>
      </c>
      <c r="B987" s="27">
        <v>350</v>
      </c>
      <c r="C987" t="s">
        <v>107</v>
      </c>
      <c r="L987" t="s">
        <v>158</v>
      </c>
    </row>
    <row r="988" spans="1:12" x14ac:dyDescent="0.2">
      <c r="A988" t="s">
        <v>60</v>
      </c>
      <c r="B988" s="27">
        <v>350</v>
      </c>
      <c r="C988" t="s">
        <v>108</v>
      </c>
    </row>
    <row r="991" spans="1:12" x14ac:dyDescent="0.2">
      <c r="A991" t="s">
        <v>60</v>
      </c>
      <c r="B991" s="27">
        <v>360</v>
      </c>
      <c r="C991" t="s">
        <v>39</v>
      </c>
      <c r="L991" t="s">
        <v>677</v>
      </c>
    </row>
    <row r="992" spans="1:12" x14ac:dyDescent="0.2">
      <c r="A992" t="s">
        <v>60</v>
      </c>
      <c r="B992" s="27">
        <v>360</v>
      </c>
      <c r="C992" t="s">
        <v>105</v>
      </c>
      <c r="E992" t="s">
        <v>1209</v>
      </c>
      <c r="G992" t="s">
        <v>955</v>
      </c>
      <c r="L992" t="str">
        <f t="shared" ref="L992:L993" si="129">_xlfn.TEXTJOIN("", TRUE, D992:K992)</f>
        <v>02_Slots/Gottheit/Goetter-mit-Epitheta/0360_Chons/0001_Xnsw_01.png</v>
      </c>
    </row>
    <row r="993" spans="1:12" x14ac:dyDescent="0.2">
      <c r="A993" t="s">
        <v>60</v>
      </c>
      <c r="B993" s="27">
        <v>360</v>
      </c>
      <c r="C993" t="s">
        <v>105</v>
      </c>
      <c r="E993" t="s">
        <v>1209</v>
      </c>
      <c r="G993" t="s">
        <v>956</v>
      </c>
      <c r="L993" t="str">
        <f t="shared" si="129"/>
        <v>02_Slots/Gottheit/Goetter-mit-Epitheta/0360_Chons/0010_Xnsw_02.png</v>
      </c>
    </row>
    <row r="994" spans="1:12" x14ac:dyDescent="0.2">
      <c r="A994" t="s">
        <v>60</v>
      </c>
      <c r="B994" s="27">
        <v>360</v>
      </c>
      <c r="C994" t="s">
        <v>105</v>
      </c>
      <c r="E994" t="s">
        <v>1209</v>
      </c>
      <c r="G994" t="s">
        <v>957</v>
      </c>
      <c r="I994" t="s">
        <v>1147</v>
      </c>
      <c r="J994" t="s">
        <v>1103</v>
      </c>
      <c r="K994" t="s">
        <v>1149</v>
      </c>
      <c r="L994" t="str">
        <f>_xlfn.TEXTJOIN("", TRUE, D994:K994)</f>
        <v>02_Slots/Gottheit/Goetter-mit-Epitheta/0360_Chons/0020_Xnsw_NR_01.png &lt;sup&gt;(NR)&lt;/sup&gt;</v>
      </c>
    </row>
    <row r="995" spans="1:12" x14ac:dyDescent="0.2">
      <c r="A995" t="s">
        <v>60</v>
      </c>
      <c r="B995" s="27">
        <v>360</v>
      </c>
      <c r="C995" t="s">
        <v>106</v>
      </c>
      <c r="L995" t="str">
        <f>_xlfn.TEXTJOIN("", TRUE, D995:J995)</f>
        <v/>
      </c>
    </row>
    <row r="996" spans="1:12" x14ac:dyDescent="0.2">
      <c r="A996" t="s">
        <v>60</v>
      </c>
      <c r="B996" s="27">
        <v>360</v>
      </c>
      <c r="C996" t="s">
        <v>107</v>
      </c>
      <c r="L996" t="s">
        <v>159</v>
      </c>
    </row>
    <row r="997" spans="1:12" x14ac:dyDescent="0.2">
      <c r="A997" t="s">
        <v>60</v>
      </c>
      <c r="B997" s="27">
        <v>360</v>
      </c>
      <c r="C997" t="s">
        <v>108</v>
      </c>
      <c r="L997" s="39" t="s">
        <v>1502</v>
      </c>
    </row>
    <row r="998" spans="1:12" x14ac:dyDescent="0.2">
      <c r="L998" s="39"/>
    </row>
    <row r="999" spans="1:12" x14ac:dyDescent="0.2">
      <c r="A999" t="s">
        <v>1503</v>
      </c>
      <c r="B999" s="27">
        <v>1</v>
      </c>
      <c r="C999" t="s">
        <v>39</v>
      </c>
      <c r="L999" s="39" t="s">
        <v>1507</v>
      </c>
    </row>
    <row r="1000" spans="1:12" x14ac:dyDescent="0.2">
      <c r="A1000" t="s">
        <v>1503</v>
      </c>
      <c r="B1000" s="27">
        <v>1</v>
      </c>
      <c r="C1000" t="s">
        <v>105</v>
      </c>
      <c r="E1000" t="s">
        <v>1209</v>
      </c>
      <c r="F1000" t="s">
        <v>1506</v>
      </c>
      <c r="G1000" t="s">
        <v>1504</v>
      </c>
      <c r="I1000" t="s">
        <v>1147</v>
      </c>
      <c r="J1000" t="s">
        <v>1103</v>
      </c>
      <c r="K1000" t="s">
        <v>1149</v>
      </c>
      <c r="L1000" t="str">
        <f t="shared" ref="L1000:L1001" si="130">_xlfn.TEXTJOIN("", TRUE, D1000:K1000)</f>
        <v>02_Slots/Gottheit/Goetter-mit-Epitheta/0360_Chons/epitheta/01-m-wAs.t/0001_m-WAs.t_NR_01.png &lt;sup&gt;(NR)&lt;/sup&gt;</v>
      </c>
    </row>
    <row r="1001" spans="1:12" x14ac:dyDescent="0.2">
      <c r="A1001" t="s">
        <v>1503</v>
      </c>
      <c r="B1001" s="27">
        <v>1</v>
      </c>
      <c r="C1001" t="s">
        <v>105</v>
      </c>
      <c r="E1001" t="s">
        <v>1209</v>
      </c>
      <c r="F1001" t="s">
        <v>1506</v>
      </c>
      <c r="G1001" t="s">
        <v>1505</v>
      </c>
      <c r="I1001" t="s">
        <v>1147</v>
      </c>
      <c r="J1001" t="s">
        <v>1103</v>
      </c>
      <c r="K1001" t="s">
        <v>1149</v>
      </c>
      <c r="L1001" t="str">
        <f t="shared" si="130"/>
        <v>02_Slots/Gottheit/Goetter-mit-Epitheta/0360_Chons/epitheta/01-m-wAs.t/0010_m-WAs.t_NR_02.png &lt;sup&gt;(NR)&lt;/sup&gt;</v>
      </c>
    </row>
    <row r="1002" spans="1:12" x14ac:dyDescent="0.2">
      <c r="A1002" t="s">
        <v>1503</v>
      </c>
      <c r="B1002" s="27">
        <v>1</v>
      </c>
      <c r="C1002" t="s">
        <v>27</v>
      </c>
      <c r="L1002" s="39" t="s">
        <v>1508</v>
      </c>
    </row>
    <row r="1003" spans="1:12" x14ac:dyDescent="0.2">
      <c r="L1003" s="39"/>
    </row>
    <row r="1004" spans="1:12" x14ac:dyDescent="0.2">
      <c r="A1004" t="s">
        <v>1503</v>
      </c>
      <c r="B1004" s="27">
        <v>2</v>
      </c>
      <c r="C1004" t="s">
        <v>39</v>
      </c>
      <c r="L1004" s="39" t="s">
        <v>1509</v>
      </c>
    </row>
    <row r="1005" spans="1:12" x14ac:dyDescent="0.2">
      <c r="A1005" t="s">
        <v>1503</v>
      </c>
      <c r="B1005" s="27">
        <v>2</v>
      </c>
      <c r="C1005" t="s">
        <v>105</v>
      </c>
      <c r="E1005" t="s">
        <v>1209</v>
      </c>
      <c r="F1005" t="s">
        <v>1512</v>
      </c>
      <c r="G1005" t="s">
        <v>1511</v>
      </c>
      <c r="I1005" t="s">
        <v>1147</v>
      </c>
      <c r="J1005" t="s">
        <v>1156</v>
      </c>
      <c r="K1005" t="s">
        <v>1149</v>
      </c>
      <c r="L1005" t="str">
        <f t="shared" ref="L1005" si="131">_xlfn.TEXTJOIN("", TRUE, D1005:K1005)</f>
        <v>02_Slots/Gottheit/Goetter-mit-Epitheta/0360_Chons/epitheta/02-pA-jrj-sxr.w-m-WAs.t/0001_pA-jrj-sxr.w-m-WAs.t_Sp_01.png &lt;sup&gt;(Sp.)&lt;/sup&gt;</v>
      </c>
    </row>
    <row r="1006" spans="1:12" x14ac:dyDescent="0.2">
      <c r="A1006" t="s">
        <v>1503</v>
      </c>
      <c r="B1006" s="27">
        <v>2</v>
      </c>
      <c r="C1006" t="s">
        <v>27</v>
      </c>
      <c r="L1006" s="39" t="s">
        <v>1510</v>
      </c>
    </row>
    <row r="1007" spans="1:12" x14ac:dyDescent="0.2">
      <c r="L1007" s="39"/>
    </row>
    <row r="1008" spans="1:12" x14ac:dyDescent="0.2">
      <c r="L1008" s="39"/>
    </row>
    <row r="1009" spans="1:12" x14ac:dyDescent="0.2">
      <c r="L1009" s="39"/>
    </row>
    <row r="1010" spans="1:12" x14ac:dyDescent="0.2">
      <c r="L1010" s="39"/>
    </row>
    <row r="1013" spans="1:12" x14ac:dyDescent="0.2">
      <c r="A1013" t="s">
        <v>60</v>
      </c>
      <c r="B1013" s="27">
        <v>370</v>
      </c>
      <c r="C1013" t="s">
        <v>39</v>
      </c>
      <c r="L1013" t="s">
        <v>678</v>
      </c>
    </row>
    <row r="1014" spans="1:12" x14ac:dyDescent="0.2">
      <c r="A1014" t="s">
        <v>60</v>
      </c>
      <c r="B1014" s="27">
        <v>370</v>
      </c>
      <c r="C1014" t="s">
        <v>105</v>
      </c>
      <c r="E1014" t="s">
        <v>1210</v>
      </c>
      <c r="G1014" t="s">
        <v>958</v>
      </c>
      <c r="L1014" t="str">
        <f>_xlfn.TEXTJOIN("", TRUE, D1014:J1014)</f>
        <v>02_Slots/Gottheit/Goetter-mit-Epitheta/0370_Sobek/0001_sbk_01.png</v>
      </c>
    </row>
    <row r="1015" spans="1:12" x14ac:dyDescent="0.2">
      <c r="A1015" t="s">
        <v>60</v>
      </c>
      <c r="B1015" s="27">
        <v>370</v>
      </c>
      <c r="C1015" t="s">
        <v>105</v>
      </c>
      <c r="E1015" t="s">
        <v>1210</v>
      </c>
      <c r="G1015" t="s">
        <v>959</v>
      </c>
      <c r="L1015" t="str">
        <f>_xlfn.TEXTJOIN("", TRUE, D1015:J1015)</f>
        <v>02_Slots/Gottheit/Goetter-mit-Epitheta/0370_Sobek/0010_sbk_02.png</v>
      </c>
    </row>
    <row r="1016" spans="1:12" x14ac:dyDescent="0.2">
      <c r="A1016" t="s">
        <v>60</v>
      </c>
      <c r="B1016" s="27">
        <v>370</v>
      </c>
      <c r="C1016" t="s">
        <v>105</v>
      </c>
      <c r="E1016" t="s">
        <v>1210</v>
      </c>
      <c r="G1016" t="s">
        <v>960</v>
      </c>
      <c r="L1016" t="str">
        <f>_xlfn.TEXTJOIN("", TRUE, D1016:J1016)</f>
        <v>02_Slots/Gottheit/Goetter-mit-Epitheta/0370_Sobek/0020_sbk_03.png</v>
      </c>
    </row>
    <row r="1017" spans="1:12" x14ac:dyDescent="0.2">
      <c r="A1017" t="s">
        <v>60</v>
      </c>
      <c r="B1017" s="27">
        <v>370</v>
      </c>
      <c r="C1017" t="s">
        <v>105</v>
      </c>
      <c r="E1017" t="s">
        <v>1210</v>
      </c>
      <c r="G1017" t="s">
        <v>961</v>
      </c>
      <c r="I1017" t="s">
        <v>1147</v>
      </c>
      <c r="J1017" t="s">
        <v>1103</v>
      </c>
      <c r="K1017" t="s">
        <v>1149</v>
      </c>
      <c r="L1017" t="str">
        <f>_xlfn.TEXTJOIN("", TRUE, D1017:K1017)</f>
        <v>02_Slots/Gottheit/Goetter-mit-Epitheta/0370_Sobek/0030_sbk_NR_01.png &lt;sup&gt;(NR)&lt;/sup&gt;</v>
      </c>
    </row>
    <row r="1018" spans="1:12" x14ac:dyDescent="0.2">
      <c r="A1018" t="s">
        <v>60</v>
      </c>
      <c r="B1018" s="27">
        <v>370</v>
      </c>
      <c r="C1018" t="s">
        <v>106</v>
      </c>
      <c r="E1018" t="s">
        <v>1210</v>
      </c>
      <c r="F1018" t="s">
        <v>110</v>
      </c>
      <c r="G1018" t="s">
        <v>962</v>
      </c>
      <c r="L1018" t="str">
        <f>_xlfn.TEXTJOIN("", TRUE, D1018:J1018)</f>
        <v>02_Slots/Gottheit/Goetter-mit-Epitheta/0370_Sobek/det/0001_sbk_det_01.png</v>
      </c>
    </row>
    <row r="1019" spans="1:12" x14ac:dyDescent="0.2">
      <c r="A1019" t="s">
        <v>60</v>
      </c>
      <c r="B1019" s="27">
        <v>370</v>
      </c>
      <c r="C1019" t="s">
        <v>107</v>
      </c>
      <c r="L1019" t="s">
        <v>160</v>
      </c>
    </row>
    <row r="1020" spans="1:12" x14ac:dyDescent="0.2">
      <c r="A1020" t="s">
        <v>60</v>
      </c>
      <c r="B1020" s="27">
        <v>370</v>
      </c>
      <c r="C1020" t="s">
        <v>108</v>
      </c>
    </row>
    <row r="1023" spans="1:12" x14ac:dyDescent="0.2">
      <c r="A1023" t="s">
        <v>60</v>
      </c>
      <c r="B1023" s="27">
        <v>380</v>
      </c>
      <c r="C1023" t="s">
        <v>39</v>
      </c>
      <c r="L1023" t="s">
        <v>679</v>
      </c>
    </row>
    <row r="1024" spans="1:12" x14ac:dyDescent="0.2">
      <c r="A1024" t="s">
        <v>60</v>
      </c>
      <c r="B1024" s="27">
        <v>380</v>
      </c>
      <c r="C1024" t="s">
        <v>105</v>
      </c>
      <c r="E1024" t="s">
        <v>1211</v>
      </c>
      <c r="G1024" t="s">
        <v>963</v>
      </c>
      <c r="L1024" t="str">
        <f t="shared" ref="L1024:L1032" si="132">_xlfn.TEXTJOIN("", TRUE, D1024:J1024)</f>
        <v>02_Slots/Gottheit/Goetter-mit-Epitheta/0380_Selkis/0001_srq.t_01.png</v>
      </c>
    </row>
    <row r="1025" spans="1:12" x14ac:dyDescent="0.2">
      <c r="A1025" t="s">
        <v>60</v>
      </c>
      <c r="B1025" s="27">
        <v>380</v>
      </c>
      <c r="C1025" t="s">
        <v>105</v>
      </c>
      <c r="E1025" t="s">
        <v>1211</v>
      </c>
      <c r="G1025" t="s">
        <v>964</v>
      </c>
      <c r="L1025" t="str">
        <f t="shared" si="132"/>
        <v>02_Slots/Gottheit/Goetter-mit-Epitheta/0380_Selkis/0010_srq.t_02.png</v>
      </c>
    </row>
    <row r="1026" spans="1:12" x14ac:dyDescent="0.2">
      <c r="A1026" t="s">
        <v>60</v>
      </c>
      <c r="B1026" s="27">
        <v>380</v>
      </c>
      <c r="C1026" t="s">
        <v>105</v>
      </c>
      <c r="E1026" t="s">
        <v>1211</v>
      </c>
      <c r="G1026" t="s">
        <v>965</v>
      </c>
      <c r="L1026" t="str">
        <f t="shared" si="132"/>
        <v>02_Slots/Gottheit/Goetter-mit-Epitheta/0380_Selkis/0020_srq.t_03.png</v>
      </c>
    </row>
    <row r="1027" spans="1:12" x14ac:dyDescent="0.2">
      <c r="A1027" t="s">
        <v>60</v>
      </c>
      <c r="B1027" s="27">
        <v>380</v>
      </c>
      <c r="C1027" t="s">
        <v>105</v>
      </c>
      <c r="E1027" t="s">
        <v>1211</v>
      </c>
      <c r="G1027" t="s">
        <v>966</v>
      </c>
      <c r="I1027" t="s">
        <v>1147</v>
      </c>
      <c r="J1027" t="s">
        <v>1164</v>
      </c>
      <c r="K1027" t="s">
        <v>1149</v>
      </c>
      <c r="L1027" t="str">
        <f t="shared" ref="L1027:L1030" si="133">_xlfn.TEXTJOIN("", TRUE, D1027:K1027)</f>
        <v>02_Slots/Gottheit/Goetter-mit-Epitheta/0380_Selkis/0030_srq.t_Pyr.-MR_01.png &lt;sup&gt;(Pyr.; NR)&lt;/sup&gt;</v>
      </c>
    </row>
    <row r="1028" spans="1:12" x14ac:dyDescent="0.2">
      <c r="A1028" t="s">
        <v>60</v>
      </c>
      <c r="B1028" s="27">
        <v>380</v>
      </c>
      <c r="C1028" t="s">
        <v>105</v>
      </c>
      <c r="E1028" t="s">
        <v>1211</v>
      </c>
      <c r="G1028" t="s">
        <v>967</v>
      </c>
      <c r="I1028" t="s">
        <v>1147</v>
      </c>
      <c r="J1028" t="s">
        <v>1150</v>
      </c>
      <c r="K1028" t="s">
        <v>1149</v>
      </c>
      <c r="L1028" t="str">
        <f t="shared" si="133"/>
        <v>02_Slots/Gottheit/Goetter-mit-Epitheta/0380_Selkis/0040_srq.t_GR_01.png &lt;sup&gt;(Gr.)&lt;/sup&gt;</v>
      </c>
    </row>
    <row r="1029" spans="1:12" x14ac:dyDescent="0.2">
      <c r="A1029" t="s">
        <v>60</v>
      </c>
      <c r="B1029" s="27">
        <v>380</v>
      </c>
      <c r="C1029" t="s">
        <v>105</v>
      </c>
      <c r="E1029" t="s">
        <v>1211</v>
      </c>
      <c r="G1029" t="s">
        <v>968</v>
      </c>
      <c r="I1029" t="s">
        <v>1147</v>
      </c>
      <c r="J1029" t="s">
        <v>1150</v>
      </c>
      <c r="K1029" t="s">
        <v>1149</v>
      </c>
      <c r="L1029" t="str">
        <f t="shared" si="133"/>
        <v>02_Slots/Gottheit/Goetter-mit-Epitheta/0380_Selkis/0050_srq.t_GR_02.png &lt;sup&gt;(Gr.)&lt;/sup&gt;</v>
      </c>
    </row>
    <row r="1030" spans="1:12" x14ac:dyDescent="0.2">
      <c r="A1030" t="s">
        <v>60</v>
      </c>
      <c r="B1030" s="27">
        <v>380</v>
      </c>
      <c r="C1030" t="s">
        <v>105</v>
      </c>
      <c r="E1030" t="s">
        <v>1211</v>
      </c>
      <c r="G1030" t="s">
        <v>969</v>
      </c>
      <c r="I1030" t="s">
        <v>1147</v>
      </c>
      <c r="J1030" t="s">
        <v>1150</v>
      </c>
      <c r="K1030" t="s">
        <v>1149</v>
      </c>
      <c r="L1030" t="str">
        <f t="shared" si="133"/>
        <v>02_Slots/Gottheit/Goetter-mit-Epitheta/0380_Selkis/0060_srq.t_GR_03.png &lt;sup&gt;(Gr.)&lt;/sup&gt;</v>
      </c>
    </row>
    <row r="1031" spans="1:12" x14ac:dyDescent="0.2">
      <c r="A1031" t="s">
        <v>60</v>
      </c>
      <c r="B1031" s="27">
        <v>380</v>
      </c>
      <c r="C1031" t="s">
        <v>106</v>
      </c>
      <c r="E1031" t="s">
        <v>1211</v>
      </c>
      <c r="F1031" t="s">
        <v>110</v>
      </c>
      <c r="G1031" t="s">
        <v>970</v>
      </c>
      <c r="L1031" t="str">
        <f t="shared" si="132"/>
        <v>02_Slots/Gottheit/Goetter-mit-Epitheta/0380_Selkis/det/0001_srq.t_det_01.png</v>
      </c>
    </row>
    <row r="1032" spans="1:12" x14ac:dyDescent="0.2">
      <c r="A1032" t="s">
        <v>60</v>
      </c>
      <c r="B1032" s="27">
        <v>380</v>
      </c>
      <c r="C1032" t="s">
        <v>106</v>
      </c>
      <c r="E1032" t="s">
        <v>1211</v>
      </c>
      <c r="F1032" t="s">
        <v>110</v>
      </c>
      <c r="G1032" t="s">
        <v>971</v>
      </c>
      <c r="L1032" t="str">
        <f t="shared" si="132"/>
        <v>02_Slots/Gottheit/Goetter-mit-Epitheta/0380_Selkis/det/0010_srq.t_det_02.png</v>
      </c>
    </row>
    <row r="1033" spans="1:12" x14ac:dyDescent="0.2">
      <c r="A1033" t="s">
        <v>60</v>
      </c>
      <c r="B1033" s="27">
        <v>380</v>
      </c>
      <c r="C1033" t="s">
        <v>107</v>
      </c>
      <c r="L1033" t="s">
        <v>161</v>
      </c>
    </row>
    <row r="1034" spans="1:12" x14ac:dyDescent="0.2">
      <c r="A1034" t="s">
        <v>60</v>
      </c>
      <c r="B1034" s="27">
        <v>380</v>
      </c>
      <c r="C1034" t="s">
        <v>108</v>
      </c>
    </row>
    <row r="1037" spans="1:12" x14ac:dyDescent="0.2">
      <c r="A1037" t="s">
        <v>60</v>
      </c>
      <c r="B1037" s="27">
        <v>390</v>
      </c>
      <c r="C1037" t="s">
        <v>39</v>
      </c>
      <c r="L1037" t="s">
        <v>680</v>
      </c>
    </row>
    <row r="1038" spans="1:12" x14ac:dyDescent="0.2">
      <c r="A1038" t="s">
        <v>60</v>
      </c>
      <c r="B1038" s="27">
        <v>390</v>
      </c>
      <c r="C1038" t="s">
        <v>105</v>
      </c>
      <c r="E1038" t="s">
        <v>1212</v>
      </c>
      <c r="G1038" t="s">
        <v>972</v>
      </c>
      <c r="L1038" t="str">
        <f t="shared" ref="L1038:L1044" si="134">_xlfn.TEXTJOIN("", TRUE, D1038:J1038)</f>
        <v>02_Slots/Gottheit/Goetter-mit-Epitheta/0390_Sachmet/0001_sxm.t_01.png</v>
      </c>
    </row>
    <row r="1039" spans="1:12" x14ac:dyDescent="0.2">
      <c r="A1039" t="s">
        <v>60</v>
      </c>
      <c r="B1039" s="27">
        <v>390</v>
      </c>
      <c r="C1039" t="s">
        <v>105</v>
      </c>
      <c r="E1039" t="s">
        <v>1212</v>
      </c>
      <c r="G1039" t="s">
        <v>973</v>
      </c>
      <c r="I1039" t="s">
        <v>1147</v>
      </c>
      <c r="J1039" t="s">
        <v>1148</v>
      </c>
      <c r="K1039" t="s">
        <v>1149</v>
      </c>
      <c r="L1039" t="str">
        <f t="shared" ref="L1039:L1043" si="135">_xlfn.TEXTJOIN("", TRUE, D1039:K1039)</f>
        <v>02_Slots/Gottheit/Goetter-mit-Epitheta/0390_Sachmet/0010_sxm.t_AR_01.png &lt;sup&gt;(AR)&lt;/sup&gt;</v>
      </c>
    </row>
    <row r="1040" spans="1:12" x14ac:dyDescent="0.2">
      <c r="A1040" t="s">
        <v>60</v>
      </c>
      <c r="B1040" s="27">
        <v>390</v>
      </c>
      <c r="C1040" t="s">
        <v>105</v>
      </c>
      <c r="E1040" t="s">
        <v>1212</v>
      </c>
      <c r="G1040" t="s">
        <v>974</v>
      </c>
      <c r="I1040" t="s">
        <v>1147</v>
      </c>
      <c r="J1040" t="s">
        <v>1148</v>
      </c>
      <c r="K1040" t="s">
        <v>1149</v>
      </c>
      <c r="L1040" t="str">
        <f t="shared" si="135"/>
        <v>02_Slots/Gottheit/Goetter-mit-Epitheta/0390_Sachmet/0020_sxm.t_AR_02.png &lt;sup&gt;(AR)&lt;/sup&gt;</v>
      </c>
    </row>
    <row r="1041" spans="1:12" x14ac:dyDescent="0.2">
      <c r="A1041" t="s">
        <v>60</v>
      </c>
      <c r="B1041" s="27">
        <v>390</v>
      </c>
      <c r="C1041" t="s">
        <v>105</v>
      </c>
      <c r="E1041" t="s">
        <v>1212</v>
      </c>
      <c r="G1041" t="s">
        <v>975</v>
      </c>
      <c r="I1041" t="s">
        <v>1147</v>
      </c>
      <c r="J1041" t="s">
        <v>1103</v>
      </c>
      <c r="K1041" t="s">
        <v>1149</v>
      </c>
      <c r="L1041" t="str">
        <f t="shared" si="135"/>
        <v>02_Slots/Gottheit/Goetter-mit-Epitheta/0390_Sachmet/0030_sxm.t_NR_01.png &lt;sup&gt;(NR)&lt;/sup&gt;</v>
      </c>
    </row>
    <row r="1042" spans="1:12" x14ac:dyDescent="0.2">
      <c r="A1042" t="s">
        <v>60</v>
      </c>
      <c r="B1042" s="27">
        <v>390</v>
      </c>
      <c r="C1042" t="s">
        <v>105</v>
      </c>
      <c r="E1042" t="s">
        <v>1212</v>
      </c>
      <c r="G1042" t="s">
        <v>976</v>
      </c>
      <c r="I1042" t="s">
        <v>1147</v>
      </c>
      <c r="J1042" t="s">
        <v>1150</v>
      </c>
      <c r="K1042" t="s">
        <v>1149</v>
      </c>
      <c r="L1042" t="str">
        <f t="shared" si="135"/>
        <v>02_Slots/Gottheit/Goetter-mit-Epitheta/0390_Sachmet/0040_sxm.t_GR_01.png &lt;sup&gt;(Gr.)&lt;/sup&gt;</v>
      </c>
    </row>
    <row r="1043" spans="1:12" x14ac:dyDescent="0.2">
      <c r="A1043" t="s">
        <v>60</v>
      </c>
      <c r="B1043" s="27">
        <v>390</v>
      </c>
      <c r="C1043" t="s">
        <v>105</v>
      </c>
      <c r="E1043" t="s">
        <v>1212</v>
      </c>
      <c r="G1043" t="s">
        <v>977</v>
      </c>
      <c r="I1043" t="s">
        <v>1147</v>
      </c>
      <c r="J1043" t="s">
        <v>1150</v>
      </c>
      <c r="K1043" t="s">
        <v>1149</v>
      </c>
      <c r="L1043" t="str">
        <f t="shared" si="135"/>
        <v>02_Slots/Gottheit/Goetter-mit-Epitheta/0390_Sachmet/0050_sxm.t_GR_02.png &lt;sup&gt;(Gr.)&lt;/sup&gt;</v>
      </c>
    </row>
    <row r="1044" spans="1:12" x14ac:dyDescent="0.2">
      <c r="A1044" t="s">
        <v>60</v>
      </c>
      <c r="B1044" s="27">
        <v>390</v>
      </c>
      <c r="C1044" t="s">
        <v>106</v>
      </c>
      <c r="L1044" t="str">
        <f t="shared" si="134"/>
        <v/>
      </c>
    </row>
    <row r="1045" spans="1:12" x14ac:dyDescent="0.2">
      <c r="A1045" t="s">
        <v>60</v>
      </c>
      <c r="B1045" s="27">
        <v>390</v>
      </c>
      <c r="C1045" t="s">
        <v>107</v>
      </c>
      <c r="L1045" t="s">
        <v>162</v>
      </c>
    </row>
    <row r="1046" spans="1:12" x14ac:dyDescent="0.2">
      <c r="A1046" t="s">
        <v>60</v>
      </c>
      <c r="B1046" s="27">
        <v>390</v>
      </c>
      <c r="C1046" t="s">
        <v>108</v>
      </c>
    </row>
    <row r="1049" spans="1:12" x14ac:dyDescent="0.2">
      <c r="A1049" t="s">
        <v>60</v>
      </c>
      <c r="B1049" s="27">
        <v>400</v>
      </c>
      <c r="C1049" t="s">
        <v>39</v>
      </c>
      <c r="L1049" t="s">
        <v>681</v>
      </c>
    </row>
    <row r="1050" spans="1:12" x14ac:dyDescent="0.2">
      <c r="A1050" t="s">
        <v>60</v>
      </c>
      <c r="B1050" s="27">
        <v>400</v>
      </c>
      <c r="C1050" t="s">
        <v>105</v>
      </c>
      <c r="E1050" t="s">
        <v>1213</v>
      </c>
      <c r="G1050" t="s">
        <v>978</v>
      </c>
      <c r="L1050" t="str">
        <f>_xlfn.TEXTJOIN("", TRUE, D1050:J1050)</f>
        <v>02_Slots/Gottheit/Goetter-mit-Epitheta/0400_Sokar/0001_skr_01.png</v>
      </c>
    </row>
    <row r="1051" spans="1:12" x14ac:dyDescent="0.2">
      <c r="A1051" t="s">
        <v>60</v>
      </c>
      <c r="B1051" s="27">
        <v>400</v>
      </c>
      <c r="C1051" t="s">
        <v>106</v>
      </c>
      <c r="E1051" t="s">
        <v>1213</v>
      </c>
      <c r="F1051" t="s">
        <v>110</v>
      </c>
      <c r="G1051" t="s">
        <v>979</v>
      </c>
      <c r="L1051" t="str">
        <f>_xlfn.TEXTJOIN("", TRUE, D1051:J1051)</f>
        <v>02_Slots/Gottheit/Goetter-mit-Epitheta/0400_Sokar/det/0001_skr_det_01.png</v>
      </c>
    </row>
    <row r="1052" spans="1:12" x14ac:dyDescent="0.2">
      <c r="A1052" t="s">
        <v>60</v>
      </c>
      <c r="B1052" s="27">
        <v>400</v>
      </c>
      <c r="C1052" t="s">
        <v>107</v>
      </c>
      <c r="L1052" t="s">
        <v>163</v>
      </c>
    </row>
    <row r="1053" spans="1:12" x14ac:dyDescent="0.2">
      <c r="A1053" t="s">
        <v>60</v>
      </c>
      <c r="B1053" s="27">
        <v>400</v>
      </c>
      <c r="C1053" t="s">
        <v>108</v>
      </c>
    </row>
    <row r="1056" spans="1:12" x14ac:dyDescent="0.2">
      <c r="A1056" t="s">
        <v>60</v>
      </c>
      <c r="B1056" s="27">
        <v>410</v>
      </c>
      <c r="C1056" t="s">
        <v>39</v>
      </c>
      <c r="L1056" t="s">
        <v>682</v>
      </c>
    </row>
    <row r="1057" spans="1:12" x14ac:dyDescent="0.2">
      <c r="A1057" t="s">
        <v>60</v>
      </c>
      <c r="B1057" s="27">
        <v>410</v>
      </c>
      <c r="C1057" t="s">
        <v>105</v>
      </c>
      <c r="E1057" t="s">
        <v>1214</v>
      </c>
      <c r="G1057" t="s">
        <v>996</v>
      </c>
      <c r="L1057" t="str">
        <f t="shared" ref="L1057:L1070" si="136">_xlfn.TEXTJOIN("", TRUE, D1057:J1057)</f>
        <v>02_Slots/Gottheit/Goetter-mit-Epitheta/0410_Seth/0001_stX_01.png</v>
      </c>
    </row>
    <row r="1058" spans="1:12" x14ac:dyDescent="0.2">
      <c r="A1058" t="s">
        <v>60</v>
      </c>
      <c r="B1058" s="27">
        <v>410</v>
      </c>
      <c r="C1058" t="s">
        <v>105</v>
      </c>
      <c r="E1058" t="s">
        <v>1214</v>
      </c>
      <c r="G1058" t="s">
        <v>997</v>
      </c>
      <c r="I1058" t="s">
        <v>1147</v>
      </c>
      <c r="J1058" t="s">
        <v>1148</v>
      </c>
      <c r="K1058" t="s">
        <v>1149</v>
      </c>
      <c r="L1058" t="str">
        <f t="shared" ref="L1058:L1068" si="137">_xlfn.TEXTJOIN("", TRUE, D1058:K1058)</f>
        <v>02_Slots/Gottheit/Goetter-mit-Epitheta/0410_Seth/0010_stX_AR_01.png &lt;sup&gt;(AR)&lt;/sup&gt;</v>
      </c>
    </row>
    <row r="1059" spans="1:12" x14ac:dyDescent="0.2">
      <c r="A1059" t="s">
        <v>60</v>
      </c>
      <c r="B1059" s="27">
        <v>410</v>
      </c>
      <c r="C1059" t="s">
        <v>105</v>
      </c>
      <c r="E1059" t="s">
        <v>1214</v>
      </c>
      <c r="G1059" t="s">
        <v>998</v>
      </c>
      <c r="I1059" t="s">
        <v>1147</v>
      </c>
      <c r="J1059" t="s">
        <v>1151</v>
      </c>
      <c r="K1059" t="s">
        <v>1149</v>
      </c>
      <c r="L1059" t="str">
        <f t="shared" si="137"/>
        <v>02_Slots/Gottheit/Goetter-mit-Epitheta/0410_Seth/0020_stX_MR_01.png &lt;sup&gt;(MR)&lt;/sup&gt;</v>
      </c>
    </row>
    <row r="1060" spans="1:12" x14ac:dyDescent="0.2">
      <c r="A1060" t="s">
        <v>60</v>
      </c>
      <c r="B1060" s="27">
        <v>410</v>
      </c>
      <c r="C1060" t="s">
        <v>105</v>
      </c>
      <c r="E1060" t="s">
        <v>1214</v>
      </c>
      <c r="G1060" t="s">
        <v>999</v>
      </c>
      <c r="I1060" t="s">
        <v>1147</v>
      </c>
      <c r="J1060" t="s">
        <v>1165</v>
      </c>
      <c r="K1060" t="s">
        <v>1149</v>
      </c>
      <c r="L1060" t="str">
        <f t="shared" si="137"/>
        <v>02_Slots/Gottheit/Goetter-mit-Epitheta/0410_Seth/0030_stX_MR-SP_01.png &lt;sup&gt;(MR; Sp.)&lt;/sup&gt;</v>
      </c>
    </row>
    <row r="1061" spans="1:12" x14ac:dyDescent="0.2">
      <c r="A1061" t="s">
        <v>60</v>
      </c>
      <c r="B1061" s="27">
        <v>410</v>
      </c>
      <c r="C1061" t="s">
        <v>105</v>
      </c>
      <c r="E1061" t="s">
        <v>1214</v>
      </c>
      <c r="G1061" t="s">
        <v>1000</v>
      </c>
      <c r="I1061" t="s">
        <v>1147</v>
      </c>
      <c r="J1061" t="s">
        <v>1103</v>
      </c>
      <c r="K1061" t="s">
        <v>1149</v>
      </c>
      <c r="L1061" t="str">
        <f t="shared" si="137"/>
        <v>02_Slots/Gottheit/Goetter-mit-Epitheta/0410_Seth/0040_stX_NR_01.png &lt;sup&gt;(NR)&lt;/sup&gt;</v>
      </c>
    </row>
    <row r="1062" spans="1:12" x14ac:dyDescent="0.2">
      <c r="A1062" t="s">
        <v>60</v>
      </c>
      <c r="B1062" s="27">
        <v>410</v>
      </c>
      <c r="C1062" t="s">
        <v>105</v>
      </c>
      <c r="E1062" t="s">
        <v>1214</v>
      </c>
      <c r="G1062" t="s">
        <v>1001</v>
      </c>
      <c r="I1062" t="s">
        <v>1147</v>
      </c>
      <c r="J1062" t="s">
        <v>1155</v>
      </c>
      <c r="K1062" t="s">
        <v>1149</v>
      </c>
      <c r="L1062" t="str">
        <f t="shared" si="137"/>
        <v>02_Slots/Gottheit/Goetter-mit-Epitheta/0410_Seth/0050_stX_D.18_01.png &lt;sup&gt;(D.18)&lt;/sup&gt;</v>
      </c>
    </row>
    <row r="1063" spans="1:12" x14ac:dyDescent="0.2">
      <c r="A1063" t="s">
        <v>60</v>
      </c>
      <c r="B1063" s="27">
        <v>410</v>
      </c>
      <c r="C1063" t="s">
        <v>105</v>
      </c>
      <c r="E1063" t="s">
        <v>1214</v>
      </c>
      <c r="G1063" t="s">
        <v>1002</v>
      </c>
      <c r="I1063" t="s">
        <v>1147</v>
      </c>
      <c r="J1063" t="s">
        <v>1155</v>
      </c>
      <c r="K1063" t="s">
        <v>1149</v>
      </c>
      <c r="L1063" t="str">
        <f t="shared" si="137"/>
        <v>02_Slots/Gottheit/Goetter-mit-Epitheta/0410_Seth/0060_stX_D.18_02.png &lt;sup&gt;(D.18)&lt;/sup&gt;</v>
      </c>
    </row>
    <row r="1064" spans="1:12" x14ac:dyDescent="0.2">
      <c r="A1064" t="s">
        <v>60</v>
      </c>
      <c r="B1064" s="27">
        <v>410</v>
      </c>
      <c r="C1064" t="s">
        <v>105</v>
      </c>
      <c r="E1064" t="s">
        <v>1214</v>
      </c>
      <c r="G1064" t="s">
        <v>1003</v>
      </c>
      <c r="I1064" t="s">
        <v>1147</v>
      </c>
      <c r="J1064" t="s">
        <v>1155</v>
      </c>
      <c r="K1064" t="s">
        <v>1149</v>
      </c>
      <c r="L1064" t="str">
        <f t="shared" si="137"/>
        <v>02_Slots/Gottheit/Goetter-mit-Epitheta/0410_Seth/0070_stX_D.18_03.png &lt;sup&gt;(D.18)&lt;/sup&gt;</v>
      </c>
    </row>
    <row r="1065" spans="1:12" x14ac:dyDescent="0.2">
      <c r="A1065" t="s">
        <v>60</v>
      </c>
      <c r="B1065" s="27">
        <v>410</v>
      </c>
      <c r="C1065" t="s">
        <v>105</v>
      </c>
      <c r="E1065" t="s">
        <v>1214</v>
      </c>
      <c r="G1065" t="s">
        <v>1004</v>
      </c>
      <c r="I1065" t="s">
        <v>1147</v>
      </c>
      <c r="J1065" t="s">
        <v>1160</v>
      </c>
      <c r="K1065" t="s">
        <v>1149</v>
      </c>
      <c r="L1065" t="str">
        <f t="shared" si="137"/>
        <v>02_Slots/Gottheit/Goetter-mit-Epitheta/0410_Seth/0080_stX_D.19_01.png &lt;sup&gt;(D.19)&lt;/sup&gt;</v>
      </c>
    </row>
    <row r="1066" spans="1:12" x14ac:dyDescent="0.2">
      <c r="A1066" t="s">
        <v>60</v>
      </c>
      <c r="B1066" s="27">
        <v>410</v>
      </c>
      <c r="C1066" t="s">
        <v>105</v>
      </c>
      <c r="E1066" t="s">
        <v>1214</v>
      </c>
      <c r="G1066" t="s">
        <v>1005</v>
      </c>
      <c r="I1066" t="s">
        <v>1147</v>
      </c>
      <c r="J1066" t="s">
        <v>1160</v>
      </c>
      <c r="K1066" t="s">
        <v>1149</v>
      </c>
      <c r="L1066" t="str">
        <f t="shared" si="137"/>
        <v>02_Slots/Gottheit/Goetter-mit-Epitheta/0410_Seth/0090_stX_D.19_02.png &lt;sup&gt;(D.19)&lt;/sup&gt;</v>
      </c>
    </row>
    <row r="1067" spans="1:12" x14ac:dyDescent="0.2">
      <c r="A1067" t="s">
        <v>60</v>
      </c>
      <c r="B1067" s="27">
        <v>410</v>
      </c>
      <c r="C1067" t="s">
        <v>105</v>
      </c>
      <c r="E1067" t="s">
        <v>1214</v>
      </c>
      <c r="G1067" t="s">
        <v>1006</v>
      </c>
      <c r="I1067" t="s">
        <v>1147</v>
      </c>
      <c r="J1067" t="s">
        <v>1150</v>
      </c>
      <c r="K1067" t="s">
        <v>1149</v>
      </c>
      <c r="L1067" t="str">
        <f t="shared" si="137"/>
        <v>02_Slots/Gottheit/Goetter-mit-Epitheta/0410_Seth/0100_stX_GR_01.png &lt;sup&gt;(Gr.)&lt;/sup&gt;</v>
      </c>
    </row>
    <row r="1068" spans="1:12" x14ac:dyDescent="0.2">
      <c r="A1068" t="s">
        <v>60</v>
      </c>
      <c r="B1068" s="27">
        <v>410</v>
      </c>
      <c r="C1068" t="s">
        <v>105</v>
      </c>
      <c r="E1068" t="s">
        <v>1214</v>
      </c>
      <c r="G1068" t="s">
        <v>995</v>
      </c>
      <c r="I1068" t="s">
        <v>1147</v>
      </c>
      <c r="J1068" t="s">
        <v>1150</v>
      </c>
      <c r="K1068" t="s">
        <v>1149</v>
      </c>
      <c r="L1068" t="str">
        <f t="shared" si="137"/>
        <v>02_Slots/Gottheit/Goetter-mit-Epitheta/0410_Seth/0110_stX_GR_02.png &lt;sup&gt;(Gr.)&lt;/sup&gt;</v>
      </c>
    </row>
    <row r="1069" spans="1:12" x14ac:dyDescent="0.2">
      <c r="A1069" t="s">
        <v>60</v>
      </c>
      <c r="B1069" s="27">
        <v>410</v>
      </c>
      <c r="C1069" t="s">
        <v>106</v>
      </c>
      <c r="E1069" t="s">
        <v>1214</v>
      </c>
      <c r="F1069" t="s">
        <v>110</v>
      </c>
      <c r="G1069" t="s">
        <v>1007</v>
      </c>
      <c r="L1069" t="str">
        <f t="shared" si="136"/>
        <v>02_Slots/Gottheit/Goetter-mit-Epitheta/0410_Seth/det/0001_stX_det_01.png</v>
      </c>
    </row>
    <row r="1070" spans="1:12" x14ac:dyDescent="0.2">
      <c r="A1070" t="s">
        <v>60</v>
      </c>
      <c r="B1070" s="27">
        <v>410</v>
      </c>
      <c r="C1070" t="s">
        <v>106</v>
      </c>
      <c r="E1070" t="s">
        <v>1214</v>
      </c>
      <c r="F1070" t="s">
        <v>110</v>
      </c>
      <c r="G1070" t="s">
        <v>1008</v>
      </c>
      <c r="L1070" t="str">
        <f t="shared" si="136"/>
        <v>02_Slots/Gottheit/Goetter-mit-Epitheta/0410_Seth/det/0010_stX_det_02.png</v>
      </c>
    </row>
    <row r="1071" spans="1:12" x14ac:dyDescent="0.2">
      <c r="A1071" t="s">
        <v>60</v>
      </c>
      <c r="B1071" s="27">
        <v>410</v>
      </c>
      <c r="C1071" t="s">
        <v>106</v>
      </c>
      <c r="E1071" t="s">
        <v>1214</v>
      </c>
      <c r="F1071" t="s">
        <v>110</v>
      </c>
      <c r="G1071" t="s">
        <v>1009</v>
      </c>
      <c r="I1071" t="s">
        <v>1147</v>
      </c>
      <c r="J1071" t="s">
        <v>1151</v>
      </c>
      <c r="K1071" t="s">
        <v>1149</v>
      </c>
      <c r="L1071" t="str">
        <f>_xlfn.TEXTJOIN("", TRUE, D1071:K1071)</f>
        <v>02_Slots/Gottheit/Goetter-mit-Epitheta/0410_Seth/det/0020_stX_det_MR_01.png &lt;sup&gt;(MR)&lt;/sup&gt;</v>
      </c>
    </row>
    <row r="1072" spans="1:12" x14ac:dyDescent="0.2">
      <c r="A1072" t="s">
        <v>60</v>
      </c>
      <c r="B1072" s="27">
        <v>410</v>
      </c>
      <c r="C1072" t="s">
        <v>107</v>
      </c>
      <c r="L1072" t="s">
        <v>165</v>
      </c>
    </row>
    <row r="1073" spans="1:12" x14ac:dyDescent="0.2">
      <c r="A1073" t="s">
        <v>60</v>
      </c>
      <c r="B1073" s="27">
        <v>410</v>
      </c>
      <c r="C1073" t="s">
        <v>108</v>
      </c>
    </row>
    <row r="1076" spans="1:12" x14ac:dyDescent="0.2">
      <c r="A1076" t="s">
        <v>60</v>
      </c>
      <c r="B1076" s="27">
        <v>420</v>
      </c>
      <c r="C1076" t="s">
        <v>39</v>
      </c>
      <c r="L1076" t="s">
        <v>683</v>
      </c>
    </row>
    <row r="1077" spans="1:12" x14ac:dyDescent="0.2">
      <c r="A1077" t="s">
        <v>60</v>
      </c>
      <c r="B1077" s="27">
        <v>420</v>
      </c>
      <c r="C1077" t="s">
        <v>105</v>
      </c>
      <c r="E1077" t="s">
        <v>1215</v>
      </c>
      <c r="G1077" t="s">
        <v>1010</v>
      </c>
      <c r="L1077" t="str">
        <f t="shared" ref="L1077:L1082" si="138">_xlfn.TEXTJOIN("", TRUE, D1077:J1077)</f>
        <v>02_Slots/Gottheit/Goetter-mit-Epitheta/0420_Schu/0001_Sw_01.png</v>
      </c>
    </row>
    <row r="1078" spans="1:12" x14ac:dyDescent="0.2">
      <c r="A1078" t="s">
        <v>60</v>
      </c>
      <c r="B1078" s="27">
        <v>420</v>
      </c>
      <c r="C1078" t="s">
        <v>105</v>
      </c>
      <c r="E1078" t="s">
        <v>1215</v>
      </c>
      <c r="G1078" t="s">
        <v>1011</v>
      </c>
      <c r="I1078" t="s">
        <v>1147</v>
      </c>
      <c r="J1078" t="s">
        <v>1148</v>
      </c>
      <c r="K1078" t="s">
        <v>1149</v>
      </c>
      <c r="L1078" t="str">
        <f t="shared" ref="L1078:L1081" si="139">_xlfn.TEXTJOIN("", TRUE, D1078:K1078)</f>
        <v>02_Slots/Gottheit/Goetter-mit-Epitheta/0420_Schu/0010_Sw_AR_01.png &lt;sup&gt;(AR)&lt;/sup&gt;</v>
      </c>
    </row>
    <row r="1079" spans="1:12" x14ac:dyDescent="0.2">
      <c r="A1079" t="s">
        <v>60</v>
      </c>
      <c r="B1079" s="27">
        <v>420</v>
      </c>
      <c r="C1079" t="s">
        <v>105</v>
      </c>
      <c r="E1079" t="s">
        <v>1215</v>
      </c>
      <c r="G1079" t="s">
        <v>1012</v>
      </c>
      <c r="I1079" t="s">
        <v>1147</v>
      </c>
      <c r="J1079" t="s">
        <v>1151</v>
      </c>
      <c r="K1079" t="s">
        <v>1149</v>
      </c>
      <c r="L1079" t="str">
        <f t="shared" si="139"/>
        <v>02_Slots/Gottheit/Goetter-mit-Epitheta/0420_Schu/0020_Sw_MR_01.png &lt;sup&gt;(MR)&lt;/sup&gt;</v>
      </c>
    </row>
    <row r="1080" spans="1:12" x14ac:dyDescent="0.2">
      <c r="A1080" t="s">
        <v>60</v>
      </c>
      <c r="B1080" s="27">
        <v>420</v>
      </c>
      <c r="C1080" t="s">
        <v>105</v>
      </c>
      <c r="E1080" t="s">
        <v>1215</v>
      </c>
      <c r="G1080" t="s">
        <v>1013</v>
      </c>
      <c r="I1080" t="s">
        <v>1147</v>
      </c>
      <c r="J1080" t="s">
        <v>1103</v>
      </c>
      <c r="K1080" t="s">
        <v>1149</v>
      </c>
      <c r="L1080" t="str">
        <f t="shared" si="139"/>
        <v>02_Slots/Gottheit/Goetter-mit-Epitheta/0420_Schu/0030_Sw_NR_01.png &lt;sup&gt;(NR)&lt;/sup&gt;</v>
      </c>
    </row>
    <row r="1081" spans="1:12" x14ac:dyDescent="0.2">
      <c r="A1081" t="s">
        <v>60</v>
      </c>
      <c r="B1081" s="27">
        <v>420</v>
      </c>
      <c r="C1081" t="s">
        <v>105</v>
      </c>
      <c r="E1081" t="s">
        <v>1215</v>
      </c>
      <c r="G1081" t="s">
        <v>1014</v>
      </c>
      <c r="I1081" t="s">
        <v>1147</v>
      </c>
      <c r="J1081" t="s">
        <v>1150</v>
      </c>
      <c r="K1081" t="s">
        <v>1149</v>
      </c>
      <c r="L1081" t="str">
        <f t="shared" si="139"/>
        <v>02_Slots/Gottheit/Goetter-mit-Epitheta/0420_Schu/0040_Sw_GR_01.png &lt;sup&gt;(Gr.)&lt;/sup&gt;</v>
      </c>
    </row>
    <row r="1082" spans="1:12" x14ac:dyDescent="0.2">
      <c r="A1082" t="s">
        <v>60</v>
      </c>
      <c r="B1082" s="27">
        <v>420</v>
      </c>
      <c r="C1082" t="s">
        <v>106</v>
      </c>
      <c r="L1082" t="str">
        <f t="shared" si="138"/>
        <v/>
      </c>
    </row>
    <row r="1083" spans="1:12" x14ac:dyDescent="0.2">
      <c r="A1083" t="s">
        <v>60</v>
      </c>
      <c r="B1083" s="27">
        <v>420</v>
      </c>
      <c r="C1083" t="s">
        <v>107</v>
      </c>
      <c r="L1083" t="s">
        <v>166</v>
      </c>
    </row>
    <row r="1084" spans="1:12" x14ac:dyDescent="0.2">
      <c r="A1084" t="s">
        <v>60</v>
      </c>
      <c r="B1084" s="27">
        <v>420</v>
      </c>
      <c r="C1084" t="s">
        <v>108</v>
      </c>
    </row>
    <row r="1087" spans="1:12" x14ac:dyDescent="0.2">
      <c r="A1087" t="s">
        <v>60</v>
      </c>
      <c r="B1087" s="27">
        <v>430</v>
      </c>
      <c r="C1087" t="s">
        <v>39</v>
      </c>
      <c r="L1087" t="s">
        <v>684</v>
      </c>
    </row>
    <row r="1088" spans="1:12" x14ac:dyDescent="0.2">
      <c r="A1088" t="s">
        <v>60</v>
      </c>
      <c r="B1088" s="27">
        <v>430</v>
      </c>
      <c r="C1088" t="s">
        <v>105</v>
      </c>
      <c r="E1088" t="s">
        <v>1216</v>
      </c>
      <c r="G1088" t="s">
        <v>1016</v>
      </c>
      <c r="L1088" t="str">
        <f t="shared" ref="L1088:L1090" si="140">_xlfn.TEXTJOIN("", TRUE, D1088:J1088)</f>
        <v>02_Slots/Gottheit/Goetter-mit-Epitheta/0430_Qebehsenuef/0001_qbH-snw=f_01.png</v>
      </c>
    </row>
    <row r="1089" spans="1:12" x14ac:dyDescent="0.2">
      <c r="A1089" t="s">
        <v>60</v>
      </c>
      <c r="B1089" s="27">
        <v>430</v>
      </c>
      <c r="C1089" t="s">
        <v>105</v>
      </c>
      <c r="E1089" t="s">
        <v>1216</v>
      </c>
      <c r="G1089" t="s">
        <v>1017</v>
      </c>
      <c r="L1089" t="str">
        <f t="shared" si="140"/>
        <v>02_Slots/Gottheit/Goetter-mit-Epitheta/0430_Qebehsenuef/0010_qbH-snw=f_02.png</v>
      </c>
    </row>
    <row r="1090" spans="1:12" x14ac:dyDescent="0.2">
      <c r="A1090" t="s">
        <v>60</v>
      </c>
      <c r="B1090" s="27">
        <v>430</v>
      </c>
      <c r="C1090" t="s">
        <v>105</v>
      </c>
      <c r="E1090" t="s">
        <v>1216</v>
      </c>
      <c r="G1090" t="s">
        <v>1018</v>
      </c>
      <c r="L1090" t="str">
        <f t="shared" si="140"/>
        <v>02_Slots/Gottheit/Goetter-mit-Epitheta/0430_Qebehsenuef/0020_qbH-snw=f_03.png</v>
      </c>
    </row>
    <row r="1091" spans="1:12" x14ac:dyDescent="0.2">
      <c r="A1091" t="s">
        <v>60</v>
      </c>
      <c r="B1091" s="27">
        <v>430</v>
      </c>
      <c r="C1091" t="s">
        <v>105</v>
      </c>
      <c r="E1091" t="s">
        <v>1216</v>
      </c>
      <c r="G1091" t="s">
        <v>1019</v>
      </c>
      <c r="I1091" t="s">
        <v>1147</v>
      </c>
      <c r="J1091" t="s">
        <v>1151</v>
      </c>
      <c r="K1091" t="s">
        <v>1149</v>
      </c>
      <c r="L1091" t="str">
        <f t="shared" ref="L1091:L1098" si="141">_xlfn.TEXTJOIN("", TRUE, D1091:K1091)</f>
        <v>02_Slots/Gottheit/Goetter-mit-Epitheta/0430_Qebehsenuef/0030_qbH-snw=f_MR_01.png &lt;sup&gt;(MR)&lt;/sup&gt;</v>
      </c>
    </row>
    <row r="1092" spans="1:12" x14ac:dyDescent="0.2">
      <c r="A1092" t="s">
        <v>60</v>
      </c>
      <c r="B1092" s="27">
        <v>430</v>
      </c>
      <c r="C1092" t="s">
        <v>105</v>
      </c>
      <c r="E1092" t="s">
        <v>1216</v>
      </c>
      <c r="G1092" t="s">
        <v>1020</v>
      </c>
      <c r="I1092" t="s">
        <v>1147</v>
      </c>
      <c r="J1092" t="s">
        <v>1151</v>
      </c>
      <c r="K1092" t="s">
        <v>1149</v>
      </c>
      <c r="L1092" t="str">
        <f t="shared" si="141"/>
        <v>02_Slots/Gottheit/Goetter-mit-Epitheta/0430_Qebehsenuef/0040_qbH-snw=f_MR_02.png &lt;sup&gt;(MR)&lt;/sup&gt;</v>
      </c>
    </row>
    <row r="1093" spans="1:12" x14ac:dyDescent="0.2">
      <c r="A1093" t="s">
        <v>60</v>
      </c>
      <c r="B1093" s="27">
        <v>430</v>
      </c>
      <c r="C1093" t="s">
        <v>105</v>
      </c>
      <c r="E1093" t="s">
        <v>1216</v>
      </c>
      <c r="G1093" t="s">
        <v>1021</v>
      </c>
      <c r="I1093" t="s">
        <v>1147</v>
      </c>
      <c r="J1093" t="s">
        <v>1150</v>
      </c>
      <c r="K1093" t="s">
        <v>1149</v>
      </c>
      <c r="L1093" t="str">
        <f t="shared" si="141"/>
        <v>02_Slots/Gottheit/Goetter-mit-Epitheta/0430_Qebehsenuef/0050_qbH-snw=f_GR_01.png &lt;sup&gt;(Gr.)&lt;/sup&gt;</v>
      </c>
    </row>
    <row r="1094" spans="1:12" x14ac:dyDescent="0.2">
      <c r="A1094" t="s">
        <v>60</v>
      </c>
      <c r="B1094" s="27">
        <v>430</v>
      </c>
      <c r="C1094" t="s">
        <v>105</v>
      </c>
      <c r="E1094" t="s">
        <v>1216</v>
      </c>
      <c r="G1094" t="s">
        <v>1022</v>
      </c>
      <c r="I1094" t="s">
        <v>1147</v>
      </c>
      <c r="J1094" t="s">
        <v>1150</v>
      </c>
      <c r="K1094" t="s">
        <v>1149</v>
      </c>
      <c r="L1094" t="str">
        <f t="shared" si="141"/>
        <v>02_Slots/Gottheit/Goetter-mit-Epitheta/0430_Qebehsenuef/0060_qbH-snw=f_GR_02.png &lt;sup&gt;(Gr.)&lt;/sup&gt;</v>
      </c>
    </row>
    <row r="1095" spans="1:12" x14ac:dyDescent="0.2">
      <c r="A1095" t="s">
        <v>60</v>
      </c>
      <c r="B1095" s="27">
        <v>430</v>
      </c>
      <c r="C1095" t="s">
        <v>105</v>
      </c>
      <c r="E1095" t="s">
        <v>1216</v>
      </c>
      <c r="G1095" t="s">
        <v>1023</v>
      </c>
      <c r="I1095" t="s">
        <v>1147</v>
      </c>
      <c r="J1095" t="s">
        <v>1150</v>
      </c>
      <c r="K1095" t="s">
        <v>1149</v>
      </c>
      <c r="L1095" t="str">
        <f t="shared" si="141"/>
        <v>02_Slots/Gottheit/Goetter-mit-Epitheta/0430_Qebehsenuef/0070_qbH-snw=f_GR_03.png &lt;sup&gt;(Gr.)&lt;/sup&gt;</v>
      </c>
    </row>
    <row r="1096" spans="1:12" x14ac:dyDescent="0.2">
      <c r="A1096" t="s">
        <v>60</v>
      </c>
      <c r="B1096" s="27">
        <v>430</v>
      </c>
      <c r="C1096" t="s">
        <v>105</v>
      </c>
      <c r="E1096" t="s">
        <v>1216</v>
      </c>
      <c r="G1096" t="s">
        <v>1015</v>
      </c>
      <c r="I1096" t="s">
        <v>1147</v>
      </c>
      <c r="J1096" t="s">
        <v>1150</v>
      </c>
      <c r="K1096" t="s">
        <v>1149</v>
      </c>
      <c r="L1096" t="str">
        <f t="shared" si="141"/>
        <v>02_Slots/Gottheit/Goetter-mit-Epitheta/0430_Qebehsenuef/0080_qbH-snw=f_GR_04.png &lt;sup&gt;(Gr.)&lt;/sup&gt;</v>
      </c>
    </row>
    <row r="1097" spans="1:12" x14ac:dyDescent="0.2">
      <c r="A1097" t="s">
        <v>60</v>
      </c>
      <c r="B1097" s="27">
        <v>430</v>
      </c>
      <c r="C1097" t="s">
        <v>106</v>
      </c>
      <c r="E1097" t="s">
        <v>1216</v>
      </c>
      <c r="F1097" t="s">
        <v>110</v>
      </c>
      <c r="G1097" t="s">
        <v>1024</v>
      </c>
      <c r="I1097" t="s">
        <v>1147</v>
      </c>
      <c r="J1097" t="s">
        <v>1150</v>
      </c>
      <c r="K1097" t="s">
        <v>1149</v>
      </c>
      <c r="L1097" t="str">
        <f t="shared" si="141"/>
        <v>02_Slots/Gottheit/Goetter-mit-Epitheta/0430_Qebehsenuef/det/0001_qbH-snw=f_det_GR_01.png &lt;sup&gt;(Gr.)&lt;/sup&gt;</v>
      </c>
    </row>
    <row r="1098" spans="1:12" x14ac:dyDescent="0.2">
      <c r="A1098" t="s">
        <v>60</v>
      </c>
      <c r="B1098" s="27">
        <v>430</v>
      </c>
      <c r="C1098" t="s">
        <v>106</v>
      </c>
      <c r="E1098" t="s">
        <v>1216</v>
      </c>
      <c r="F1098" t="s">
        <v>110</v>
      </c>
      <c r="G1098" t="s">
        <v>1025</v>
      </c>
      <c r="I1098" t="s">
        <v>1147</v>
      </c>
      <c r="J1098" t="s">
        <v>1150</v>
      </c>
      <c r="K1098" t="s">
        <v>1149</v>
      </c>
      <c r="L1098" t="str">
        <f t="shared" si="141"/>
        <v>02_Slots/Gottheit/Goetter-mit-Epitheta/0430_Qebehsenuef/det/0010_qbH-snw=f_det_GR_02.png &lt;sup&gt;(Gr.)&lt;/sup&gt;</v>
      </c>
    </row>
    <row r="1099" spans="1:12" x14ac:dyDescent="0.2">
      <c r="A1099" t="s">
        <v>60</v>
      </c>
      <c r="B1099" s="27">
        <v>430</v>
      </c>
      <c r="C1099" t="s">
        <v>107</v>
      </c>
      <c r="L1099" t="s">
        <v>167</v>
      </c>
    </row>
    <row r="1100" spans="1:12" x14ac:dyDescent="0.2">
      <c r="A1100" t="s">
        <v>60</v>
      </c>
      <c r="B1100" s="27">
        <v>430</v>
      </c>
      <c r="C1100" t="s">
        <v>108</v>
      </c>
    </row>
    <row r="1103" spans="1:12" x14ac:dyDescent="0.2">
      <c r="A1103" t="s">
        <v>60</v>
      </c>
      <c r="B1103" s="27">
        <v>440</v>
      </c>
      <c r="C1103" t="s">
        <v>39</v>
      </c>
      <c r="L1103" t="s">
        <v>685</v>
      </c>
    </row>
    <row r="1104" spans="1:12" x14ac:dyDescent="0.2">
      <c r="A1104" t="s">
        <v>60</v>
      </c>
      <c r="B1104" s="27">
        <v>440</v>
      </c>
      <c r="C1104" t="s">
        <v>105</v>
      </c>
      <c r="E1104" t="s">
        <v>1217</v>
      </c>
      <c r="G1104" t="s">
        <v>1026</v>
      </c>
      <c r="I1104" t="s">
        <v>1147</v>
      </c>
      <c r="J1104" t="s">
        <v>1148</v>
      </c>
      <c r="K1104" t="s">
        <v>1149</v>
      </c>
      <c r="L1104" t="str">
        <f t="shared" ref="L1104:L1108" si="142">_xlfn.TEXTJOIN("", TRUE, D1104:K1104)</f>
        <v>02_Slots/Gottheit/Goetter-mit-Epitheta/0440_Duamutef/0001_dwA-mw.t=f_AR_01.png &lt;sup&gt;(AR)&lt;/sup&gt;</v>
      </c>
    </row>
    <row r="1105" spans="1:12" x14ac:dyDescent="0.2">
      <c r="A1105" t="s">
        <v>60</v>
      </c>
      <c r="B1105" s="27">
        <v>440</v>
      </c>
      <c r="C1105" t="s">
        <v>105</v>
      </c>
      <c r="E1105" t="s">
        <v>1217</v>
      </c>
      <c r="G1105" t="s">
        <v>1027</v>
      </c>
      <c r="I1105" t="s">
        <v>1147</v>
      </c>
      <c r="J1105" t="s">
        <v>1148</v>
      </c>
      <c r="K1105" t="s">
        <v>1149</v>
      </c>
      <c r="L1105" t="str">
        <f t="shared" si="142"/>
        <v>02_Slots/Gottheit/Goetter-mit-Epitheta/0440_Duamutef/0010_dwA-mw.t=f_AR_02.png &lt;sup&gt;(AR)&lt;/sup&gt;</v>
      </c>
    </row>
    <row r="1106" spans="1:12" x14ac:dyDescent="0.2">
      <c r="A1106" t="s">
        <v>60</v>
      </c>
      <c r="B1106" s="27">
        <v>440</v>
      </c>
      <c r="C1106" t="s">
        <v>105</v>
      </c>
      <c r="E1106" t="s">
        <v>1217</v>
      </c>
      <c r="G1106" t="s">
        <v>1028</v>
      </c>
      <c r="I1106" t="s">
        <v>1147</v>
      </c>
      <c r="J1106" t="s">
        <v>1151</v>
      </c>
      <c r="K1106" t="s">
        <v>1149</v>
      </c>
      <c r="L1106" t="str">
        <f t="shared" si="142"/>
        <v>02_Slots/Gottheit/Goetter-mit-Epitheta/0440_Duamutef/0020_dwA-mw.t=f_MR_01.png &lt;sup&gt;(MR)&lt;/sup&gt;</v>
      </c>
    </row>
    <row r="1107" spans="1:12" x14ac:dyDescent="0.2">
      <c r="A1107" t="s">
        <v>60</v>
      </c>
      <c r="B1107" s="27">
        <v>440</v>
      </c>
      <c r="C1107" t="s">
        <v>105</v>
      </c>
      <c r="E1107" t="s">
        <v>1217</v>
      </c>
      <c r="G1107" t="s">
        <v>1029</v>
      </c>
      <c r="I1107" t="s">
        <v>1147</v>
      </c>
      <c r="J1107" t="s">
        <v>1151</v>
      </c>
      <c r="K1107" t="s">
        <v>1149</v>
      </c>
      <c r="L1107" t="str">
        <f t="shared" si="142"/>
        <v>02_Slots/Gottheit/Goetter-mit-Epitheta/0440_Duamutef/0030_dwA-mw.t=f_MR_02.png &lt;sup&gt;(MR)&lt;/sup&gt;</v>
      </c>
    </row>
    <row r="1108" spans="1:12" x14ac:dyDescent="0.2">
      <c r="A1108" t="s">
        <v>60</v>
      </c>
      <c r="B1108" s="27">
        <v>440</v>
      </c>
      <c r="C1108" t="s">
        <v>105</v>
      </c>
      <c r="E1108" t="s">
        <v>1217</v>
      </c>
      <c r="G1108" t="s">
        <v>1030</v>
      </c>
      <c r="I1108" t="s">
        <v>1147</v>
      </c>
      <c r="J1108" t="s">
        <v>1151</v>
      </c>
      <c r="K1108" t="s">
        <v>1149</v>
      </c>
      <c r="L1108" t="str">
        <f t="shared" si="142"/>
        <v>02_Slots/Gottheit/Goetter-mit-Epitheta/0440_Duamutef/0040_dwA-mw.t=f_MR_03.png &lt;sup&gt;(MR)&lt;/sup&gt;</v>
      </c>
    </row>
    <row r="1109" spans="1:12" x14ac:dyDescent="0.2">
      <c r="A1109" t="s">
        <v>60</v>
      </c>
      <c r="B1109" s="27">
        <v>440</v>
      </c>
      <c r="C1109" t="s">
        <v>106</v>
      </c>
      <c r="L1109" t="str">
        <f t="shared" ref="L1109" si="143">_xlfn.TEXTJOIN("", TRUE, D1109:J1109)</f>
        <v/>
      </c>
    </row>
    <row r="1110" spans="1:12" x14ac:dyDescent="0.2">
      <c r="A1110" t="s">
        <v>60</v>
      </c>
      <c r="B1110" s="27">
        <v>440</v>
      </c>
      <c r="C1110" t="s">
        <v>107</v>
      </c>
      <c r="L1110" t="s">
        <v>168</v>
      </c>
    </row>
    <row r="1111" spans="1:12" x14ac:dyDescent="0.2">
      <c r="A1111" t="s">
        <v>60</v>
      </c>
      <c r="B1111" s="27">
        <v>440</v>
      </c>
      <c r="C1111" t="s">
        <v>108</v>
      </c>
    </row>
    <row r="1114" spans="1:12" x14ac:dyDescent="0.2">
      <c r="A1114" t="s">
        <v>60</v>
      </c>
      <c r="B1114" s="27">
        <v>450</v>
      </c>
      <c r="C1114" t="s">
        <v>39</v>
      </c>
      <c r="L1114" t="s">
        <v>686</v>
      </c>
    </row>
    <row r="1115" spans="1:12" x14ac:dyDescent="0.2">
      <c r="A1115" t="s">
        <v>60</v>
      </c>
      <c r="B1115" s="27">
        <v>450</v>
      </c>
      <c r="C1115" t="s">
        <v>105</v>
      </c>
      <c r="E1115" t="s">
        <v>1218</v>
      </c>
      <c r="G1115" t="s">
        <v>1031</v>
      </c>
      <c r="I1115" t="s">
        <v>1147</v>
      </c>
      <c r="J1115" t="s">
        <v>1148</v>
      </c>
      <c r="K1115" t="s">
        <v>1149</v>
      </c>
      <c r="L1115" t="str">
        <f t="shared" ref="L1115:L1125" si="144">_xlfn.TEXTJOIN("", TRUE, D1115:K1115)</f>
        <v>02_Slots/Gottheit/Goetter-mit-Epitheta/0450_Thot/0001_DHwtj_AR_01.png &lt;sup&gt;(AR)&lt;/sup&gt;</v>
      </c>
    </row>
    <row r="1116" spans="1:12" x14ac:dyDescent="0.2">
      <c r="A1116" t="s">
        <v>60</v>
      </c>
      <c r="B1116" s="27">
        <v>450</v>
      </c>
      <c r="C1116" t="s">
        <v>105</v>
      </c>
      <c r="E1116" t="s">
        <v>1218</v>
      </c>
      <c r="G1116" t="s">
        <v>1032</v>
      </c>
      <c r="I1116" t="s">
        <v>1147</v>
      </c>
      <c r="J1116" t="s">
        <v>1151</v>
      </c>
      <c r="K1116" t="s">
        <v>1149</v>
      </c>
      <c r="L1116" t="str">
        <f t="shared" si="144"/>
        <v>02_Slots/Gottheit/Goetter-mit-Epitheta/0450_Thot/0010_DHwtj_MR_01.png &lt;sup&gt;(MR)&lt;/sup&gt;</v>
      </c>
    </row>
    <row r="1117" spans="1:12" x14ac:dyDescent="0.2">
      <c r="A1117" t="s">
        <v>60</v>
      </c>
      <c r="B1117" s="27">
        <v>450</v>
      </c>
      <c r="C1117" t="s">
        <v>105</v>
      </c>
      <c r="E1117" t="s">
        <v>1218</v>
      </c>
      <c r="G1117" t="s">
        <v>1033</v>
      </c>
      <c r="I1117" t="s">
        <v>1147</v>
      </c>
      <c r="J1117" t="s">
        <v>1151</v>
      </c>
      <c r="K1117" t="s">
        <v>1149</v>
      </c>
      <c r="L1117" t="str">
        <f t="shared" si="144"/>
        <v>02_Slots/Gottheit/Goetter-mit-Epitheta/0450_Thot/0020_DHwtj_MR_02.png &lt;sup&gt;(MR)&lt;/sup&gt;</v>
      </c>
    </row>
    <row r="1118" spans="1:12" x14ac:dyDescent="0.2">
      <c r="A1118" t="s">
        <v>60</v>
      </c>
      <c r="B1118" s="27">
        <v>450</v>
      </c>
      <c r="C1118" t="s">
        <v>105</v>
      </c>
      <c r="E1118" t="s">
        <v>1218</v>
      </c>
      <c r="G1118" t="s">
        <v>1034</v>
      </c>
      <c r="I1118" t="s">
        <v>1147</v>
      </c>
      <c r="J1118" t="s">
        <v>1151</v>
      </c>
      <c r="K1118" t="s">
        <v>1149</v>
      </c>
      <c r="L1118" t="str">
        <f t="shared" si="144"/>
        <v>02_Slots/Gottheit/Goetter-mit-Epitheta/0450_Thot/0030_DHwtj_MR_03.png &lt;sup&gt;(MR)&lt;/sup&gt;</v>
      </c>
    </row>
    <row r="1119" spans="1:12" x14ac:dyDescent="0.2">
      <c r="A1119" t="s">
        <v>60</v>
      </c>
      <c r="B1119" s="27">
        <v>450</v>
      </c>
      <c r="C1119" t="s">
        <v>105</v>
      </c>
      <c r="E1119" t="s">
        <v>1218</v>
      </c>
      <c r="G1119" t="s">
        <v>1035</v>
      </c>
      <c r="I1119" t="s">
        <v>1147</v>
      </c>
      <c r="J1119" t="s">
        <v>1151</v>
      </c>
      <c r="K1119" t="s">
        <v>1149</v>
      </c>
      <c r="L1119" t="str">
        <f t="shared" si="144"/>
        <v>02_Slots/Gottheit/Goetter-mit-Epitheta/0450_Thot/0040_DHwtj_MR_04.png &lt;sup&gt;(MR)&lt;/sup&gt;</v>
      </c>
    </row>
    <row r="1120" spans="1:12" x14ac:dyDescent="0.2">
      <c r="A1120" t="s">
        <v>60</v>
      </c>
      <c r="B1120" s="27">
        <v>450</v>
      </c>
      <c r="C1120" t="s">
        <v>105</v>
      </c>
      <c r="E1120" t="s">
        <v>1218</v>
      </c>
      <c r="G1120" t="s">
        <v>1036</v>
      </c>
      <c r="I1120" t="s">
        <v>1147</v>
      </c>
      <c r="J1120" t="s">
        <v>1151</v>
      </c>
      <c r="K1120" t="s">
        <v>1149</v>
      </c>
      <c r="L1120" t="str">
        <f t="shared" si="144"/>
        <v>02_Slots/Gottheit/Goetter-mit-Epitheta/0450_Thot/0050_DHwtj_MR_05.png &lt;sup&gt;(MR)&lt;/sup&gt;</v>
      </c>
    </row>
    <row r="1121" spans="1:12" x14ac:dyDescent="0.2">
      <c r="A1121" t="s">
        <v>60</v>
      </c>
      <c r="B1121" s="27">
        <v>450</v>
      </c>
      <c r="C1121" t="s">
        <v>105</v>
      </c>
      <c r="E1121" t="s">
        <v>1218</v>
      </c>
      <c r="G1121" t="s">
        <v>1037</v>
      </c>
      <c r="I1121" t="s">
        <v>1147</v>
      </c>
      <c r="J1121" t="s">
        <v>1156</v>
      </c>
      <c r="K1121" t="s">
        <v>1149</v>
      </c>
      <c r="L1121" t="str">
        <f t="shared" si="144"/>
        <v>02_Slots/Gottheit/Goetter-mit-Epitheta/0450_Thot/0060_DHwtj_SP_01.png &lt;sup&gt;(Sp.)&lt;/sup&gt;</v>
      </c>
    </row>
    <row r="1122" spans="1:12" x14ac:dyDescent="0.2">
      <c r="A1122" t="s">
        <v>60</v>
      </c>
      <c r="B1122" s="27">
        <v>450</v>
      </c>
      <c r="C1122" t="s">
        <v>105</v>
      </c>
      <c r="E1122" t="s">
        <v>1218</v>
      </c>
      <c r="G1122" t="s">
        <v>1038</v>
      </c>
      <c r="I1122" t="s">
        <v>1147</v>
      </c>
      <c r="J1122" t="s">
        <v>1156</v>
      </c>
      <c r="K1122" t="s">
        <v>1149</v>
      </c>
      <c r="L1122" t="str">
        <f t="shared" si="144"/>
        <v>02_Slots/Gottheit/Goetter-mit-Epitheta/0450_Thot/0070_DHwtj_SP_02.png &lt;sup&gt;(Sp.)&lt;/sup&gt;</v>
      </c>
    </row>
    <row r="1123" spans="1:12" x14ac:dyDescent="0.2">
      <c r="A1123" t="s">
        <v>60</v>
      </c>
      <c r="B1123" s="27">
        <v>450</v>
      </c>
      <c r="C1123" t="s">
        <v>105</v>
      </c>
      <c r="E1123" t="s">
        <v>1218</v>
      </c>
      <c r="G1123" t="s">
        <v>1039</v>
      </c>
      <c r="I1123" t="s">
        <v>1147</v>
      </c>
      <c r="J1123" t="s">
        <v>1166</v>
      </c>
      <c r="K1123" t="s">
        <v>1149</v>
      </c>
      <c r="L1123" t="str">
        <f t="shared" si="144"/>
        <v>02_Slots/Gottheit/Goetter-mit-Epitheta/0450_Thot/0080_DHwtj_SP-GR_01.png &lt;sup&gt;(Sp.; Gr.)&lt;/sup&gt;</v>
      </c>
    </row>
    <row r="1124" spans="1:12" x14ac:dyDescent="0.2">
      <c r="A1124" t="s">
        <v>60</v>
      </c>
      <c r="B1124" s="27">
        <v>450</v>
      </c>
      <c r="C1124" t="s">
        <v>105</v>
      </c>
      <c r="E1124" t="s">
        <v>1218</v>
      </c>
      <c r="G1124" t="s">
        <v>1040</v>
      </c>
      <c r="I1124" t="s">
        <v>1147</v>
      </c>
      <c r="J1124" t="s">
        <v>1166</v>
      </c>
      <c r="K1124" t="s">
        <v>1149</v>
      </c>
      <c r="L1124" t="str">
        <f t="shared" si="144"/>
        <v>02_Slots/Gottheit/Goetter-mit-Epitheta/0450_Thot/0090_DHwtj_SP-GR_02.png &lt;sup&gt;(Sp.; Gr.)&lt;/sup&gt;</v>
      </c>
    </row>
    <row r="1125" spans="1:12" x14ac:dyDescent="0.2">
      <c r="A1125" t="s">
        <v>60</v>
      </c>
      <c r="B1125" s="27">
        <v>450</v>
      </c>
      <c r="C1125" t="s">
        <v>106</v>
      </c>
      <c r="E1125" t="s">
        <v>1218</v>
      </c>
      <c r="F1125" t="s">
        <v>110</v>
      </c>
      <c r="G1125" t="s">
        <v>1041</v>
      </c>
      <c r="I1125" t="s">
        <v>1147</v>
      </c>
      <c r="J1125" t="s">
        <v>1156</v>
      </c>
      <c r="K1125" t="s">
        <v>1149</v>
      </c>
      <c r="L1125" t="str">
        <f t="shared" si="144"/>
        <v>02_Slots/Gottheit/Goetter-mit-Epitheta/0450_Thot/det/0001_DHwtj_det_SP_01.png &lt;sup&gt;(Sp.)&lt;/sup&gt;</v>
      </c>
    </row>
    <row r="1126" spans="1:12" x14ac:dyDescent="0.2">
      <c r="A1126" t="s">
        <v>60</v>
      </c>
      <c r="B1126" s="27">
        <v>450</v>
      </c>
      <c r="C1126" t="s">
        <v>107</v>
      </c>
      <c r="L1126" t="s">
        <v>169</v>
      </c>
    </row>
    <row r="1127" spans="1:12" x14ac:dyDescent="0.2">
      <c r="A1127" t="s">
        <v>60</v>
      </c>
      <c r="B1127" s="27">
        <v>450</v>
      </c>
      <c r="C1127" t="s">
        <v>108</v>
      </c>
    </row>
    <row r="1133" spans="1:12" x14ac:dyDescent="0.2">
      <c r="A1133" s="4" t="s">
        <v>1236</v>
      </c>
      <c r="B1133" s="27">
        <v>1</v>
      </c>
      <c r="C1133" t="s">
        <v>1292</v>
      </c>
      <c r="L1133" t="s">
        <v>1293</v>
      </c>
    </row>
    <row r="1134" spans="1:12" x14ac:dyDescent="0.2">
      <c r="A1134" s="4" t="s">
        <v>1236</v>
      </c>
      <c r="B1134" s="27">
        <v>1</v>
      </c>
      <c r="C1134" t="s">
        <v>1235</v>
      </c>
      <c r="E1134" t="s">
        <v>1289</v>
      </c>
      <c r="G1134" t="s">
        <v>1288</v>
      </c>
      <c r="H1134" t="s">
        <v>112</v>
      </c>
      <c r="L1134" t="str">
        <f t="shared" ref="L1134" si="145">_xlfn.TEXTJOIN("", TRUE, D1134:K1134)</f>
        <v>03_Hieroglyphen-selten/F63_xnty_01.png</v>
      </c>
    </row>
    <row r="1135" spans="1:12" x14ac:dyDescent="0.2">
      <c r="A1135" s="4" t="s">
        <v>1236</v>
      </c>
      <c r="B1135" s="27">
        <v>1</v>
      </c>
      <c r="C1135" t="s">
        <v>39</v>
      </c>
      <c r="L1135" t="s">
        <v>1290</v>
      </c>
    </row>
    <row r="1136" spans="1:12" x14ac:dyDescent="0.2">
      <c r="A1136" s="4" t="s">
        <v>1236</v>
      </c>
      <c r="B1136" s="27">
        <v>1</v>
      </c>
      <c r="C1136" t="s">
        <v>27</v>
      </c>
      <c r="L1136" t="s">
        <v>1291</v>
      </c>
    </row>
    <row r="1141" spans="1:12" x14ac:dyDescent="0.2">
      <c r="A1141" s="4" t="s">
        <v>1274</v>
      </c>
      <c r="B1141" s="27">
        <v>1</v>
      </c>
      <c r="C1141" t="s">
        <v>1292</v>
      </c>
      <c r="L1141" t="s">
        <v>1294</v>
      </c>
    </row>
    <row r="1142" spans="1:12" x14ac:dyDescent="0.2">
      <c r="A1142" s="4" t="s">
        <v>1274</v>
      </c>
      <c r="B1142" s="27">
        <v>1</v>
      </c>
      <c r="C1142" t="s">
        <v>1235</v>
      </c>
      <c r="E1142" t="s">
        <v>1289</v>
      </c>
      <c r="G1142" t="s">
        <v>1295</v>
      </c>
      <c r="H1142" t="s">
        <v>112</v>
      </c>
      <c r="L1142" t="str">
        <f t="shared" ref="L1142" si="146">_xlfn.TEXTJOIN("", TRUE, D1142:K1142)</f>
        <v>03_Hieroglyphen-selten/N6B_nsw-bjt_01.png</v>
      </c>
    </row>
    <row r="1143" spans="1:12" x14ac:dyDescent="0.2">
      <c r="A1143" s="4" t="s">
        <v>1274</v>
      </c>
      <c r="B1143" s="27">
        <v>1</v>
      </c>
      <c r="C1143" t="s">
        <v>39</v>
      </c>
      <c r="L1143" t="s">
        <v>517</v>
      </c>
    </row>
    <row r="1144" spans="1:12" x14ac:dyDescent="0.2">
      <c r="A1144" s="4" t="s">
        <v>1274</v>
      </c>
      <c r="B1144" s="27">
        <v>1</v>
      </c>
      <c r="C1144" t="s">
        <v>27</v>
      </c>
      <c r="L1144" t="s">
        <v>1296</v>
      </c>
    </row>
    <row r="1145" spans="1:12" x14ac:dyDescent="0.2">
      <c r="A1145" s="4" t="s">
        <v>1274</v>
      </c>
      <c r="B1145" s="27">
        <v>2</v>
      </c>
      <c r="C1145" t="s">
        <v>1292</v>
      </c>
      <c r="L1145" t="s">
        <v>1298</v>
      </c>
    </row>
    <row r="1146" spans="1:12" x14ac:dyDescent="0.2">
      <c r="A1146" s="4" t="s">
        <v>1274</v>
      </c>
      <c r="B1146" s="27">
        <v>2</v>
      </c>
      <c r="C1146" t="s">
        <v>1235</v>
      </c>
      <c r="E1146" t="s">
        <v>1289</v>
      </c>
      <c r="G1146" t="s">
        <v>1297</v>
      </c>
      <c r="H1146" t="s">
        <v>112</v>
      </c>
      <c r="L1146" t="str">
        <f t="shared" ref="L1146" si="147">_xlfn.TEXTJOIN("", TRUE, D1146:K1146)</f>
        <v>03_Hieroglyphen-selten/N102_jmn_01.png</v>
      </c>
    </row>
    <row r="1147" spans="1:12" x14ac:dyDescent="0.2">
      <c r="A1147" s="4" t="s">
        <v>1274</v>
      </c>
      <c r="B1147" s="27">
        <v>2</v>
      </c>
      <c r="C1147" t="s">
        <v>39</v>
      </c>
      <c r="L1147" t="s">
        <v>175</v>
      </c>
    </row>
    <row r="1148" spans="1:12" x14ac:dyDescent="0.2">
      <c r="A1148" s="4" t="s">
        <v>1274</v>
      </c>
      <c r="B1148" s="27">
        <v>2</v>
      </c>
      <c r="C1148" t="s">
        <v>27</v>
      </c>
      <c r="L1148" t="s">
        <v>111</v>
      </c>
    </row>
  </sheetData>
  <pageMargins left="0.7" right="0.7" top="0.78740157499999996" bottom="0.78740157499999996" header="0.3" footer="0.3"/>
  <ignoredErrors>
    <ignoredError sqref="L37 L1017 L97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2026-06-24T08:20:00Z</dcterms:modified>
</cp:coreProperties>
</file>