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2"/>
  <workbookPr/>
  <mc:AlternateContent xmlns:mc="http://schemas.openxmlformats.org/markup-compatibility/2006">
    <mc:Choice Requires="x15">
      <x15ac:absPath xmlns:x15ac="http://schemas.microsoft.com/office/spreadsheetml/2010/11/ac" url="/Users/Markus/Documents/Arbeit/Inschriftenschluessel/data/"/>
    </mc:Choice>
  </mc:AlternateContent>
  <xr:revisionPtr revIDLastSave="0" documentId="13_ncr:1_{38EA0272-8B68-434D-8931-7143CE3DE598}" xr6:coauthVersionLast="36" xr6:coauthVersionMax="47" xr10:uidLastSave="{00000000-0000-0000-0000-000000000000}"/>
  <bookViews>
    <workbookView xWindow="0" yWindow="500" windowWidth="28800" windowHeight="16120" activeTab="5" xr2:uid="{F025A444-F8B0-5C41-A37E-BEE791B22240}"/>
  </bookViews>
  <sheets>
    <sheet name="pages" sheetId="1" r:id="rId1"/>
    <sheet name="landing_cards" sheetId="2" r:id="rId2"/>
    <sheet name="formula_blocks" sheetId="3" r:id="rId3"/>
    <sheet name="slot_content" sheetId="6" r:id="rId4"/>
    <sheet name="glyphlines" sheetId="5" r:id="rId5"/>
    <sheet name="tables" sheetId="4"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ARRAYTEXT_WF"/>
        <xcalcf:feature name="microsoft.com:CNMTM"/>
        <xcalcf:feature name="microsoft.com:LAMBDA_WF"/>
        <xcalcf:feature name="microsoft.com:LET_WF"/>
      </xcalcf:calcFeatures>
    </ext>
  </extLst>
</workbook>
</file>

<file path=xl/calcChain.xml><?xml version="1.0" encoding="utf-8"?>
<calcChain xmlns="http://schemas.openxmlformats.org/spreadsheetml/2006/main">
  <c r="L346" i="4" l="1"/>
  <c r="L345" i="4"/>
  <c r="L348" i="4"/>
  <c r="L347" i="4"/>
  <c r="L335" i="4"/>
  <c r="L334" i="4"/>
  <c r="L333" i="4"/>
  <c r="L332" i="4"/>
  <c r="L331" i="4"/>
  <c r="L336" i="4"/>
  <c r="L338" i="4"/>
  <c r="L337" i="4"/>
  <c r="L350" i="4"/>
  <c r="L349" i="4"/>
  <c r="L340" i="4"/>
  <c r="L339" i="4"/>
  <c r="L326" i="4"/>
  <c r="L321" i="4"/>
  <c r="L306" i="4"/>
  <c r="L305" i="4"/>
  <c r="L315" i="4"/>
  <c r="L314" i="4"/>
  <c r="L313" i="4"/>
  <c r="L312" i="4"/>
  <c r="L311" i="4"/>
  <c r="L320" i="4"/>
  <c r="L310" i="4"/>
  <c r="L160" i="5" l="1"/>
  <c r="L158" i="5"/>
  <c r="L156" i="5"/>
  <c r="L154" i="5"/>
  <c r="L162" i="5"/>
  <c r="L148" i="5"/>
  <c r="L146" i="5"/>
  <c r="L144" i="5"/>
  <c r="L142" i="5"/>
  <c r="L140" i="5"/>
  <c r="L138" i="5"/>
  <c r="L136" i="5"/>
  <c r="L135" i="5"/>
  <c r="L132" i="5"/>
  <c r="L130" i="5"/>
  <c r="L122" i="5"/>
  <c r="L119" i="5"/>
  <c r="L117" i="5"/>
  <c r="L115" i="5"/>
  <c r="L113" i="5"/>
  <c r="L111" i="5"/>
  <c r="L109" i="5"/>
  <c r="L107" i="5"/>
  <c r="L105" i="5"/>
  <c r="L203" i="5"/>
  <c r="L201" i="5"/>
  <c r="L199" i="5"/>
  <c r="L197" i="5"/>
  <c r="L195" i="5"/>
  <c r="L193" i="5"/>
  <c r="L191" i="5"/>
  <c r="L190" i="5"/>
  <c r="L189" i="5"/>
  <c r="L171" i="5"/>
  <c r="L168" i="5"/>
  <c r="L167" i="5"/>
  <c r="L179" i="5"/>
  <c r="L177" i="5"/>
  <c r="L176" i="5"/>
  <c r="L181" i="5"/>
  <c r="L1023" i="4"/>
  <c r="L1019" i="4"/>
  <c r="L1018" i="4"/>
  <c r="L1011" i="4"/>
  <c r="L1010" i="4"/>
  <c r="L989" i="4"/>
  <c r="L68" i="5"/>
  <c r="L67" i="5"/>
  <c r="L66" i="5"/>
  <c r="L65" i="5"/>
  <c r="L72" i="5"/>
  <c r="L70" i="5"/>
  <c r="L74" i="5"/>
  <c r="L76" i="5"/>
  <c r="L54" i="5"/>
  <c r="L52" i="5"/>
  <c r="L58" i="5"/>
  <c r="L56" i="5"/>
  <c r="L60" i="5"/>
  <c r="L50" i="5"/>
  <c r="L38" i="5"/>
  <c r="L304" i="4"/>
  <c r="L303" i="4"/>
  <c r="L300" i="4"/>
  <c r="L299" i="4"/>
  <c r="L298" i="4"/>
  <c r="L297" i="4"/>
  <c r="L296" i="4"/>
  <c r="L295" i="4"/>
  <c r="L294" i="4"/>
  <c r="L290" i="4"/>
  <c r="L289" i="4"/>
  <c r="L288" i="4"/>
  <c r="L287" i="4"/>
  <c r="L286" i="4"/>
  <c r="L285" i="4"/>
  <c r="L284" i="4"/>
  <c r="L283" i="4"/>
  <c r="L282" i="4"/>
  <c r="L281" i="4"/>
  <c r="L278" i="4"/>
  <c r="L277" i="4"/>
  <c r="L276" i="4"/>
  <c r="L275" i="4"/>
  <c r="L274" i="4"/>
  <c r="L273" i="4"/>
  <c r="L270" i="4"/>
  <c r="L269" i="4"/>
  <c r="L268" i="4"/>
  <c r="L267" i="4"/>
  <c r="L266" i="4"/>
  <c r="L242" i="4"/>
  <c r="L241" i="4"/>
  <c r="L240" i="4"/>
  <c r="L239" i="4"/>
  <c r="L238" i="4"/>
  <c r="L237" i="4"/>
  <c r="L236" i="4"/>
  <c r="L277" i="5"/>
  <c r="L278" i="5"/>
  <c r="L312" i="5"/>
  <c r="L309" i="5"/>
  <c r="L306" i="5"/>
  <c r="L305" i="5"/>
  <c r="L303" i="5"/>
  <c r="L302" i="5"/>
  <c r="L299" i="5"/>
  <c r="L297" i="5"/>
  <c r="L343" i="5"/>
  <c r="L341" i="5"/>
  <c r="L339" i="5"/>
  <c r="L337" i="5"/>
  <c r="L336" i="5"/>
  <c r="L333" i="5"/>
  <c r="L335" i="5"/>
  <c r="L330" i="5"/>
  <c r="L328" i="5"/>
  <c r="L326" i="5"/>
  <c r="L324" i="5"/>
  <c r="L322" i="5"/>
  <c r="L320" i="5"/>
  <c r="L319" i="5"/>
  <c r="L292" i="5"/>
  <c r="L291" i="5"/>
  <c r="L289" i="5"/>
  <c r="L287" i="5"/>
  <c r="L384" i="4" l="1"/>
  <c r="L380" i="4"/>
  <c r="L447" i="4"/>
  <c r="L446" i="4"/>
  <c r="L566" i="4"/>
  <c r="L561" i="4"/>
  <c r="L788" i="4"/>
  <c r="L786" i="4"/>
  <c r="L818" i="4"/>
  <c r="L806" i="4"/>
  <c r="L799" i="4"/>
  <c r="L798" i="4"/>
  <c r="L795" i="4"/>
  <c r="L796" i="4"/>
  <c r="L797" i="4"/>
  <c r="L772" i="4"/>
  <c r="L782" i="4"/>
  <c r="L783" i="4"/>
  <c r="L784" i="4"/>
  <c r="L785" i="4"/>
  <c r="L787" i="4"/>
  <c r="L789" i="4"/>
  <c r="L1164" i="4" l="1"/>
  <c r="L1160" i="4"/>
  <c r="L1152" i="4"/>
  <c r="L457" i="4"/>
  <c r="L430" i="4"/>
  <c r="L429" i="4"/>
  <c r="L425" i="4"/>
  <c r="L424" i="4"/>
  <c r="L423" i="4"/>
  <c r="L418" i="4"/>
  <c r="L417" i="4"/>
  <c r="L416" i="4"/>
  <c r="L415" i="4"/>
  <c r="L414" i="4"/>
  <c r="L413" i="4"/>
  <c r="L438" i="4"/>
  <c r="L439" i="4"/>
  <c r="L440" i="4"/>
  <c r="L441" i="4"/>
  <c r="L451" i="4"/>
  <c r="L1143" i="4"/>
  <c r="L1142" i="4"/>
  <c r="L1141" i="4"/>
  <c r="L1140" i="4"/>
  <c r="L1139" i="4"/>
  <c r="L1138" i="4"/>
  <c r="L1137" i="4"/>
  <c r="L1136" i="4"/>
  <c r="L1135" i="4"/>
  <c r="L1134" i="4"/>
  <c r="L1133" i="4"/>
  <c r="L1126" i="4"/>
  <c r="L1125" i="4"/>
  <c r="L1124" i="4"/>
  <c r="L1123" i="4"/>
  <c r="L1122" i="4"/>
  <c r="L1116" i="4"/>
  <c r="L1115" i="4"/>
  <c r="L1114" i="4"/>
  <c r="L1113" i="4"/>
  <c r="L1112" i="4"/>
  <c r="L1111" i="4"/>
  <c r="L1110" i="4"/>
  <c r="L1109" i="4"/>
  <c r="L1099" i="4"/>
  <c r="L1098" i="4"/>
  <c r="L1097" i="4"/>
  <c r="L1096" i="4"/>
  <c r="L1089" i="4"/>
  <c r="L1086" i="4"/>
  <c r="L1085" i="4"/>
  <c r="L1084" i="4"/>
  <c r="L1083" i="4"/>
  <c r="L1082" i="4"/>
  <c r="L1081" i="4"/>
  <c r="L1080" i="4"/>
  <c r="L1079" i="4"/>
  <c r="L1078" i="4"/>
  <c r="L1077" i="4"/>
  <c r="L1076" i="4"/>
  <c r="L1061" i="4"/>
  <c r="L1060" i="4"/>
  <c r="L1059" i="4"/>
  <c r="L1058" i="4"/>
  <c r="L1057" i="4"/>
  <c r="L1048" i="4"/>
  <c r="L1047" i="4"/>
  <c r="L1046" i="4"/>
  <c r="L1045" i="4"/>
  <c r="L1035" i="4"/>
  <c r="L1012" i="4"/>
  <c r="L1002" i="4"/>
  <c r="L1001" i="4"/>
  <c r="L963" i="4"/>
  <c r="L949" i="4"/>
  <c r="L948" i="4"/>
  <c r="L938" i="4"/>
  <c r="L937" i="4"/>
  <c r="L936" i="4"/>
  <c r="L924" i="4"/>
  <c r="L919" i="4"/>
  <c r="L916" i="4"/>
  <c r="L915" i="4"/>
  <c r="L906" i="4"/>
  <c r="L905" i="4"/>
  <c r="L896" i="4"/>
  <c r="L895" i="4"/>
  <c r="L894" i="4"/>
  <c r="L893" i="4"/>
  <c r="L892" i="4"/>
  <c r="L891" i="4"/>
  <c r="L890" i="4"/>
  <c r="L889" i="4"/>
  <c r="L888" i="4"/>
  <c r="L887" i="4"/>
  <c r="L886" i="4"/>
  <c r="L885" i="4"/>
  <c r="L878" i="4"/>
  <c r="L877" i="4"/>
  <c r="L876" i="4"/>
  <c r="L875" i="4"/>
  <c r="L874" i="4"/>
  <c r="L860" i="4"/>
  <c r="L859" i="4"/>
  <c r="L858" i="4"/>
  <c r="L857" i="4"/>
  <c r="L856" i="4"/>
  <c r="L855" i="4"/>
  <c r="L854" i="4"/>
  <c r="L847" i="4"/>
  <c r="L846" i="4"/>
  <c r="L845" i="4"/>
  <c r="L837" i="4"/>
  <c r="L836" i="4"/>
  <c r="L835" i="4"/>
  <c r="L834" i="4"/>
  <c r="L833" i="4"/>
  <c r="L824" i="4"/>
  <c r="L823" i="4"/>
  <c r="L822" i="4"/>
  <c r="L821" i="4"/>
  <c r="L820" i="4"/>
  <c r="L819" i="4"/>
  <c r="L811" i="4"/>
  <c r="L810" i="4"/>
  <c r="L809" i="4"/>
  <c r="L808" i="4"/>
  <c r="L807" i="4"/>
  <c r="L775" i="4"/>
  <c r="L774" i="4"/>
  <c r="L773" i="4"/>
  <c r="L739" i="4"/>
  <c r="L738" i="4"/>
  <c r="L737" i="4"/>
  <c r="L736" i="4"/>
  <c r="L735" i="4"/>
  <c r="L734" i="4"/>
  <c r="L733" i="4"/>
  <c r="L732" i="4"/>
  <c r="L731" i="4"/>
  <c r="L730" i="4"/>
  <c r="L716" i="4"/>
  <c r="L715" i="4"/>
  <c r="L714" i="4"/>
  <c r="L713" i="4"/>
  <c r="L708" i="4"/>
  <c r="L707" i="4"/>
  <c r="L706" i="4"/>
  <c r="L705" i="4"/>
  <c r="L698" i="4"/>
  <c r="L697" i="4"/>
  <c r="L696" i="4"/>
  <c r="L695" i="4"/>
  <c r="L694" i="4"/>
  <c r="L693" i="4"/>
  <c r="L692" i="4"/>
  <c r="L691" i="4"/>
  <c r="L690" i="4"/>
  <c r="L689" i="4"/>
  <c r="L688" i="4"/>
  <c r="L671" i="4"/>
  <c r="L670" i="4"/>
  <c r="L661" i="4"/>
  <c r="L660" i="4"/>
  <c r="L641" i="4"/>
  <c r="L640" i="4"/>
  <c r="L639" i="4"/>
  <c r="L638" i="4"/>
  <c r="L637" i="4"/>
  <c r="L623" i="4"/>
  <c r="L611" i="4"/>
  <c r="L610" i="4"/>
  <c r="L601" i="4"/>
  <c r="L600" i="4"/>
  <c r="L599" i="4"/>
  <c r="L598" i="4"/>
  <c r="L597" i="4"/>
  <c r="L596" i="4"/>
  <c r="L595" i="4"/>
  <c r="L571" i="4"/>
  <c r="L555" i="4"/>
  <c r="L554" i="4"/>
  <c r="L553" i="4"/>
  <c r="L539" i="4"/>
  <c r="L538" i="4"/>
  <c r="L537" i="4"/>
  <c r="L536" i="4"/>
  <c r="L525" i="4"/>
  <c r="L524" i="4"/>
  <c r="L523" i="4"/>
  <c r="L522" i="4"/>
  <c r="L521" i="4"/>
  <c r="L520" i="4"/>
  <c r="L519" i="4"/>
  <c r="L518" i="4"/>
  <c r="L517" i="4"/>
  <c r="L513" i="4"/>
  <c r="L502" i="4"/>
  <c r="L501" i="4"/>
  <c r="L493" i="4"/>
  <c r="L482" i="4"/>
  <c r="L469" i="4"/>
  <c r="L468" i="4"/>
  <c r="L467" i="4"/>
  <c r="L466" i="4"/>
  <c r="L232" i="4"/>
  <c r="L231" i="4"/>
  <c r="L230" i="4"/>
  <c r="L205" i="4"/>
  <c r="L201" i="4"/>
  <c r="L197" i="4"/>
  <c r="L179" i="4"/>
  <c r="L170" i="4"/>
  <c r="L129" i="4"/>
  <c r="L127" i="4"/>
  <c r="L120" i="4"/>
  <c r="L113" i="4"/>
  <c r="L112" i="4"/>
  <c r="L111" i="4"/>
  <c r="L110" i="4"/>
  <c r="L109" i="4"/>
  <c r="L108" i="4"/>
  <c r="L107" i="4"/>
  <c r="L106" i="4"/>
  <c r="L105" i="4"/>
  <c r="L91" i="4"/>
  <c r="L90" i="4"/>
  <c r="L87" i="4"/>
  <c r="L86" i="4"/>
  <c r="L85" i="4"/>
  <c r="L83" i="4"/>
  <c r="L77" i="4"/>
  <c r="L75" i="4"/>
  <c r="L69" i="4"/>
  <c r="L68" i="4"/>
  <c r="L67" i="4"/>
  <c r="L60" i="4"/>
  <c r="L43" i="4"/>
  <c r="L37" i="4"/>
  <c r="L285" i="5"/>
  <c r="L284" i="5"/>
  <c r="L283" i="5"/>
  <c r="L282" i="5"/>
  <c r="L281" i="5"/>
  <c r="L274" i="5"/>
  <c r="L273" i="5"/>
  <c r="L272" i="5"/>
  <c r="L266" i="5"/>
  <c r="L269" i="5"/>
  <c r="L259" i="5"/>
  <c r="L257" i="5"/>
  <c r="L188" i="5"/>
  <c r="L183" i="5"/>
  <c r="L173" i="5"/>
  <c r="L169" i="5"/>
  <c r="L124" i="5" l="1"/>
  <c r="L152" i="5"/>
  <c r="L128" i="5"/>
  <c r="L126" i="5"/>
  <c r="L103" i="5"/>
  <c r="L151" i="5"/>
  <c r="L123" i="5"/>
  <c r="L101" i="5"/>
  <c r="L100" i="5"/>
  <c r="L253" i="4"/>
  <c r="L261" i="4"/>
  <c r="L257" i="4"/>
  <c r="L252" i="4"/>
  <c r="L258" i="4"/>
  <c r="L254" i="4"/>
  <c r="L368" i="4"/>
  <c r="L367" i="5"/>
  <c r="L368" i="5"/>
  <c r="L360" i="5"/>
  <c r="L361" i="5"/>
  <c r="L499" i="4"/>
  <c r="L500" i="4"/>
  <c r="L506" i="4"/>
  <c r="L510" i="4"/>
  <c r="L511" i="4"/>
  <c r="L512" i="4"/>
  <c r="L1108" i="4"/>
  <c r="L1107" i="4"/>
  <c r="L1106" i="4"/>
  <c r="L1095" i="4"/>
  <c r="L1087" i="4"/>
  <c r="L1088" i="4"/>
  <c r="L1075" i="4"/>
  <c r="L1056" i="4"/>
  <c r="L1049" i="4"/>
  <c r="L1044" i="4"/>
  <c r="L1043" i="4"/>
  <c r="L1042" i="4"/>
  <c r="L1033" i="4"/>
  <c r="L1032" i="4"/>
  <c r="L1034" i="4"/>
  <c r="L1003" i="4"/>
  <c r="L998" i="4"/>
  <c r="L997" i="4"/>
  <c r="L1000" i="4"/>
  <c r="L999" i="4"/>
  <c r="L990" i="4"/>
  <c r="L988" i="4"/>
  <c r="L979" i="4"/>
  <c r="L980" i="4"/>
  <c r="L975" i="4"/>
  <c r="L971" i="4"/>
  <c r="L967" i="4"/>
  <c r="L959" i="4"/>
  <c r="L955" i="4"/>
  <c r="L947" i="4"/>
  <c r="L946" i="4"/>
  <c r="L939" i="4"/>
  <c r="L935" i="4"/>
  <c r="L934" i="4"/>
  <c r="L933" i="4"/>
  <c r="L932" i="4"/>
  <c r="L917" i="4" l="1"/>
  <c r="L918" i="4"/>
  <c r="L914" i="4"/>
  <c r="L913" i="4"/>
  <c r="L904" i="4"/>
  <c r="L897" i="4"/>
  <c r="L873" i="4"/>
  <c r="L853" i="4"/>
  <c r="L844" i="4"/>
  <c r="L843" i="4"/>
  <c r="L832" i="4"/>
  <c r="L831" i="4"/>
  <c r="L776" i="4"/>
  <c r="L771" i="4"/>
  <c r="L762" i="4"/>
  <c r="L763" i="4"/>
  <c r="L764" i="4"/>
  <c r="L754" i="4"/>
  <c r="L755" i="4"/>
  <c r="L745" i="4"/>
  <c r="L746" i="4"/>
  <c r="L729" i="4"/>
  <c r="L728" i="4"/>
  <c r="L721" i="4"/>
  <c r="L722" i="4"/>
  <c r="L712" i="4"/>
  <c r="L704" i="4"/>
  <c r="L703" i="4"/>
  <c r="L687" i="4"/>
  <c r="L681" i="4"/>
  <c r="L682" i="4"/>
  <c r="L677" i="4"/>
  <c r="L672" i="4"/>
  <c r="L669" i="4"/>
  <c r="L668" i="4"/>
  <c r="L659" i="4"/>
  <c r="L645" i="4"/>
  <c r="L636" i="4"/>
  <c r="L635" i="4"/>
  <c r="L622" i="4"/>
  <c r="L618" i="4"/>
  <c r="L617" i="4"/>
  <c r="L616" i="4"/>
  <c r="L615" i="4"/>
  <c r="L620" i="4"/>
  <c r="L619" i="4"/>
  <c r="L621" i="4"/>
  <c r="L608" i="4"/>
  <c r="L607" i="4"/>
  <c r="L609" i="4"/>
  <c r="L650" i="4"/>
  <c r="L646" i="4"/>
  <c r="L631" i="4"/>
  <c r="L627" i="4"/>
  <c r="L602" i="4"/>
  <c r="L594" i="4"/>
  <c r="L593" i="4"/>
  <c r="L592" i="4"/>
  <c r="L1127" i="4"/>
  <c r="L1100" i="4"/>
  <c r="L1069" i="4"/>
  <c r="L1068" i="4"/>
  <c r="L1062" i="4"/>
  <c r="L1050" i="4"/>
  <c r="L1036" i="4"/>
  <c r="L1013" i="4"/>
  <c r="L1004" i="4"/>
  <c r="L991" i="4"/>
  <c r="L982" i="4"/>
  <c r="L981" i="4"/>
  <c r="L950" i="4"/>
  <c r="L940" i="4"/>
  <c r="L907" i="4"/>
  <c r="L898" i="4"/>
  <c r="L879" i="4"/>
  <c r="L867" i="4"/>
  <c r="L866" i="4"/>
  <c r="L825" i="4"/>
  <c r="L812" i="4"/>
  <c r="L800" i="4"/>
  <c r="L777" i="4"/>
  <c r="L757" i="4"/>
  <c r="L756" i="4"/>
  <c r="L748" i="4"/>
  <c r="L747" i="4"/>
  <c r="L720" i="4"/>
  <c r="L583" i="4"/>
  <c r="L582" i="4"/>
  <c r="L584" i="4"/>
  <c r="L585" i="4"/>
  <c r="L576" i="4"/>
  <c r="L567" i="4"/>
  <c r="L562" i="4"/>
  <c r="L552" i="4"/>
  <c r="L551" i="4"/>
  <c r="L545" i="4"/>
  <c r="L546" i="4"/>
  <c r="L535" i="4"/>
  <c r="L534" i="4"/>
  <c r="L533" i="4"/>
  <c r="L494" i="4"/>
  <c r="L492" i="4"/>
  <c r="L490" i="4"/>
  <c r="L489" i="4"/>
  <c r="L491" i="4"/>
  <c r="L481" i="4"/>
  <c r="L480" i="4"/>
  <c r="L478" i="4"/>
  <c r="L477" i="4"/>
  <c r="L479" i="4"/>
  <c r="L465" i="4"/>
  <c r="L463" i="4"/>
  <c r="L464" i="4"/>
  <c r="L410" i="4"/>
  <c r="L409" i="4"/>
  <c r="L408" i="4"/>
  <c r="L407" i="4"/>
  <c r="L406" i="4"/>
  <c r="L405" i="4"/>
  <c r="L404" i="4"/>
  <c r="L376" i="4" l="1"/>
  <c r="L372" i="4"/>
  <c r="L364" i="4"/>
  <c r="L363" i="4"/>
  <c r="L362" i="4"/>
  <c r="L358" i="4"/>
  <c r="L357" i="4"/>
  <c r="L356" i="4"/>
  <c r="L249" i="4"/>
  <c r="L246" i="4"/>
  <c r="L262" i="4"/>
  <c r="L240" i="5"/>
  <c r="L239" i="5"/>
  <c r="L237" i="5"/>
  <c r="L236" i="5"/>
  <c r="L235" i="5"/>
  <c r="L234" i="5"/>
  <c r="L228" i="5"/>
  <c r="L224" i="5"/>
  <c r="L223" i="5"/>
  <c r="L222" i="5"/>
  <c r="L221" i="5"/>
  <c r="L220" i="5"/>
  <c r="L219" i="5"/>
  <c r="L215" i="5"/>
  <c r="L228" i="4"/>
  <c r="L227" i="4"/>
  <c r="L229" i="4"/>
  <c r="L221" i="4"/>
  <c r="L220" i="4"/>
  <c r="L224" i="4"/>
  <c r="L223" i="4"/>
  <c r="L222" i="4"/>
  <c r="L193" i="4"/>
  <c r="L189" i="4"/>
  <c r="L188" i="4"/>
  <c r="L187" i="4"/>
  <c r="L183" i="4"/>
  <c r="L178" i="4"/>
  <c r="L177" i="4"/>
  <c r="L176" i="4"/>
  <c r="L175" i="4"/>
  <c r="L174" i="4"/>
  <c r="L166" i="4"/>
  <c r="L165" i="4"/>
  <c r="L93" i="5"/>
  <c r="L90" i="5"/>
  <c r="L87" i="5"/>
  <c r="L84" i="5"/>
  <c r="L82" i="5"/>
  <c r="L79" i="5"/>
  <c r="L62" i="5"/>
  <c r="L49" i="5"/>
  <c r="L48" i="5"/>
  <c r="L47" i="5"/>
  <c r="L46" i="5"/>
  <c r="L45" i="5"/>
  <c r="L44" i="5"/>
  <c r="L36" i="5"/>
  <c r="L31" i="5"/>
  <c r="L30" i="5"/>
  <c r="L28" i="5"/>
  <c r="L27" i="5"/>
  <c r="L26" i="5"/>
  <c r="L23" i="5"/>
  <c r="L21" i="5"/>
  <c r="L19" i="5"/>
  <c r="L17" i="5"/>
  <c r="L15" i="5"/>
  <c r="L2" i="5"/>
  <c r="L5" i="5"/>
  <c r="L8" i="5"/>
  <c r="L13" i="5"/>
  <c r="L161" i="4"/>
  <c r="L160" i="4"/>
  <c r="L159" i="4"/>
  <c r="L155" i="4"/>
  <c r="L151" i="4"/>
  <c r="L147" i="4"/>
  <c r="L146" i="4"/>
  <c r="L141" i="4"/>
  <c r="L142" i="4"/>
  <c r="L137" i="4"/>
  <c r="L133" i="4"/>
  <c r="L128" i="4"/>
  <c r="L126" i="4"/>
  <c r="L125" i="4"/>
  <c r="L124" i="4"/>
  <c r="L119" i="4"/>
  <c r="L118" i="4"/>
  <c r="L117" i="4"/>
  <c r="L116" i="4"/>
  <c r="L115" i="4"/>
  <c r="L114" i="4"/>
  <c r="L104" i="4"/>
  <c r="L98" i="4"/>
  <c r="L99" i="4"/>
  <c r="L97" i="4"/>
  <c r="L100" i="4"/>
  <c r="L96" i="4"/>
  <c r="L95" i="4"/>
  <c r="L89" i="4"/>
  <c r="L88" i="4"/>
  <c r="L84" i="4"/>
  <c r="L82" i="4"/>
  <c r="L78" i="4"/>
  <c r="L76" i="4"/>
  <c r="L66" i="4"/>
  <c r="L71" i="4"/>
  <c r="L70" i="4"/>
  <c r="L62" i="4"/>
  <c r="L61" i="4"/>
  <c r="L59" i="4"/>
  <c r="L53" i="4"/>
  <c r="L54" i="4"/>
  <c r="L55" i="4"/>
  <c r="L52" i="4"/>
  <c r="L51" i="4"/>
  <c r="L50" i="4"/>
  <c r="L44" i="4"/>
  <c r="L45" i="4"/>
  <c r="L42" i="4"/>
  <c r="L46" i="4"/>
  <c r="L38" i="4"/>
  <c r="L36" i="4"/>
  <c r="L35" i="4"/>
</calcChain>
</file>

<file path=xl/sharedStrings.xml><?xml version="1.0" encoding="utf-8"?>
<sst xmlns="http://schemas.openxmlformats.org/spreadsheetml/2006/main" count="7358" uniqueCount="1599">
  <si>
    <t>page_id</t>
  </si>
  <si>
    <t>type</t>
  </si>
  <si>
    <t>title</t>
  </si>
  <si>
    <t>slug</t>
  </si>
  <si>
    <t>parent_id</t>
  </si>
  <si>
    <t>sort</t>
  </si>
  <si>
    <t>home</t>
  </si>
  <si>
    <t>landing</t>
  </si>
  <si>
    <t>Inschriftenschlüssel</t>
  </si>
  <si>
    <t>index</t>
  </si>
  <si>
    <t>f_opfer</t>
  </si>
  <si>
    <t>formula</t>
  </si>
  <si>
    <t>pages/formeln/opferformel</t>
  </si>
  <si>
    <t>s_gott</t>
  </si>
  <si>
    <t>slot</t>
  </si>
  <si>
    <t>pages/slots/gottheit</t>
  </si>
  <si>
    <t>landing_id</t>
  </si>
  <si>
    <t>label</t>
  </si>
  <si>
    <t>href_page_id</t>
  </si>
  <si>
    <t>Opferformel</t>
  </si>
  <si>
    <t>block_type</t>
  </si>
  <si>
    <t>heading</t>
  </si>
  <si>
    <t>body_md</t>
  </si>
  <si>
    <t>table_id</t>
  </si>
  <si>
    <t>glyphline</t>
  </si>
  <si>
    <t>gl_opfer</t>
  </si>
  <si>
    <t>prose</t>
  </si>
  <si>
    <t>Übersetzung</t>
  </si>
  <si>
    <t>table</t>
  </si>
  <si>
    <t>Aufbau</t>
  </si>
  <si>
    <t>tb_opfer_aufbau</t>
  </si>
  <si>
    <t>Kommentare</t>
  </si>
  <si>
    <t>glyphvariants</t>
  </si>
  <si>
    <t>Schreibvarianten</t>
  </si>
  <si>
    <t>gl_opfer_var</t>
  </si>
  <si>
    <t>Literatur</t>
  </si>
  <si>
    <t>row</t>
  </si>
  <si>
    <t>col</t>
  </si>
  <si>
    <t>value</t>
  </si>
  <si>
    <t>Transkription</t>
  </si>
  <si>
    <t>WB</t>
  </si>
  <si>
    <t>Kommentar</t>
  </si>
  <si>
    <t>line_id</t>
  </si>
  <si>
    <t>seq</t>
  </si>
  <si>
    <t>kind</t>
  </si>
  <si>
    <t>text</t>
  </si>
  <si>
    <t>badge</t>
  </si>
  <si>
    <t>glyph</t>
  </si>
  <si>
    <t>Gottheit</t>
  </si>
  <si>
    <t>Gaben</t>
  </si>
  <si>
    <t>Person</t>
  </si>
  <si>
    <t>section</t>
  </si>
  <si>
    <t>collapsible</t>
  </si>
  <si>
    <t>intro</t>
  </si>
  <si>
    <t>FALSE</t>
  </si>
  <si>
    <t>det</t>
  </si>
  <si>
    <t>Typische Determinative</t>
  </si>
  <si>
    <t>tb_gott_det</t>
  </si>
  <si>
    <t>big</t>
  </si>
  <si>
    <t>Göttertabellen</t>
  </si>
  <si>
    <t>tb_gott_big</t>
  </si>
  <si>
    <t>TRUE</t>
  </si>
  <si>
    <t>f_denkm</t>
  </si>
  <si>
    <t>f_hymnus</t>
  </si>
  <si>
    <t>f_koenig-gottheit</t>
  </si>
  <si>
    <t>f_koenigsinschr</t>
  </si>
  <si>
    <t>f_beischrift</t>
  </si>
  <si>
    <t>f_saitenformel</t>
  </si>
  <si>
    <t>f_anruf-lebenden</t>
  </si>
  <si>
    <t>pages/formeln/denkmaelerformel</t>
  </si>
  <si>
    <t>pages/formeln/hymnus</t>
  </si>
  <si>
    <t>pages/formeln/koenig-geliebt-von-gottheit-formel</t>
  </si>
  <si>
    <t>pages/formeln/koenigsinschrift</t>
  </si>
  <si>
    <t>pages/formeln/beischrift</t>
  </si>
  <si>
    <t>pages/formeln/saiten-formel</t>
  </si>
  <si>
    <t>pages/formeln/anruf-an-die-lebenden</t>
  </si>
  <si>
    <t>s_gaben</t>
  </si>
  <si>
    <t>s_person</t>
  </si>
  <si>
    <t>s_koenig</t>
  </si>
  <si>
    <t>pages/slots/gaben</t>
  </si>
  <si>
    <t>pages/slots/person</t>
  </si>
  <si>
    <t>pages/slots/koenig</t>
  </si>
  <si>
    <t>Ein Opfer, das der König [Gottheit] gibt. Er/sie möge(n) geben ein Anrufungsopfer bestehend aus [Gaben] für / für den Ka des/der [Person]</t>
  </si>
  <si>
    <t>Ein Opfer, das der König gibt</t>
  </si>
  <si>
    <t>häufige Schreibung; ab 19. Dyn. auch mit „n“ vor Gottheit geschrieben</t>
  </si>
  <si>
    <t>Er/Sie (Sg. &amp; Pl.) möge(n) geben</t>
  </si>
  <si>
    <t>*n / n kꜣ n*</t>
  </si>
  <si>
    <t>für / für den Ka des/der</t>
  </si>
  <si>
    <t>glyph_path</t>
  </si>
  <si>
    <t>group</t>
  </si>
  <si>
    <t>main</t>
  </si>
  <si>
    <t>br</t>
  </si>
  <si>
    <t>var1</t>
  </si>
  <si>
    <t>var2</t>
  </si>
  <si>
    <t>*n* / *n kꜣ n*</t>
  </si>
  <si>
    <t>var3</t>
  </si>
  <si>
    <t>href</t>
  </si>
  <si>
    <t>../slots/gottheit.qmd</t>
  </si>
  <si>
    <t>../slots/gaben.qmd</t>
  </si>
  <si>
    <t>../slots/person.qmd</t>
  </si>
  <si>
    <t xml:space="preserve"> Beide Bestandteile sind nicht verpflichtend. Ein Gott kann nur durch seinen Namen, durch sein Epitheton, seine Epitheta oder durch eine Kombination dieser Möglichkeiten genannt werden.</t>
  </si>
  <si>
    <t>Gottesname + Epitheton/-a</t>
  </si>
  <si>
    <t>männlich</t>
  </si>
  <si>
    <t>weiblich</t>
  </si>
  <si>
    <t>02_Slots/Gottheit/Determinative_typisch/02_f/</t>
  </si>
  <si>
    <t>Hieroglyphen</t>
  </si>
  <si>
    <t>Spezifische Determinative</t>
  </si>
  <si>
    <t>Name</t>
  </si>
  <si>
    <t>Spezifische Epitheta</t>
  </si>
  <si>
    <t>02_Slots/Gottheit/Determinative_typisch/01_m/</t>
  </si>
  <si>
    <t>det/</t>
  </si>
  <si>
    <t>Amun</t>
  </si>
  <si>
    <t>.png</t>
  </si>
  <si>
    <t>0001_A40_01</t>
  </si>
  <si>
    <t>0010_G7_01</t>
  </si>
  <si>
    <t>0020_R8_01</t>
  </si>
  <si>
    <t>0001_B7_01</t>
  </si>
  <si>
    <t>0010_I64_01</t>
  </si>
  <si>
    <t>0020_H8_01</t>
  </si>
  <si>
    <t>0030_H8_02</t>
  </si>
  <si>
    <t>0001_Jmn_01</t>
  </si>
  <si>
    <t>0001_Jmn_det_01</t>
  </si>
  <si>
    <t>0010_Jmn_GR_01</t>
  </si>
  <si>
    <t>0020_Jmn_GR_02</t>
  </si>
  <si>
    <t>epitheta/01_m-jp.t/</t>
  </si>
  <si>
    <t>0001_Jmn-Ra_01</t>
  </si>
  <si>
    <t>Amun-Re</t>
  </si>
  <si>
    <t>Amun-Re-Harachte</t>
  </si>
  <si>
    <t>Amset</t>
  </si>
  <si>
    <t>Onuris</t>
  </si>
  <si>
    <t>Anubis</t>
  </si>
  <si>
    <t>Atum</t>
  </si>
  <si>
    <t>Aton</t>
  </si>
  <si>
    <t>Wepwaut</t>
  </si>
  <si>
    <t>Osiris</t>
  </si>
  <si>
    <t>Bastet</t>
  </si>
  <si>
    <t>Behedeti</t>
  </si>
  <si>
    <t>Götterneunheit</t>
  </si>
  <si>
    <t>Ptah</t>
  </si>
  <si>
    <t>Maat</t>
  </si>
  <si>
    <t>Min</t>
  </si>
  <si>
    <t>Mut</t>
  </si>
  <si>
    <t>Month</t>
  </si>
  <si>
    <t>Neith</t>
  </si>
  <si>
    <t>Nut</t>
  </si>
  <si>
    <t>Nephthys</t>
  </si>
  <si>
    <t>Nefertem</t>
  </si>
  <si>
    <t>Nechbet</t>
  </si>
  <si>
    <t>Re</t>
  </si>
  <si>
    <t>Re-Harachte</t>
  </si>
  <si>
    <t>Renenutet</t>
  </si>
  <si>
    <t>Hapi (Nilgott)</t>
  </si>
  <si>
    <t>Hathor</t>
  </si>
  <si>
    <t>Apis</t>
  </si>
  <si>
    <t>Hapi (Horussohn)</t>
  </si>
  <si>
    <t>Horus</t>
  </si>
  <si>
    <t>Harachte</t>
  </si>
  <si>
    <t>Heqet</t>
  </si>
  <si>
    <t>Chnum</t>
  </si>
  <si>
    <t>Chons</t>
  </si>
  <si>
    <t>Sobek</t>
  </si>
  <si>
    <t>Selkis</t>
  </si>
  <si>
    <t>Sachmet</t>
  </si>
  <si>
    <t>Sokar</t>
  </si>
  <si>
    <t>Isis</t>
  </si>
  <si>
    <t>Seth</t>
  </si>
  <si>
    <t>Schu</t>
  </si>
  <si>
    <t>Qebehsenuef</t>
  </si>
  <si>
    <t>Duamutef</t>
  </si>
  <si>
    <t>Thot</t>
  </si>
  <si>
    <t>collapsible-heading</t>
  </si>
  <si>
    <t>Öffne Göttertabellen</t>
  </si>
  <si>
    <t>*m jp.t*</t>
  </si>
  <si>
    <t>(Amun) in Luxor</t>
  </si>
  <si>
    <t>*imn-rꜥ*</t>
  </si>
  <si>
    <t>*imn*</t>
  </si>
  <si>
    <t>*ḥtp-di-nsw (n)*</t>
  </si>
  <si>
    <t>*di⸗f / ⸗s / ⸗sn pr.t-ḫrw*</t>
  </si>
  <si>
    <t>*ḥtp-di-nsw*</t>
  </si>
  <si>
    <t>(*di*)</t>
  </si>
  <si>
    <t>*di⸗f* / *⸗s* / *⸗sn*</t>
  </si>
  <si>
    <t>[Person] NN = Verstorbene(r)</t>
  </si>
  <si>
    <t>III: 186–187</t>
  </si>
  <si>
    <t>III: 186</t>
  </si>
  <si>
    <t>Barta, Winfried. 1968. Aufbau und Bedeutung der altägyptischen Opferformel. Ägyptologische forschungen 24. J. J. Augustin.&lt;br&gt;
Lapp, Günther. 1986. Die Opferformel des Alten Reiches: unter Berücksichtigung einiger späterer Formen. Sonderschrift, Deutsches Archäologisches Institut, Abteilung Kairo 21. Philipp von Zabern.</t>
  </si>
  <si>
    <t>Übliche Form</t>
  </si>
  <si>
    <t>Anfangsformel</t>
  </si>
  <si>
    <t>*pr.t-ḫrw*</t>
  </si>
  <si>
    <t>ein Anrufungsopfer bestehend aus</t>
  </si>
  <si>
    <t>0001_pr.t-xrw_01</t>
  </si>
  <si>
    <t>Determinativ</t>
  </si>
  <si>
    <t>0010_pr.t-xrw_02</t>
  </si>
  <si>
    <t>0020_pr.t-xrw_AR_01</t>
  </si>
  <si>
    <t>0001_pr.t-xrw_det_01</t>
  </si>
  <si>
    <t>tb_aufzaehl</t>
  </si>
  <si>
    <t>tb_attribut</t>
  </si>
  <si>
    <t>tb_schlussf</t>
  </si>
  <si>
    <t>tb_anfangs</t>
  </si>
  <si>
    <t>*ḥnq.t*</t>
  </si>
  <si>
    <t>Bier</t>
  </si>
  <si>
    <t>0001_Hnq.t_01</t>
  </si>
  <si>
    <t>0010_Hnq.t_GR_01</t>
  </si>
  <si>
    <t>0020_Hnq.t_Abk_01</t>
  </si>
  <si>
    <t>0001_Hnq.t_det_01</t>
  </si>
  <si>
    <t>0010_Hnq.t_det_02</t>
  </si>
  <si>
    <t>0001_t_01</t>
  </si>
  <si>
    <t>0010_t_Abk_01</t>
  </si>
  <si>
    <t>0001_t_det_01</t>
  </si>
  <si>
    <t>0010_t_det_02</t>
  </si>
  <si>
    <t>0020_t_det_03</t>
  </si>
  <si>
    <t>0030_t_det_04</t>
  </si>
  <si>
    <t>*t*</t>
  </si>
  <si>
    <t>Brot</t>
  </si>
  <si>
    <t>0001_Apd_01</t>
  </si>
  <si>
    <t>0010_Apd_Abk_01</t>
  </si>
  <si>
    <t>0020_Apd_Abk_02</t>
  </si>
  <si>
    <t>0001_Apd_det_01</t>
  </si>
  <si>
    <t>*ꜣpd*</t>
  </si>
  <si>
    <t>Geflügel</t>
  </si>
  <si>
    <t>Rinder</t>
  </si>
  <si>
    <t>*kꜣ*</t>
  </si>
  <si>
    <t>0001_kA_01</t>
  </si>
  <si>
    <t>0010_kA_MR_03</t>
  </si>
  <si>
    <t>0020_kA_NR_01</t>
  </si>
  <si>
    <t>0030_kA_NR_02</t>
  </si>
  <si>
    <t>0040_kA_Abk_01</t>
  </si>
  <si>
    <t>0001_kA_det_01</t>
  </si>
  <si>
    <t>*šs*</t>
  </si>
  <si>
    <t>Alabaster</t>
  </si>
  <si>
    <t>0010_Ss_Abk_01</t>
  </si>
  <si>
    <t>0020_Ss_Abk_MR_01</t>
  </si>
  <si>
    <t>0001_Ss_det_01</t>
  </si>
  <si>
    <t>0001_Ss_AR-MR_01</t>
  </si>
  <si>
    <t>*mnḫ.t*</t>
  </si>
  <si>
    <t>Leinen</t>
  </si>
  <si>
    <t>0001_mnx.t_01</t>
  </si>
  <si>
    <t>0010_mnx.t_NR_01</t>
  </si>
  <si>
    <t>0030_mnx.t_Abk_01</t>
  </si>
  <si>
    <t>0040_mnx.t_Abk_NR_02</t>
  </si>
  <si>
    <t>0050_mnx.t_Abk_GR_01</t>
  </si>
  <si>
    <t>0060_mnx.t_Abk_GR_02</t>
  </si>
  <si>
    <t>0001_mnx.t_det_01</t>
  </si>
  <si>
    <t>0010_mnx.t_det_02</t>
  </si>
  <si>
    <t>0020_mnx.t_det_NR_01</t>
  </si>
  <si>
    <t>0030_mnx.t_det_NR_02</t>
  </si>
  <si>
    <t>0001_mrH.t_01</t>
  </si>
  <si>
    <t>0010_mrH.t_Abk_01</t>
  </si>
  <si>
    <t>0020_mrH.t_Abk_02</t>
  </si>
  <si>
    <t>0001_mrH.t_det_01</t>
  </si>
  <si>
    <t>0010_mrH.t_det_02</t>
  </si>
  <si>
    <t>0020_mrH.t_det_03</t>
  </si>
  <si>
    <t>*mrḥ.t*</t>
  </si>
  <si>
    <t>Salböl</t>
  </si>
  <si>
    <t>02_Slots/Gaben/0001_Anrufungsopfer-Totenopfer/</t>
  </si>
  <si>
    <t>02_Slots/Gaben/0010_Bier/</t>
  </si>
  <si>
    <t>02_Slots/Gaben/0020_Brot/</t>
  </si>
  <si>
    <t>02_Slots/Gaben/0030_Gefluegel/</t>
  </si>
  <si>
    <t>02_Slots/Gaben/0040_Rinder/</t>
  </si>
  <si>
    <t>02_Slots/Gaben/0050_Alabaster/</t>
  </si>
  <si>
    <t>02_Slots/Gaben/0060_Leinen/</t>
  </si>
  <si>
    <t>02_Slots/Gaben/0070_Salboel/</t>
  </si>
  <si>
    <t>*snṯr*</t>
  </si>
  <si>
    <t>02_Slots/Gaben/0080_Weihrauch/</t>
  </si>
  <si>
    <t>0001_snTr_01</t>
  </si>
  <si>
    <t>0010_snTr_AR_01</t>
  </si>
  <si>
    <t>0020_snTr_AR_02</t>
  </si>
  <si>
    <t>0030_snTr_AR_03</t>
  </si>
  <si>
    <t>0050_snTr_MR_01</t>
  </si>
  <si>
    <t>0060_snTr_MR_02</t>
  </si>
  <si>
    <t>0070_snTr_MR_03</t>
  </si>
  <si>
    <t>0080_snTr_D.18_01</t>
  </si>
  <si>
    <t>0090_snTr_D.19_01</t>
  </si>
  <si>
    <t>0100_snTr_Abk_01</t>
  </si>
  <si>
    <t>0120_snTr_Abk_03</t>
  </si>
  <si>
    <t>Abkürzung</t>
  </si>
  <si>
    <t>0001_snTr_det_01</t>
  </si>
  <si>
    <t>0010_snTr_det_02</t>
  </si>
  <si>
    <t>0020_snTr_det_03</t>
  </si>
  <si>
    <t>0030_snTr_det_MR_01</t>
  </si>
  <si>
    <t>0040_snTr_Ende-AR_01</t>
  </si>
  <si>
    <t>Weihrauch</t>
  </si>
  <si>
    <t>*irp*</t>
  </si>
  <si>
    <t>02_Slots/Gaben/0090_Wein/</t>
  </si>
  <si>
    <t>0001_jrp_01</t>
  </si>
  <si>
    <t>0010_jrp_Abk_01</t>
  </si>
  <si>
    <t>0020_jrp_Abk_02</t>
  </si>
  <si>
    <t>0030_jrp_Abk_NR_01</t>
  </si>
  <si>
    <t>0001_jrp_det_01</t>
  </si>
  <si>
    <t>0010_jrp_det_AR_01</t>
  </si>
  <si>
    <t>Wein</t>
  </si>
  <si>
    <t>tausend an</t>
  </si>
  <si>
    <t>02_Slots/Gaben/0100_tausend-an/</t>
  </si>
  <si>
    <t>0001_xA-m-n_01</t>
  </si>
  <si>
    <t>02_Slots/Gaben/0110_was-der-Himmel-gibt/</t>
  </si>
  <si>
    <t>*dd.t p.t*</t>
  </si>
  <si>
    <t>was der Himmel gibt</t>
  </si>
  <si>
    <t>0001_dd.t-p.t_01</t>
  </si>
  <si>
    <t>*qmꜣ.t tꜣ*</t>
  </si>
  <si>
    <t>was die Erde hervorbringt</t>
  </si>
  <si>
    <t>02_Slots/Gaben/0120_was-die-Erde-hervorbringt/</t>
  </si>
  <si>
    <t>0001_qmA.t-tA_01</t>
  </si>
  <si>
    <t>0010_qmA.t-tA_02</t>
  </si>
  <si>
    <t>was der Nil bringt</t>
  </si>
  <si>
    <t>02_Slots/Gaben/0130_was-der-Nil-bringt/</t>
  </si>
  <si>
    <t>*inn.t ḥꜥpy*</t>
  </si>
  <si>
    <t>0001_jnn.t-Hapy_01</t>
  </si>
  <si>
    <t>0010_jnn.t-Hapy_02</t>
  </si>
  <si>
    <t>02_Slots/Gaben/0140_wovon-ein-Gott-lebt/</t>
  </si>
  <si>
    <t>0001_anx.t-nTr-jm_01</t>
  </si>
  <si>
    <t>*ꜥnḫ.t nṯr im*</t>
  </si>
  <si>
    <t>02_Slots/Gaben/0150_wovon-die-Ach-Geister/</t>
  </si>
  <si>
    <t>0001_mrr.t-Ax.w-wnm-jm_01</t>
  </si>
  <si>
    <t>*mrr.t ꜣḫ.w wnm im*</t>
  </si>
  <si>
    <t>wovon ein Gott lebt</t>
  </si>
  <si>
    <t>wovon die Ach-Geister sich zu ernähren lieben</t>
  </si>
  <si>
    <t>*(i)ḫ.t nb.t nfr.t wꜥb.t*</t>
  </si>
  <si>
    <t>02_Slots/Gaben/0160_Alles/</t>
  </si>
  <si>
    <t>alle schönen reinen Dinge</t>
  </si>
  <si>
    <t>0001_(j)x.t-nb.t-nfr.t-wab.t_01</t>
  </si>
  <si>
    <t>0010_(j)x.t-nb.t-nfr.t-wab.t_02</t>
  </si>
  <si>
    <t>0020_(j)x.t-nb.t_01</t>
  </si>
  <si>
    <t>Denkmälerformel</t>
  </si>
  <si>
    <t>id</t>
  </si>
  <si>
    <t>gl_denkm</t>
  </si>
  <si>
    <t>König</t>
  </si>
  <si>
    <t>../slots/koenig.qmd</t>
  </si>
  <si>
    <t>/</t>
  </si>
  <si>
    <t>*ir.n⸗f mnw⸗f*</t>
  </si>
  <si>
    <t>01_Textgattung/01_Opferformel/</t>
  </si>
  <si>
    <t>01_Textgattung/02_Denkmaelerformel/</t>
  </si>
  <si>
    <t>01_Htp-dj-nsw/</t>
  </si>
  <si>
    <t>02_dj/</t>
  </si>
  <si>
    <t>03_n-kA-n/</t>
  </si>
  <si>
    <t>0010_Htp-dj-nsw_AR-MR_01</t>
  </si>
  <si>
    <t>0001_dj_01</t>
  </si>
  <si>
    <t>0001_n-kA-n_01</t>
  </si>
  <si>
    <t>0020_Htp-dj-nsw n_Ende-NR_01</t>
  </si>
  <si>
    <t>0030_Htp-dj-nsw_NR-Spaet._01</t>
  </si>
  <si>
    <t>0040_Htp-dj-nsw_AR-MR-Gott-N-di_01</t>
  </si>
  <si>
    <t>0050_Htp-dj-nsw_AR-MR-Gott-N-Htp-dj_01</t>
  </si>
  <si>
    <t>0060_Htp-dj-nsw_AR-MR-Gott-N-Htp_01</t>
  </si>
  <si>
    <t>0010_dj=f_01</t>
  </si>
  <si>
    <t>0020_dj=s_01</t>
  </si>
  <si>
    <t>0030_dj=sn_01</t>
  </si>
  <si>
    <t>0010_n-kA -n_02</t>
  </si>
  <si>
    <t>01_jrj.n=f-m-mn.w=f/</t>
  </si>
  <si>
    <t>0001_jrj.n=f m mn.w=f_01</t>
  </si>
  <si>
    <t>tb_denkm_aufbau</t>
  </si>
  <si>
    <t>II: 70</t>
  </si>
  <si>
    <t>Grallert, Silke 2001. Bauen - Stiften - Weihen: ägyptische Bau- und Restaurierungsinschriften von den Anfängen bis zur 30. Dynastie. Abhandlungen des Deutschen Archäologischen Instituts Kairo, Ägyptologische Reihe 18. Berlin: Achet.</t>
  </si>
  <si>
    <t>gl_denkm_var</t>
  </si>
  <si>
    <t>0010_jrj.n=f m mn.w=f n jt=f_01</t>
  </si>
  <si>
    <t>0020_jrj.n=f m mn.w=f n mw.t=f_01</t>
  </si>
  <si>
    <t>0030_jrj.n=f mn.w n_01</t>
  </si>
  <si>
    <t>0040_jrj.n=f mn.w=f n_01</t>
  </si>
  <si>
    <t>0050_jrj.n=f mn.w=f_01</t>
  </si>
  <si>
    <t>0060_jr.t n=f_01</t>
  </si>
  <si>
    <t>Hymnus</t>
  </si>
  <si>
    <t>gl_hymnus</t>
  </si>
  <si>
    <t>Verehren/Anbeten [Gottheit] NN, Lobpreis geben den/der [Gottheit] NN, den Boden küssen für [Gottheit] NN von [Person] NN – er sagt: Lobpreis dir/euch, sei gegrüßt/gegrüßst seist du ...</t>
  </si>
  <si>
    <t>*dwꜣ*</t>
  </si>
  <si>
    <t>0001_dwA_01</t>
  </si>
  <si>
    <t>01_dwA/</t>
  </si>
  <si>
    <t>02_rDj.t-jAw/</t>
  </si>
  <si>
    <t>0001_rDj.t-jAw_01</t>
  </si>
  <si>
    <t>*rdi.t iꜣw*</t>
  </si>
  <si>
    <t>03_sn-tA-n/</t>
  </si>
  <si>
    <t>0001_sn-tA-n_01</t>
  </si>
  <si>
    <t>*sn tꜣ n*</t>
  </si>
  <si>
    <t>*in*</t>
  </si>
  <si>
    <t>04_jn/</t>
  </si>
  <si>
    <t>0001_jn_01</t>
  </si>
  <si>
    <t>*ḏd⸗f*</t>
  </si>
  <si>
    <t>05_Dd=f/</t>
  </si>
  <si>
    <t>0001_Dd=f_01</t>
  </si>
  <si>
    <t>06_jnD-Hr/</t>
  </si>
  <si>
    <t>0001_jnD-Hr_01</t>
  </si>
  <si>
    <t>Überschrift</t>
  </si>
  <si>
    <t>tb_person_titel</t>
  </si>
  <si>
    <t>01_jmj-rA_01</t>
  </si>
  <si>
    <t>01_jmj-rA_02</t>
  </si>
  <si>
    <t>*imi-rꜣ*</t>
  </si>
  <si>
    <t>02_Slots/Titel/</t>
  </si>
  <si>
    <t>Vorsteher</t>
  </si>
  <si>
    <t>Oberer</t>
  </si>
  <si>
    <t>*ḥry*</t>
  </si>
  <si>
    <t>*imꜣḫ*</t>
  </si>
  <si>
    <t>Ehrwürdiger / Versorgter</t>
  </si>
  <si>
    <t>03_jmAx_01</t>
  </si>
  <si>
    <t>03_jmAx_02</t>
  </si>
  <si>
    <t>03_jmAx_03</t>
  </si>
  <si>
    <t>03_jmAx_04</t>
  </si>
  <si>
    <t>02_Hry_MR_01</t>
  </si>
  <si>
    <t>03_jmAx_MR_01</t>
  </si>
  <si>
    <t>*nb imꜣḫ*</t>
  </si>
  <si>
    <t>Herr der Erwürdigkeit</t>
  </si>
  <si>
    <t>05_wsjr_01</t>
  </si>
  <si>
    <t>05_wsjr_02</t>
  </si>
  <si>
    <t>05_wsjr_03</t>
  </si>
  <si>
    <t>*wsir*</t>
  </si>
  <si>
    <t>04_nb-jmAx_01</t>
  </si>
  <si>
    <t>Allgemein:</t>
  </si>
  <si>
    <t>weiblich:</t>
  </si>
  <si>
    <t>tb_person_titel_weiblich</t>
  </si>
  <si>
    <t>f/</t>
  </si>
  <si>
    <t>01_nb.t-pr_01</t>
  </si>
  <si>
    <t>*nb.t pr*</t>
  </si>
  <si>
    <t>Herrin des Hauses</t>
  </si>
  <si>
    <t>02_Hm.t-nTr-Hw.t-Hr_AR_01</t>
  </si>
  <si>
    <t>*ḥm.t-nṯr ḥw.t-ḥr*</t>
  </si>
  <si>
    <t>Priesterin der Hathor</t>
  </si>
  <si>
    <t>02_Hw.t-Hr_Roem._01</t>
  </si>
  <si>
    <t>*ḥw.t-ḥr*</t>
  </si>
  <si>
    <t>03_Smay.t-jmn_NR-3.Zw.Zt._01</t>
  </si>
  <si>
    <t>*šmꜥy.t-imn*</t>
  </si>
  <si>
    <t>Sängerin des Amun</t>
  </si>
  <si>
    <t>wichtiges Bildungsmuster für weibliche Namen:</t>
  </si>
  <si>
    <t>02_Slots/Personennamen/Namen/f/</t>
  </si>
  <si>
    <t>01_tA-dj-Gottheit/</t>
  </si>
  <si>
    <t>01_tA-dj_01</t>
  </si>
  <si>
    <t>01_tA-dj_02</t>
  </si>
  <si>
    <t>wichtiges Bildungsmuster für männliche Namen:</t>
  </si>
  <si>
    <t>02_Slots/Personennamen/Namen/m/</t>
  </si>
  <si>
    <t>01_pA-dj_01</t>
  </si>
  <si>
    <t>01_pA-dj_02</t>
  </si>
  <si>
    <t>tb_person_det</t>
  </si>
  <si>
    <t>02_Slots/Personennamen/Determinative/</t>
  </si>
  <si>
    <t>m/</t>
  </si>
  <si>
    <t>01_B1_01</t>
  </si>
  <si>
    <t>02_B1G_01</t>
  </si>
  <si>
    <t>03_B8_01</t>
  </si>
  <si>
    <t>01_A1_01</t>
  </si>
  <si>
    <t>02_A52_01</t>
  </si>
  <si>
    <t>tb_person_epith</t>
  </si>
  <si>
    <t>*mꜣꜥ-ḫrw*</t>
  </si>
  <si>
    <t>Gerechtfertigter</t>
  </si>
  <si>
    <t>02_Slots/Menschenepitheta/</t>
  </si>
  <si>
    <t>03_mAa-xrw_01</t>
  </si>
  <si>
    <t>03_mAa-xrw_02</t>
  </si>
  <si>
    <t>03_mAa-xrw_03</t>
  </si>
  <si>
    <t>03_mAa-xrw_NR_01</t>
  </si>
  <si>
    <t>03_mAa-xrw_Spaet._01</t>
  </si>
  <si>
    <t>03_mAa-xrw_Spaet._02</t>
  </si>
  <si>
    <t>01_pA-dj-Gottheit/</t>
  </si>
  <si>
    <t>König-geliebt-von-Gottheit-Formel</t>
  </si>
  <si>
    <t>gl_koenig-gottheit</t>
  </si>
  <si>
    <t>*mry*</t>
  </si>
  <si>
    <t>01_Textgattung/03_Hymnus/</t>
  </si>
  <si>
    <t>0001_mry_01</t>
  </si>
  <si>
    <t>01_mry/</t>
  </si>
  <si>
    <t>gl_koenig-gottheit_var</t>
  </si>
  <si>
    <t>0010_mry_02</t>
  </si>
  <si>
    <t>0020_mry_03</t>
  </si>
  <si>
    <t>0030_mry_04</t>
  </si>
  <si>
    <t>0040_mry_05</t>
  </si>
  <si>
    <t>0050_mry_AR_02</t>
  </si>
  <si>
    <t>01_Textgattung/04_Koenig-geliebt-von-Gottheit-Formel/</t>
  </si>
  <si>
    <t>„Historische“ Königsinschrift</t>
  </si>
  <si>
    <t>gl_koenigsinschr</t>
  </si>
  <si>
    <t>gl_koenigsinschr_var</t>
  </si>
  <si>
    <t>[Datum] unter der Majestät / Regierung des [König]</t>
  </si>
  <si>
    <t>../slots/datum.qmd</t>
  </si>
  <si>
    <t>s_datum</t>
  </si>
  <si>
    <t>pages/slots/datum</t>
  </si>
  <si>
    <t>01_Textgattung/05_Historische-Koenigsinschrift/</t>
  </si>
  <si>
    <t>01_xr-Hm-n/</t>
  </si>
  <si>
    <t>*ḫr ḥm n*</t>
  </si>
  <si>
    <t>0001_xr Hm n_01</t>
  </si>
  <si>
    <t>02_Slots/Koenig/</t>
  </si>
  <si>
    <t>04_Thronname_01</t>
  </si>
  <si>
    <t>*nsw bit*</t>
  </si>
  <si>
    <t>*[ḫr] ḥm n*</t>
  </si>
  <si>
    <t>04_Thronname_Gr._02</t>
  </si>
  <si>
    <t>0010_xr Hm n_02</t>
  </si>
  <si>
    <t>0020_Hm n_01</t>
  </si>
  <si>
    <t>0030_Hm n_02</t>
  </si>
  <si>
    <t>Datum</t>
  </si>
  <si>
    <t>tb_datum_jahr</t>
  </si>
  <si>
    <t>Tag</t>
  </si>
  <si>
    <t>tb_datum_monat</t>
  </si>
  <si>
    <t>tb_datum_jahreszeit</t>
  </si>
  <si>
    <t>tb_datum_tag</t>
  </si>
  <si>
    <t>02_Slots/Datum/</t>
  </si>
  <si>
    <t>01_Jahr/</t>
  </si>
  <si>
    <t>*ḥꜣ.t-sp*</t>
  </si>
  <si>
    <t>Regierungsjahr</t>
  </si>
  <si>
    <t>02_Monat/</t>
  </si>
  <si>
    <t>0001_Abd-1_01</t>
  </si>
  <si>
    <t>0010_tpy_01</t>
  </si>
  <si>
    <t>erster Monat</t>
  </si>
  <si>
    <t>*ꜣbd-1*</t>
  </si>
  <si>
    <t>vierter Monat</t>
  </si>
  <si>
    <t>*ꜣbd-4*</t>
  </si>
  <si>
    <t>*ꜣḫ.t*</t>
  </si>
  <si>
    <t>Überschwemmungszeit</t>
  </si>
  <si>
    <t>*pr.t*</t>
  </si>
  <si>
    <t>Winter</t>
  </si>
  <si>
    <t>Sommer</t>
  </si>
  <si>
    <t>*šm.w*</t>
  </si>
  <si>
    <t>*sw*</t>
  </si>
  <si>
    <t>tb_koenig_titulatur</t>
  </si>
  <si>
    <t>Bezeichnung</t>
  </si>
  <si>
    <t>Horusname</t>
  </si>
  <si>
    <t>*ḥr*</t>
  </si>
  <si>
    <t>III: 124</t>
  </si>
  <si>
    <t>Herrinnenname</t>
  </si>
  <si>
    <t>Goldhorusname</t>
  </si>
  <si>
    <t>Thronname</t>
  </si>
  <si>
    <t>Eigenname</t>
  </si>
  <si>
    <t>*nb.ty*</t>
  </si>
  <si>
    <t>*ḥr n nbw* / *bik n nbw*</t>
  </si>
  <si>
    <t>*nsw-bit*</t>
  </si>
  <si>
    <t>*sꜣ rꜥ*</t>
  </si>
  <si>
    <t>II: 233</t>
  </si>
  <si>
    <t>II: 240; I: 445</t>
  </si>
  <si>
    <t>Umschrift und Übersetzung konventionell</t>
  </si>
  <si>
    <t>II: 330</t>
  </si>
  <si>
    <t>III: 440</t>
  </si>
  <si>
    <t>siehe: Beckerath, Jürgen von 1999. Handbuch der ägyptischen Königsnamen. Münchner Ägyptologische Studien 49; Münchener Universitätsschriften, Philosophische Fakultät für Geschichts- und Kunstwissenschaften. Mainz: Philipp von Zabern.</t>
  </si>
  <si>
    <t>tb_koenig_epitheta</t>
  </si>
  <si>
    <t>*nsw*</t>
  </si>
  <si>
    <t>*ḥm*</t>
  </si>
  <si>
    <t>Majestät</t>
  </si>
  <si>
    <t>*nb tꜣ.wi*</t>
  </si>
  <si>
    <t>Herr der beiden Länder</t>
  </si>
  <si>
    <t>vollkommender Gott</t>
  </si>
  <si>
    <t>Beter</t>
  </si>
  <si>
    <t>tb_hymnus_beter</t>
  </si>
  <si>
    <t>von / durch [Person] NN</t>
  </si>
  <si>
    <t>er sagt</t>
  </si>
  <si>
    <t>Hauptteil</t>
  </si>
  <si>
    <t>tb_hymnus_hauptteil</t>
  </si>
  <si>
    <t>Lobpreis dir / euch; sei(d) gegrüßt / gegrüßst seist/d du / ihr [Gottheit] NN</t>
  </si>
  <si>
    <t>*inḏ-ḥr⸗k* / *⸗ṯ* / *⸗ṯn*</t>
  </si>
  <si>
    <t>Beischrift</t>
  </si>
  <si>
    <t>Beziehung</t>
  </si>
  <si>
    <t>gl_beischrift</t>
  </si>
  <si>
    <t>Wörtliche Rede</t>
  </si>
  <si>
    <t>s_wortlRede</t>
  </si>
  <si>
    <t>pages/slots/wortlRede</t>
  </si>
  <si>
    <t>../slots/wortlRede.qmd</t>
  </si>
  <si>
    <t>Rückenschutzformel</t>
  </si>
  <si>
    <t>Name des dargestellten Wesens:</t>
  </si>
  <si>
    <t>Sonstiges</t>
  </si>
  <si>
    <t>tb_wortlRede_aufbau</t>
  </si>
  <si>
    <t>*ḏd-mdw in*</t>
  </si>
  <si>
    <t>*ḫri(⸗i)*</t>
  </si>
  <si>
    <t>Worte zu sprechen durch</t>
  </si>
  <si>
    <t>Ich habe dir gegeben</t>
  </si>
  <si>
    <t>das bei mir ist</t>
  </si>
  <si>
    <t>II: 180</t>
  </si>
  <si>
    <t>II: 465</t>
  </si>
  <si>
    <t>II: 318</t>
  </si>
  <si>
    <t>Teil 1: wörtliche Rede</t>
  </si>
  <si>
    <t>Teil 2: häufig Gott zu König</t>
  </si>
  <si>
    <t>Szenentitel</t>
  </si>
  <si>
    <t>*imsti*</t>
  </si>
  <si>
    <t>0001_jmstj_01</t>
  </si>
  <si>
    <t>0010_jmstj_02</t>
  </si>
  <si>
    <t>0020_jmstj_03</t>
  </si>
  <si>
    <t>0030_jmstj_AR_01</t>
  </si>
  <si>
    <t>0040_jmstj_MR_01</t>
  </si>
  <si>
    <t>0050_jmstj_NR_01</t>
  </si>
  <si>
    <t>0060_jmstj_NR_02</t>
  </si>
  <si>
    <t>*ini-ḥr.t*</t>
  </si>
  <si>
    <t>0001_jnj-Hr.t_01</t>
  </si>
  <si>
    <t>0010_jnj-Hr.t_02</t>
  </si>
  <si>
    <t>0020_jnj-Hr.t_03</t>
  </si>
  <si>
    <t>0030_jnj-Hr.t_04</t>
  </si>
  <si>
    <t>0040_jnj-Hr.t_05</t>
  </si>
  <si>
    <t>0050_jnj-Hr.t_NR_01</t>
  </si>
  <si>
    <t>*inpw*</t>
  </si>
  <si>
    <t>0001_Jnpw_01</t>
  </si>
  <si>
    <t>0010_Jnpw_02</t>
  </si>
  <si>
    <t>0020_Jnpw_03</t>
  </si>
  <si>
    <t>0030_Jnpw_04</t>
  </si>
  <si>
    <t>0040_Jnpw_sp_01</t>
  </si>
  <si>
    <t>0001_Jnpw_det_01</t>
  </si>
  <si>
    <t>tb_epith_amun_001</t>
  </si>
  <si>
    <t>tb_epith_anubis_001</t>
  </si>
  <si>
    <t>epitheta/01_jmj-wt/</t>
  </si>
  <si>
    <t>0001_jmj-wt_01</t>
  </si>
  <si>
    <t>0010_jmj-wt_02</t>
  </si>
  <si>
    <t>0020_jmj-wt_AR_01</t>
  </si>
  <si>
    <t>0030_jmj-wt_AR_02</t>
  </si>
  <si>
    <t>Imiut</t>
  </si>
  <si>
    <t>*imi-wt*</t>
  </si>
  <si>
    <t>epitheta/02_nb-tA-Dsr/</t>
  </si>
  <si>
    <t>0001_nb-tA-Dsr_01</t>
  </si>
  <si>
    <t>*nb tꜣ ḏsr*</t>
  </si>
  <si>
    <t>Herr des heiligen Landes</t>
  </si>
  <si>
    <t>*tpi ḏw⸗f*</t>
  </si>
  <si>
    <t>der auf seinem Berg</t>
  </si>
  <si>
    <t>epitheta/03_tp.j-Dw=f/</t>
  </si>
  <si>
    <t>0001_tp.j-Dw=f_01</t>
  </si>
  <si>
    <t>0010_tp.j-Dw=f_02</t>
  </si>
  <si>
    <t>0020_tp.j.Dw=f_03</t>
  </si>
  <si>
    <t>0030_tp.j-Dw=f_NR_01</t>
  </si>
  <si>
    <t>*ḫnti sḥ-nṯr*</t>
  </si>
  <si>
    <t>der vor der Gotteshalle ist</t>
  </si>
  <si>
    <t>epitheta/04_xnt.j-sH-nTr/</t>
  </si>
  <si>
    <t>0001_xnt.j-sH-nTr_AR_01</t>
  </si>
  <si>
    <t>0010_xnt.j-sH-nTr_AR_02</t>
  </si>
  <si>
    <t>0020_xnt.j-sH-nTr_AR_03</t>
  </si>
  <si>
    <t>0030_xnt.j-sH-nTr_MR_01</t>
  </si>
  <si>
    <t>0040_xnt.j-sH-nTr_MR_02</t>
  </si>
  <si>
    <t>0050_xnt.j-sH-nTr_D.18_01</t>
  </si>
  <si>
    <t>0060_xnt.j-sH-nTr_GR_01</t>
  </si>
  <si>
    <t>0070_xnt.j-sH-nTr_GR_02</t>
  </si>
  <si>
    <t>0080_xnt.j-sH-nTr_GR_03</t>
  </si>
  <si>
    <t>*itm*</t>
  </si>
  <si>
    <t>0001_Jtm_01</t>
  </si>
  <si>
    <t>0010_Jtm_02</t>
  </si>
  <si>
    <t>0020_Jtm_03</t>
  </si>
  <si>
    <t>0030_Jtm_MR_01</t>
  </si>
  <si>
    <t>0040_Jtm_MR_02</t>
  </si>
  <si>
    <t>0050_Jtm_NR_01</t>
  </si>
  <si>
    <t>0060_Jtm_SP_01</t>
  </si>
  <si>
    <t>tb_epith_aton_001</t>
  </si>
  <si>
    <t>tb_epith_atum_001</t>
  </si>
  <si>
    <t>epitheta/01_jwnwy/</t>
  </si>
  <si>
    <t>0001_jwnwy_01</t>
  </si>
  <si>
    <t>*iwn.wy*</t>
  </si>
  <si>
    <t>0010_jwnwy_02</t>
  </si>
  <si>
    <t>*itn*</t>
  </si>
  <si>
    <t>0001_jtn_01</t>
  </si>
  <si>
    <t>0010_jtn_02</t>
  </si>
  <si>
    <t>0020_jtn_D.18_01</t>
  </si>
  <si>
    <t>0030_jtn_GR_01</t>
  </si>
  <si>
    <t>0040_jtn_GR_02</t>
  </si>
  <si>
    <t>0001_anx-Hr-Ax.tj-Hay-m-Ax.t_01</t>
  </si>
  <si>
    <t>0001_anx-ra-HqA-Ax.tj-Hay-m-Ax.t_01</t>
  </si>
  <si>
    <t>epitheta/06_pA-jtn-anx/</t>
  </si>
  <si>
    <t>epitheta/08_jmj-jtn=f/</t>
  </si>
  <si>
    <t>0001_pA-jtn-anx_D.18_01</t>
  </si>
  <si>
    <t>0001_jmj-jtn=f_01</t>
  </si>
  <si>
    <t>*pꜣ itn ꜥnḫ*</t>
  </si>
  <si>
    <t>*ꜥnḫ*</t>
  </si>
  <si>
    <t>*jmj itn⸗f*</t>
  </si>
  <si>
    <t>der Lebende</t>
  </si>
  <si>
    <t>0001_wpj-wA.wt_01</t>
  </si>
  <si>
    <t>0010_wpj-wA.wt_02</t>
  </si>
  <si>
    <t>0020_wpj-wA.wt_03</t>
  </si>
  <si>
    <t>0040_wpj-wA.wt_04</t>
  </si>
  <si>
    <t>*wpi-wꜣ.wt*</t>
  </si>
  <si>
    <t>der Heliopolitaner</t>
  </si>
  <si>
    <t>die lebende Sonnenscheibe</t>
  </si>
  <si>
    <t>in seiner Sonnenscheibe</t>
  </si>
  <si>
    <t>*bꜣst.t*</t>
  </si>
  <si>
    <t>*bḥd.t*</t>
  </si>
  <si>
    <t>*psḏ.t*</t>
  </si>
  <si>
    <t>*ptḥ*</t>
  </si>
  <si>
    <t>*mꜣꜥ.t*</t>
  </si>
  <si>
    <t>*min*</t>
  </si>
  <si>
    <t>*mw.t*</t>
  </si>
  <si>
    <t>*mnṯw*</t>
  </si>
  <si>
    <t>*ni.t*</t>
  </si>
  <si>
    <t>*nw.t*</t>
  </si>
  <si>
    <t>*nb.t-ḥw.t*</t>
  </si>
  <si>
    <t>*nfr-tm*</t>
  </si>
  <si>
    <t>*nḫb.t*</t>
  </si>
  <si>
    <t>*rꜥ*</t>
  </si>
  <si>
    <t>*rꜥ-ꜣḫ.ti*</t>
  </si>
  <si>
    <t>*rnnwt.t*</t>
  </si>
  <si>
    <t>*ḥꜥpi*</t>
  </si>
  <si>
    <t>*ḥp*</t>
  </si>
  <si>
    <t>*ḥpy*</t>
  </si>
  <si>
    <t>*ḥr-ꜣḫ.ti*</t>
  </si>
  <si>
    <t>*ḥqt*</t>
  </si>
  <si>
    <t>*ẖnm.w*</t>
  </si>
  <si>
    <t>*ẖnsw*</t>
  </si>
  <si>
    <t>*sbk*</t>
  </si>
  <si>
    <t>*srq.t*</t>
  </si>
  <si>
    <t>*sḫm.t*</t>
  </si>
  <si>
    <t>*skr*</t>
  </si>
  <si>
    <t>*stẖ*</t>
  </si>
  <si>
    <t>*šw*</t>
  </si>
  <si>
    <t>*qbḥ-snw⸗f*</t>
  </si>
  <si>
    <t>*dwꜣ-mw.t⸗f*</t>
  </si>
  <si>
    <t>*ḏḥwty*</t>
  </si>
  <si>
    <t>0001_wsjr_01</t>
  </si>
  <si>
    <t>0010_wsjr_02</t>
  </si>
  <si>
    <t>0020_wsjr_03</t>
  </si>
  <si>
    <t>0030_wsjr_MR_01</t>
  </si>
  <si>
    <t>0040_wsjr_MR_02</t>
  </si>
  <si>
    <t>0050_wsjr_MR_03</t>
  </si>
  <si>
    <t>0060_wsjr_GR_01</t>
  </si>
  <si>
    <t>0070_wsjr_GR_02</t>
  </si>
  <si>
    <t>0080_wsjr_GR_03</t>
  </si>
  <si>
    <t>0090_wsjr_GR_04</t>
  </si>
  <si>
    <t>0001_wsjr_det_01</t>
  </si>
  <si>
    <t>tb_epith_osiris_001</t>
  </si>
  <si>
    <t>*nb ꜣbḏw*</t>
  </si>
  <si>
    <t>Herr von Adydos</t>
  </si>
  <si>
    <t>*nb ḏd.w*</t>
  </si>
  <si>
    <t>Herr von Busiris</t>
  </si>
  <si>
    <t>*m tꜣ ḏsr*</t>
  </si>
  <si>
    <t>im heiligen Land</t>
  </si>
  <si>
    <t>*ḫnt.y imn.ty.w*</t>
  </si>
  <si>
    <t>der Erste der Westlichen (Chontamenti)</t>
  </si>
  <si>
    <t>der Erste des Westens (Chontamenti)</t>
  </si>
  <si>
    <t>*ḫnt.y tꜣ ḏsr*</t>
  </si>
  <si>
    <t>der Erste des heiligen Landes</t>
  </si>
  <si>
    <t>epitheta/01_nb-AbDw/</t>
  </si>
  <si>
    <t>epitheta/02_nb-Dd.w/</t>
  </si>
  <si>
    <t>epitheta/03_nb-tA-Dsr/</t>
  </si>
  <si>
    <t>epitheta/04_m-tA-Dsr/</t>
  </si>
  <si>
    <t>epitheta/05_xnt.y-jmn.ty.w/</t>
  </si>
  <si>
    <t>epitheta/06_xnt.y-jmn.t.t/</t>
  </si>
  <si>
    <t>epitheta/07_xnt.y-tA-Dsr/</t>
  </si>
  <si>
    <t>0001_nb-AbDw_01</t>
  </si>
  <si>
    <t>0010_nb-AbDw_02</t>
  </si>
  <si>
    <t>0020_nb-AbDw_03</t>
  </si>
  <si>
    <t>0030_nb-AbDw_NR_01</t>
  </si>
  <si>
    <t>0040_nb-AbDw_GR_01</t>
  </si>
  <si>
    <t>0001_nb-Dd.w_01</t>
  </si>
  <si>
    <t>0010_nb-Dd.w_02.png</t>
  </si>
  <si>
    <t>0020_nb-Dd.w_03.png</t>
  </si>
  <si>
    <t>0030_nb-Dd.w_04.png</t>
  </si>
  <si>
    <t>0040_nb-Dd.w_05.png</t>
  </si>
  <si>
    <t>0050_nb-Dd.w_06.png</t>
  </si>
  <si>
    <t>0060_nb-Dd.w_07.png</t>
  </si>
  <si>
    <t>0070_nb-Dd.w_08.png</t>
  </si>
  <si>
    <t>0080_nb-Dd.w_Pyr._01.png</t>
  </si>
  <si>
    <t>0001_nb-tA-Dsr_01.png</t>
  </si>
  <si>
    <t>0001_m-tA-Dsr_01</t>
  </si>
  <si>
    <t>0001_xnt.y-jmn.ty.w_01.png</t>
  </si>
  <si>
    <t>0010_xnt.y-jmn.ty.w_02.png</t>
  </si>
  <si>
    <t>0020_xnt.y-jmn.ty.w_AR_01.png</t>
  </si>
  <si>
    <t>0030_xnt.y-jmn.ty.w_AR_02.png</t>
  </si>
  <si>
    <t>0040_xnt.y-jmn.ty.w_Pyr._01.png</t>
  </si>
  <si>
    <t>0050_xnt.y-jmn.ty.w_MR_01.png</t>
  </si>
  <si>
    <t>0060_xnt.y-jmn.ty.w_typ.-ab-NR_01.png</t>
  </si>
  <si>
    <t>0001_xnt.y-jmn.t.t_seit-NR_01.png</t>
  </si>
  <si>
    <t>0010_xnt.y-jmn.t.t_seit-NR_02.png</t>
  </si>
  <si>
    <t>0001_xnt.y-tA-Dsr_01</t>
  </si>
  <si>
    <t>0001_bAst.t_01.png</t>
  </si>
  <si>
    <t>0010_bAst.t_AR_01.png</t>
  </si>
  <si>
    <t>0020_bAst.t_NR_01.png</t>
  </si>
  <si>
    <t>0001_bHd.t_01.png</t>
  </si>
  <si>
    <t>0010_bHd.t_02.png</t>
  </si>
  <si>
    <t>0020_bHd.t_GR_01.png</t>
  </si>
  <si>
    <t>0030_bHd.t_GR_02.png</t>
  </si>
  <si>
    <t>0001_bHd.t_det_01</t>
  </si>
  <si>
    <t>tb_epith_behedeti_001</t>
  </si>
  <si>
    <t>*pri m ꜣḫ.t*</t>
  </si>
  <si>
    <t>*sꜣb šw.t*</t>
  </si>
  <si>
    <t>Buntgefiederter</t>
  </si>
  <si>
    <t>der aus der Horizont hervorkommt</t>
  </si>
  <si>
    <t>0001_prj-m-Ax.t_01</t>
  </si>
  <si>
    <t>0001_sAb-Sw.t_01.png</t>
  </si>
  <si>
    <t>0010_sAb-Sw.t_D.18_01.png</t>
  </si>
  <si>
    <t>epitheta/01_prj-m-Ax.t/</t>
  </si>
  <si>
    <t>epitheta/02_sAb-Sw.t/</t>
  </si>
  <si>
    <t>0070_psD.t_GR_02.png</t>
  </si>
  <si>
    <t>0001_psD.t_01.png</t>
  </si>
  <si>
    <t>0010_psD.t_AR_01.png</t>
  </si>
  <si>
    <t>0020_psD.t_AR_02.png</t>
  </si>
  <si>
    <t>0030_psD.t_AR_03.png</t>
  </si>
  <si>
    <t>0040_psD.t_MR_01.png</t>
  </si>
  <si>
    <t>0050_psD.t_SP_01.png</t>
  </si>
  <si>
    <t>0060_psD.t_GR_01.png</t>
  </si>
  <si>
    <t>0001_psD.t_det_AR_01.png</t>
  </si>
  <si>
    <t>0010_psD.t_det_MR_01.png</t>
  </si>
  <si>
    <t>0020_psD.t_det_MR_02.png</t>
  </si>
  <si>
    <t>0030_psD.t_det_SP_01.png</t>
  </si>
  <si>
    <t>tb_epith_goetterneunheit_001</t>
  </si>
  <si>
    <t>epitheta/01_aA.t/</t>
  </si>
  <si>
    <t>*ꜥꜣ.t*</t>
  </si>
  <si>
    <t>die große</t>
  </si>
  <si>
    <t>*nḏs.t*</t>
  </si>
  <si>
    <t>die kleine</t>
  </si>
  <si>
    <t>epitheta/02_nDs.t/</t>
  </si>
  <si>
    <t>0001_aA.t_01.png</t>
  </si>
  <si>
    <t>0010_aA.t_02.png</t>
  </si>
  <si>
    <t>0020_aA.t_AR_01.png</t>
  </si>
  <si>
    <t>0030_aA.t_MR_01.png</t>
  </si>
  <si>
    <t>0040_aA.t_MR_02.png</t>
  </si>
  <si>
    <t>0050_aA.t_MR_03.png</t>
  </si>
  <si>
    <t>0001_nDs.t_01.png</t>
  </si>
  <si>
    <t>0010_nDs.t_AR_01.png</t>
  </si>
  <si>
    <t>0020_nDs.t_MR_01.png</t>
  </si>
  <si>
    <t>0030_nDs.t_MR_02.png</t>
  </si>
  <si>
    <t>0040_nDs.t_Sp_01.png</t>
  </si>
  <si>
    <t>0001_ptH_01</t>
  </si>
  <si>
    <t>0001_ptH_det_01.png</t>
  </si>
  <si>
    <t>0010_ptH_det_02.png</t>
  </si>
  <si>
    <t>0090_mAa.t_GR_02.png</t>
  </si>
  <si>
    <t>0001_mAa.t_01.png</t>
  </si>
  <si>
    <t>0010_mAa.t_02.png</t>
  </si>
  <si>
    <t>0020_mAa.t_AR_01.png</t>
  </si>
  <si>
    <t>0030_mAa.t_AR_02.png</t>
  </si>
  <si>
    <t>0040_mAa.t_MR_01.png</t>
  </si>
  <si>
    <t>0050_mAa.t_MR_02.png</t>
  </si>
  <si>
    <t>0060_mAa.t_NR_01.png</t>
  </si>
  <si>
    <t>0070_mAa.t_NR_02.png</t>
  </si>
  <si>
    <t>0080_mAa.t_GR_01.png</t>
  </si>
  <si>
    <t>0001_mAa.t_det_AR_01.png</t>
  </si>
  <si>
    <t>0010_mAa.t_det_MR_01.png</t>
  </si>
  <si>
    <t>0001_mjn_01.png</t>
  </si>
  <si>
    <t>0010_mjn_AR_01.png</t>
  </si>
  <si>
    <t>0020_mjn_NR_01.png</t>
  </si>
  <si>
    <t>0001_mjn_det_01</t>
  </si>
  <si>
    <t>0001_mw.t_01.png</t>
  </si>
  <si>
    <t>0010_mw.t_02.png</t>
  </si>
  <si>
    <t>0020_mw.t_03.png</t>
  </si>
  <si>
    <t>tb_epith_mut_001</t>
  </si>
  <si>
    <t>*nb.t išrw*</t>
  </si>
  <si>
    <t>Die Herrin des Hufeisensees</t>
  </si>
  <si>
    <t>epitheta/01_nb.t-jSrw/</t>
  </si>
  <si>
    <t>0001_nb.t-jSrw_01.png</t>
  </si>
  <si>
    <t>0010_nb.t-jSrw_02.png</t>
  </si>
  <si>
    <t>0020_nb.t-jSrw_GR_01.png</t>
  </si>
  <si>
    <t>0001_mnTw_01.png</t>
  </si>
  <si>
    <t>0010_mnTw_NR_01.png</t>
  </si>
  <si>
    <t>0020_mnTw_NR_02.png</t>
  </si>
  <si>
    <t>0030_mnTw_NR_03.png</t>
  </si>
  <si>
    <t>0040_mnTw_GR_01.png</t>
  </si>
  <si>
    <t>0001_mnTw_det_01.png</t>
  </si>
  <si>
    <t>0010_mnTw_det_02.png</t>
  </si>
  <si>
    <t>tb_epith_month_001</t>
  </si>
  <si>
    <t>*nb wꜣs.t*</t>
  </si>
  <si>
    <t>Herr von Theben</t>
  </si>
  <si>
    <t>epitheta/01_nb-wAs.t/</t>
  </si>
  <si>
    <t>0001_nb-WAs.t_01.png</t>
  </si>
  <si>
    <t>0010_nb-WAs.t_AR_01.png</t>
  </si>
  <si>
    <t>0020_nb-WAs.t_NR_01.png</t>
  </si>
  <si>
    <t>0030_nb-WAs.t_NR_02.png</t>
  </si>
  <si>
    <t>0040_nb-WAs.t_NR_03.png</t>
  </si>
  <si>
    <t>0001_nj.t_01.png</t>
  </si>
  <si>
    <t>0010_nj.t_02.png</t>
  </si>
  <si>
    <t>0020_nj.t_03.png</t>
  </si>
  <si>
    <t>0030_nj.t_04.png</t>
  </si>
  <si>
    <t>0040_nj.t_NR_01.png</t>
  </si>
  <si>
    <t>0001_nw.t_01.png</t>
  </si>
  <si>
    <t>0010_nw.t_AR_01.png</t>
  </si>
  <si>
    <t>0020_nw.t_AR_02.png</t>
  </si>
  <si>
    <t>0030_nw.t_AR_03.png</t>
  </si>
  <si>
    <t>0040_nw.t_NR_01.png</t>
  </si>
  <si>
    <t>0050_nw.t_GR_01.png</t>
  </si>
  <si>
    <t>0001_nb.t-Hw.t_01.png</t>
  </si>
  <si>
    <t>0010_nb.t-Hw.t_AR_01.png</t>
  </si>
  <si>
    <t>0020_nb.t-Hw.t_NR_01.png</t>
  </si>
  <si>
    <t>0030_nb.t-Hw.t_NR_02.png</t>
  </si>
  <si>
    <t>0040_nb.t-Hw.t_SP_01.png</t>
  </si>
  <si>
    <t>0050_nb.t-Hw.t_GR_01.png</t>
  </si>
  <si>
    <t>0060_nb.t-Hw.t_GR_02.png</t>
  </si>
  <si>
    <t>0001_nfr-tm_01.png</t>
  </si>
  <si>
    <t>0010_nfr-tm_02.png</t>
  </si>
  <si>
    <t>0020_nfr-tm_NR_01.png</t>
  </si>
  <si>
    <t>0030_nfr-tm_GR_01.png</t>
  </si>
  <si>
    <t>0040_nfr-tm_GR_02.png</t>
  </si>
  <si>
    <t>0001_nfr-tm_det_NR_01.png</t>
  </si>
  <si>
    <t>0010_nfr-tm_det_NR_02.png</t>
  </si>
  <si>
    <t>0001_nxb.t_01.png</t>
  </si>
  <si>
    <t>0010_nxb.t_02.png</t>
  </si>
  <si>
    <t>0020_nxb.t_NR_01.png</t>
  </si>
  <si>
    <t>0030_nxb.t_GR_01.png</t>
  </si>
  <si>
    <t>0001_nxb.t_det_AR_01</t>
  </si>
  <si>
    <t>0001_ra_01.png</t>
  </si>
  <si>
    <t>0010_ra_SP_01.png</t>
  </si>
  <si>
    <t>0020_ra_GR_01.png</t>
  </si>
  <si>
    <t>0030_ra_GR_02.png</t>
  </si>
  <si>
    <t>0001_ra_det_AR_01.png</t>
  </si>
  <si>
    <t>0010_ra_det_MR_01.png</t>
  </si>
  <si>
    <t>0020_ra_det_NR_01.png</t>
  </si>
  <si>
    <t>0030_ra_det_NR_02.png</t>
  </si>
  <si>
    <t>0001_rnnwt.t_01.png</t>
  </si>
  <si>
    <t>0010_rnnwt.t_AR_01.png</t>
  </si>
  <si>
    <t>0020_rnnwt.t_AR_02.png</t>
  </si>
  <si>
    <t>0030_rnnwt.t_D.18_01.png</t>
  </si>
  <si>
    <t>0040_rnnwt.t_D.18_02.png</t>
  </si>
  <si>
    <t>0050_rnnwt.t_D.18_03.png</t>
  </si>
  <si>
    <t>0001_Hapj_AR_01.png</t>
  </si>
  <si>
    <t>0010_Hapj_MR_01.png</t>
  </si>
  <si>
    <t>0020_Hapj_MR_02.png</t>
  </si>
  <si>
    <t>0030_Hapj_MR_03.png</t>
  </si>
  <si>
    <t>0040_Hapj_MR_04.png</t>
  </si>
  <si>
    <t>0050_Hapj_MR_05.png</t>
  </si>
  <si>
    <t>0060_Hapj_MR_06.png</t>
  </si>
  <si>
    <t>0070_Hapj_Sait._01.png</t>
  </si>
  <si>
    <t>0080_Hapj_Sait._02.png</t>
  </si>
  <si>
    <t>0001_Hapj_det_01.png</t>
  </si>
  <si>
    <t>0010_Hapj_det_02.png</t>
  </si>
  <si>
    <t>0090_Hapj_SP-GR_01.png</t>
  </si>
  <si>
    <t>0100_Hapj_SP-GR_02.png</t>
  </si>
  <si>
    <t>0110_Hapj_SP-GR_03.png</t>
  </si>
  <si>
    <t>0001_Hwt-Hr_01.png</t>
  </si>
  <si>
    <t>0010_Hwt-Hr_AR_01.png</t>
  </si>
  <si>
    <t>0020_Hwt-Hr_AR_02.png</t>
  </si>
  <si>
    <t>0001_Hp_01.png</t>
  </si>
  <si>
    <t>0010_Hp_02.png</t>
  </si>
  <si>
    <t>0020_Hp_AR_01.png</t>
  </si>
  <si>
    <t>0030_Hp_NR_01.png</t>
  </si>
  <si>
    <t>0001_Hp_det_01.png</t>
  </si>
  <si>
    <t>0010_Hp_det_02.png</t>
  </si>
  <si>
    <t>0020_Hp_det_AR-SP_01.png</t>
  </si>
  <si>
    <t>tb_epith_apis_001</t>
  </si>
  <si>
    <t>epitheta/01_anx/</t>
  </si>
  <si>
    <t>0001_anx_seit-NR_01</t>
  </si>
  <si>
    <t>0001_Hpy_01.png</t>
  </si>
  <si>
    <t>0010_Hpy_02.png</t>
  </si>
  <si>
    <t>0020_Hpy_03.png</t>
  </si>
  <si>
    <t>0030_Hpy_04.png</t>
  </si>
  <si>
    <t>0040_Hpy_AR_01.png</t>
  </si>
  <si>
    <t>0050_Hpy_MR_01.png</t>
  </si>
  <si>
    <t>0060_Hpy_MR-NR-GR_01.png</t>
  </si>
  <si>
    <t>0001_Hpy_det_01.png</t>
  </si>
  <si>
    <t>0010_Hpy_det_AR_01.png</t>
  </si>
  <si>
    <t>0001_Hr_01.png</t>
  </si>
  <si>
    <t>0010_Hr_02.png</t>
  </si>
  <si>
    <t>0020_Hr_AR_01.png</t>
  </si>
  <si>
    <t>0030_Hr_MR_01.png</t>
  </si>
  <si>
    <t>epitheta/</t>
  </si>
  <si>
    <t>0001_m-Ax.t_01</t>
  </si>
  <si>
    <t>0001_nD-jt_01</t>
  </si>
  <si>
    <t>tb_epith_horus_001</t>
  </si>
  <si>
    <t>0001_pA-Xrd_SP_01</t>
  </si>
  <si>
    <t>0001_sA-s.t_01</t>
  </si>
  <si>
    <t>0001_smA-tA.wj_01</t>
  </si>
  <si>
    <t>0001_wr_01</t>
  </si>
  <si>
    <t>*wr*</t>
  </si>
  <si>
    <t>der Große</t>
  </si>
  <si>
    <t>*smꜣ tꜣ.wy*</t>
  </si>
  <si>
    <t>Vereiniger der beiden Länder</t>
  </si>
  <si>
    <t>*sꜣ s.t*</t>
  </si>
  <si>
    <t>Sohn der Isis</t>
  </si>
  <si>
    <t>*pꜣ ẖrd*</t>
  </si>
  <si>
    <t>das Kind</t>
  </si>
  <si>
    <t>der den Vater grüßt</t>
  </si>
  <si>
    <t>*nḏ it*</t>
  </si>
  <si>
    <t>*m ꜣḫ.t*</t>
  </si>
  <si>
    <t>im Horizont</t>
  </si>
  <si>
    <t>0001_Hr-Axtj_01.png</t>
  </si>
  <si>
    <t>0010_Hr-Axtj_02.png</t>
  </si>
  <si>
    <t>0020_Hr-Axtj_03.png</t>
  </si>
  <si>
    <t>0001_Hqt_01.png</t>
  </si>
  <si>
    <t>0010_Hqt_D.18_01.png</t>
  </si>
  <si>
    <t>0001_Hqt_det_01.png</t>
  </si>
  <si>
    <t>0010_Hqt_det_02.png</t>
  </si>
  <si>
    <t>0001_Xnm.w_01.png</t>
  </si>
  <si>
    <t>0010_Xnm.w_02.png</t>
  </si>
  <si>
    <t>0020_Xnm.w_03.png</t>
  </si>
  <si>
    <t>0030_Xnm.w_04.png</t>
  </si>
  <si>
    <t>0040_Xnm.w_GR_01.png</t>
  </si>
  <si>
    <t>0050_Xnm.w_GR_02.png</t>
  </si>
  <si>
    <t>0001_Xnm.w_det_01.png</t>
  </si>
  <si>
    <t>0010_Xnm.w_det_02.png</t>
  </si>
  <si>
    <t>0001_Xnsw_01.png</t>
  </si>
  <si>
    <t>0010_Xnsw_02.png</t>
  </si>
  <si>
    <t>0020_Xnsw_NR_01.png</t>
  </si>
  <si>
    <t>0001_sbk_01.png</t>
  </si>
  <si>
    <t>0010_sbk_02.png</t>
  </si>
  <si>
    <t>0020_sbk_03.png</t>
  </si>
  <si>
    <t>0030_sbk_NR_01.png</t>
  </si>
  <si>
    <t>0001_sbk_det_01.png</t>
  </si>
  <si>
    <t>0001_srq.t_01.png</t>
  </si>
  <si>
    <t>0010_srq.t_02.png</t>
  </si>
  <si>
    <t>0020_srq.t_03.png</t>
  </si>
  <si>
    <t>0030_srq.t_Pyr.-MR_01.png</t>
  </si>
  <si>
    <t>0040_srq.t_GR_01.png</t>
  </si>
  <si>
    <t>0050_srq.t_GR_02.png</t>
  </si>
  <si>
    <t>0060_srq.t_GR_03.png</t>
  </si>
  <si>
    <t>0001_srq.t_det_01.png</t>
  </si>
  <si>
    <t>0010_srq.t_det_02.png</t>
  </si>
  <si>
    <t>0001_sxm.t_01.png</t>
  </si>
  <si>
    <t>0010_sxm.t_AR_01.png</t>
  </si>
  <si>
    <t>0020_sxm.t_AR_02.png</t>
  </si>
  <si>
    <t>0030_sxm.t_NR_01.png</t>
  </si>
  <si>
    <t>0040_sxm.t_GR_01.png</t>
  </si>
  <si>
    <t>0050_sxm.t_GR_02.png</t>
  </si>
  <si>
    <t>0001_skr_01.png</t>
  </si>
  <si>
    <t>0001_skr_det_01.png</t>
  </si>
  <si>
    <t>0001_st_01.png</t>
  </si>
  <si>
    <t>0010_st_AR_01.png</t>
  </si>
  <si>
    <t>0020_st_MR_01.png</t>
  </si>
  <si>
    <t>0030_st_NR_01.png</t>
  </si>
  <si>
    <t>0040_st_SP_01.png</t>
  </si>
  <si>
    <t>tb_epith_isis_001</t>
  </si>
  <si>
    <t>epitheta/01_mw.t-nTr/</t>
  </si>
  <si>
    <t>*mw.t-nṯr*</t>
  </si>
  <si>
    <t>Gottesmutter</t>
  </si>
  <si>
    <t>0001_mw.t-nTr_01.png</t>
  </si>
  <si>
    <t>0010_mw.t-nTr_02.png</t>
  </si>
  <si>
    <t>0020_mw.t-nTr_GR_01.png</t>
  </si>
  <si>
    <t>epitheta/02_wr.t/</t>
  </si>
  <si>
    <t>0010_wr.t_01.png</t>
  </si>
  <si>
    <t>0010_wr.t_Sp._01.png</t>
  </si>
  <si>
    <t>0110_stX_GR_02.png</t>
  </si>
  <si>
    <t>0001_stX_01.png</t>
  </si>
  <si>
    <t>0010_stX_AR_01.png</t>
  </si>
  <si>
    <t>0020_stX_MR_01.png</t>
  </si>
  <si>
    <t>0030_stX_MR-SP_01.png</t>
  </si>
  <si>
    <t>0040_stX_NR_01.png</t>
  </si>
  <si>
    <t>0050_stX_D.18_01.png</t>
  </si>
  <si>
    <t>0060_stX_D.18_02.png</t>
  </si>
  <si>
    <t>0070_stX_D.18_03.png</t>
  </si>
  <si>
    <t>0080_stX_D.19_01.png</t>
  </si>
  <si>
    <t>0090_stX_D.19_02.png</t>
  </si>
  <si>
    <t>0100_stX_GR_01.png</t>
  </si>
  <si>
    <t>0001_stX_det_01.png</t>
  </si>
  <si>
    <t>0010_stX_det_02.png</t>
  </si>
  <si>
    <t>0020_stX_det_MR_01.png</t>
  </si>
  <si>
    <t>0001_Sw_01.png</t>
  </si>
  <si>
    <t>0010_Sw_AR_01.png</t>
  </si>
  <si>
    <t>0020_Sw_MR_01.png</t>
  </si>
  <si>
    <t>0030_Sw_NR_01.png</t>
  </si>
  <si>
    <t>0040_Sw_GR_01.png</t>
  </si>
  <si>
    <t>0080_qbH-snw=f_GR_04.png</t>
  </si>
  <si>
    <t>0001_qbH-snw=f_01.png</t>
  </si>
  <si>
    <t>0010_qbH-snw=f_02.png</t>
  </si>
  <si>
    <t>0020_qbH-snw=f_03.png</t>
  </si>
  <si>
    <t>0030_qbH-snw=f_MR_01.png</t>
  </si>
  <si>
    <t>0040_qbH-snw=f_MR_02.png</t>
  </si>
  <si>
    <t>0050_qbH-snw=f_GR_01.png</t>
  </si>
  <si>
    <t>0060_qbH-snw=f_GR_02.png</t>
  </si>
  <si>
    <t>0070_qbH-snw=f_GR_03.png</t>
  </si>
  <si>
    <t>0001_qbH-snw=f_det_GR_01.png</t>
  </si>
  <si>
    <t>0010_qbH-snw=f_det_GR_02.png</t>
  </si>
  <si>
    <t>0001_dwA-mw.t=f_AR_01.png</t>
  </si>
  <si>
    <t>0010_dwA-mw.t=f_AR_02.png</t>
  </si>
  <si>
    <t>0020_dwA-mw.t=f_MR_01.png</t>
  </si>
  <si>
    <t>0030_dwA-mw.t=f_MR_02.png</t>
  </si>
  <si>
    <t>0040_dwA-mw.t=f_MR_03.png</t>
  </si>
  <si>
    <t>0001_DHwtj_AR_01.png</t>
  </si>
  <si>
    <t>0010_DHwtj_MR_01.png</t>
  </si>
  <si>
    <t>0020_DHwtj_MR_02.png</t>
  </si>
  <si>
    <t>0030_DHwtj_MR_03.png</t>
  </si>
  <si>
    <t>0040_DHwtj_MR_04.png</t>
  </si>
  <si>
    <t>0050_DHwtj_MR_05.png</t>
  </si>
  <si>
    <t>0060_DHwtj_SP_01.png</t>
  </si>
  <si>
    <t>0070_DHwtj_SP_02.png</t>
  </si>
  <si>
    <t>0080_DHwtj_SP-GR_01.png</t>
  </si>
  <si>
    <t>0090_DHwtj_SP-GR_02.png</t>
  </si>
  <si>
    <t>0001_DHwtj_det_SP_01.png</t>
  </si>
  <si>
    <t>04_Tag/</t>
  </si>
  <si>
    <t>glyphline_id</t>
  </si>
  <si>
    <t>gl_person_name_weiblich</t>
  </si>
  <si>
    <t>gl_person_name_maennlich</t>
  </si>
  <si>
    <t>+</t>
  </si>
  <si>
    <t>die Große</t>
  </si>
  <si>
    <t>*wr.t*</t>
  </si>
  <si>
    <t>-</t>
  </si>
  <si>
    <t>table_wrapper_class</t>
  </si>
  <si>
    <t>tableFixHead table-fixed</t>
  </si>
  <si>
    <t>tableFixHead table-wide</t>
  </si>
  <si>
    <t>tableFixHead table-glyph-middle</t>
  </si>
  <si>
    <t>*ḫꜣ (m/n)*</t>
  </si>
  <si>
    <t>*tꜣ-di-*</t>
  </si>
  <si>
    <t>*pꜣ-di-*</t>
  </si>
  <si>
    <t>*nṯr nfr*</t>
  </si>
  <si>
    <t>*ḥm⸗f*</t>
  </si>
  <si>
    <t>*dpy*</t>
  </si>
  <si>
    <t>[König] geliebt von [Gottheit]</t>
  </si>
  <si>
    <t>*ꜣbd-2*</t>
  </si>
  <si>
    <t>*ꜣbd-3*</t>
  </si>
  <si>
    <t>0020_Abd-2_01</t>
  </si>
  <si>
    <t>0030_Abd-2_02</t>
  </si>
  <si>
    <t>0040_Abd-3_01</t>
  </si>
  <si>
    <t>0050_Abd-3_02</t>
  </si>
  <si>
    <t>0060_Abd-4_01</t>
  </si>
  <si>
    <t>*sw-ꜥrqy*</t>
  </si>
  <si>
    <t>0070_Abd-4_02</t>
  </si>
  <si>
    <t>zweiter Monat</t>
  </si>
  <si>
    <t>dritter Monat</t>
  </si>
  <si>
    <t>0035_Abd-2_03</t>
  </si>
  <si>
    <t>gl_hymnus_ueberschrift_var</t>
  </si>
  <si>
    <t>gl_hymnus_hauptteil_var</t>
  </si>
  <si>
    <t>gl_hymnus_beter_var</t>
  </si>
  <si>
    <t>0001_rDj.t-jAw_01.png</t>
  </si>
  <si>
    <t>0001_dwA_01.png</t>
  </si>
  <si>
    <t>0001_jn_01.png</t>
  </si>
  <si>
    <t>*inḏ-ḥr⸗*</t>
  </si>
  <si>
    <t>Tag 30</t>
  </si>
  <si>
    <t>Saïten-Formel</t>
  </si>
  <si>
    <t>Anruf an die Lebenden</t>
  </si>
  <si>
    <t>gl_wortlRede</t>
  </si>
  <si>
    <t>0001_Dd-mdw_01</t>
  </si>
  <si>
    <t>*ḏd-md.w*</t>
  </si>
  <si>
    <t>01_Textgattung/07_Beischriften/03_Woertliche-Rede/03_xrj/</t>
  </si>
  <si>
    <t>04_xrj_01</t>
  </si>
  <si>
    <t>gl_wortlRede_var</t>
  </si>
  <si>
    <t>*di.n(⸗i) n⸗k/ṯ*</t>
  </si>
  <si>
    <t>01_Textgattung/07_Beischriften/03_Woertliche-Rede/02_dj.n(=j)-n=k/</t>
  </si>
  <si>
    <t>0001_dj.n(=j)-n=k_01</t>
  </si>
  <si>
    <t>0001_Dd-mdw_01.png</t>
  </si>
  <si>
    <t>0010_Dd-mdw_02.png</t>
  </si>
  <si>
    <t>0020_Dd-mdw_NR_01.png</t>
  </si>
  <si>
    <t>(NR)</t>
  </si>
  <si>
    <t>0001_dj.n(=j)-n=k_01.png</t>
  </si>
  <si>
    <t>0010_dj.n(=j)-n=k_02.png</t>
  </si>
  <si>
    <t>0020_dj.n(=j)-n=k_03.png</t>
  </si>
  <si>
    <t>0030_dj.n(=j)-n=k_04.png</t>
  </si>
  <si>
    <t>0040_dj.n(=j)-n=T_01.png</t>
  </si>
  <si>
    <t>Aufzählung</t>
  </si>
  <si>
    <t>Attribut</t>
  </si>
  <si>
    <t>Schlussformel</t>
  </si>
  <si>
    <t>Titel</t>
  </si>
  <si>
    <t>Personenname</t>
  </si>
  <si>
    <t>Determinative</t>
  </si>
  <si>
    <t>Epitheta</t>
  </si>
  <si>
    <t>Jahr</t>
  </si>
  <si>
    <t>Monat</t>
  </si>
  <si>
    <t>Jahreszeiten</t>
  </si>
  <si>
    <t>Titulatur</t>
  </si>
  <si>
    <t>[[table:tb_epith_amun_001|Öffne]]</t>
  </si>
  <si>
    <t>[[table:tb_epith_anubis_001|Öffne]]</t>
  </si>
  <si>
    <t>[[table:tb_epith_atum_001|Öffne]]</t>
  </si>
  <si>
    <t>[[table:tb_epith_aton_001|Öffne]]</t>
  </si>
  <si>
    <t>[[table:tb_epith_osiris_001|Öffne]]</t>
  </si>
  <si>
    <t>[[table:tb_epith_behedeti_001|Öffne]]</t>
  </si>
  <si>
    <t>[[table:tb_epith_goetterneunheit_001|Öffne]]</t>
  </si>
  <si>
    <t>[[table:tb_epith_mut_001|Öffne]]</t>
  </si>
  <si>
    <t>[[table:tb_epith_month_001|Öffne]]</t>
  </si>
  <si>
    <t>[[table:tb_epith_apis_001|Öffne]]</t>
  </si>
  <si>
    <t>[[table:tb_epith_horus_001|Öffne]]</t>
  </si>
  <si>
    <t>[[table:tb_epith_isis_001|Öffne]]</t>
  </si>
  <si>
    <t>[Titel] + [Personenname] + [Determinative] + [Epitheta]</t>
  </si>
  <si>
    <t>[Titulatur] + [Name] + [Epitheta]</t>
  </si>
  <si>
    <t>[Anfangsformel] + [Aufzählung] mit/ohne [Attribut] + [Schlussformel]</t>
  </si>
  <si>
    <t>Seine Majestät</t>
  </si>
  <si>
    <t>*ḫr(⸗i)*</t>
  </si>
  <si>
    <t>Worte zu sprechen durch [Gottheit] / [König] / [Person] NN: Ich habe dir gegeben [Gaben], die bei mir sind.</t>
  </si>
  <si>
    <t>(AR; MR)</t>
  </si>
  <si>
    <t>(Spät.)</t>
  </si>
  <si>
    <t xml:space="preserve"> &lt;sup&gt;(AR; MR)&lt;/sup&gt;</t>
  </si>
  <si>
    <t xml:space="preserve"> &lt;sup&gt;(Ende NR)&lt;/sup&gt;</t>
  </si>
  <si>
    <t xml:space="preserve"> &lt;sup&gt;(Spät.)&lt;/sup&gt;</t>
  </si>
  <si>
    <t xml:space="preserve"> &lt;sup&gt;(seit MR)&lt;/sup&gt;</t>
  </si>
  <si>
    <t xml:space="preserve"> &lt;sup&gt;(NR)&lt;/sup&gt;</t>
  </si>
  <si>
    <t xml:space="preserve"> &lt;sup&gt;(AR)&lt;/sup&gt;</t>
  </si>
  <si>
    <t xml:space="preserve"> &lt;sup&gt;(Gr.)&lt;/sup&gt;</t>
  </si>
  <si>
    <t xml:space="preserve"> &lt;sup&gt;</t>
  </si>
  <si>
    <t>(AR)</t>
  </si>
  <si>
    <t>&lt;/sup&gt;</t>
  </si>
  <si>
    <t>(Gr.)</t>
  </si>
  <si>
    <t>(MR)</t>
  </si>
  <si>
    <t>(Dyn.18)</t>
  </si>
  <si>
    <t>(Dyn.19)</t>
  </si>
  <si>
    <t>(röm.)</t>
  </si>
  <si>
    <t>(D.18)</t>
  </si>
  <si>
    <t>(Sp.)</t>
  </si>
  <si>
    <t>(Pyr.)</t>
  </si>
  <si>
    <t>(Saït.)</t>
  </si>
  <si>
    <t>(Sp.–Gr.)</t>
  </si>
  <si>
    <t>(D.19)</t>
  </si>
  <si>
    <t>(Ende AR)</t>
  </si>
  <si>
    <t>(NR; 3.Zw.Zt.)</t>
  </si>
  <si>
    <t>(MR; NR; Gr.)</t>
  </si>
  <si>
    <t>(Pyr.; NR)</t>
  </si>
  <si>
    <t>(MR; Sp.)</t>
  </si>
  <si>
    <t>(Sp.; Gr.)</t>
  </si>
  <si>
    <t>(ab NR)</t>
  </si>
  <si>
    <t>(seit NR)</t>
  </si>
  <si>
    <t>(AR; Sp.)</t>
  </si>
  <si>
    <t>*di(⸗i) n⸗k*</t>
  </si>
  <si>
    <t>*ꜣs.t*</t>
  </si>
  <si>
    <t>02_Slots/Gottheit/Goetter-mit-Epitheta/0010_Isis/</t>
  </si>
  <si>
    <t>02_Slots/Gottheit/Goetter-mit-Epitheta/0020_Amun/</t>
  </si>
  <si>
    <t>02_Slots/Gottheit/Goetter-mit-Epitheta/0030_Amun-Re/</t>
  </si>
  <si>
    <t>02_Slots/Gottheit/Goetter-mit-Epitheta/0040_Amun-Re-Harachte/</t>
  </si>
  <si>
    <t>0001_jmn-ra-Hr-Axtj_01</t>
  </si>
  <si>
    <t>*imn-rꜥ-ḥr-ꜣḫ.ti*</t>
  </si>
  <si>
    <t>02_Slots/Gottheit/Goetter-mit-Epitheta/0050_Amset/</t>
  </si>
  <si>
    <t>02_Slots/Gottheit/Goetter-mit-Epitheta/0060_Onuris/</t>
  </si>
  <si>
    <t>02_Slots/Gottheit/Goetter-mit-Epitheta/0070_Anubis/</t>
  </si>
  <si>
    <t>02_Slots/Gottheit/Goetter-mit-Epitheta/0080_Atum/</t>
  </si>
  <si>
    <t>02_Slots/Gottheit/Goetter-mit-Epitheta/0090_Aton/</t>
  </si>
  <si>
    <t>02_Slots/Gottheit/Goetter-mit-Epitheta/0100_Wepwaut/</t>
  </si>
  <si>
    <t>02_Slots/Gottheit/Goetter-mit-Epitheta/0110_Osiris/</t>
  </si>
  <si>
    <t>02_Slots/Gottheit/Goetter-mit-Epitheta/0120_Bastet/</t>
  </si>
  <si>
    <t>02_Slots/Gottheit/Goetter-mit-Epitheta/0130_Behedeti/</t>
  </si>
  <si>
    <t>02_Slots/Gottheit/Goetter-mit-Epitheta/0140_Goetterneunheit/</t>
  </si>
  <si>
    <t>02_Slots/Gottheit/Goetter-mit-Epitheta/0150_Ptah/</t>
  </si>
  <si>
    <t>02_Slots/Gottheit/Goetter-mit-Epitheta/0160_Maat/</t>
  </si>
  <si>
    <t>02_Slots/Gottheit/Goetter-mit-Epitheta/0170_Min/</t>
  </si>
  <si>
    <t>02_Slots/Gottheit/Goetter-mit-Epitheta/0180_Mut/</t>
  </si>
  <si>
    <t>02_Slots/Gottheit/Goetter-mit-Epitheta/0190_Month/</t>
  </si>
  <si>
    <t>02_Slots/Gottheit/Goetter-mit-Epitheta/0200_Neith/</t>
  </si>
  <si>
    <t>02_Slots/Gottheit/Goetter-mit-Epitheta/0210_Nut/</t>
  </si>
  <si>
    <t>02_Slots/Gottheit/Goetter-mit-Epitheta/0220_Nephthys/</t>
  </si>
  <si>
    <t>02_Slots/Gottheit/Goetter-mit-Epitheta/0230_Nefertem/</t>
  </si>
  <si>
    <t>02_Slots/Gottheit/Goetter-mit-Epitheta/0240_Nechbet/</t>
  </si>
  <si>
    <t>02_Slots/Gottheit/Goetter-mit-Epitheta/0250_Re/</t>
  </si>
  <si>
    <t>02_Slots/Gottheit/Goetter-mit-Epitheta/0260_Re-Harachte/</t>
  </si>
  <si>
    <t>02_Slots/Gottheit/Goetter-mit-Epitheta/0270_Renenutet/</t>
  </si>
  <si>
    <t>02_Slots/Gottheit/Goetter-mit-Epitheta/0280_Hapi-Nilgott/</t>
  </si>
  <si>
    <t>02_Slots/Gottheit/Goetter-mit-Epitheta/0290_Hathor/</t>
  </si>
  <si>
    <t>02_Slots/Gottheit/Goetter-mit-Epitheta/0300_Apis/</t>
  </si>
  <si>
    <t>02_Slots/Gottheit/Goetter-mit-Epitheta/0310_Hapi-Horussohn/</t>
  </si>
  <si>
    <t>02_Slots/Gottheit/Goetter-mit-Epitheta/0320_Horus/</t>
  </si>
  <si>
    <t>02_Slots/Gottheit/Goetter-mit-Epitheta/0330_Harachte/</t>
  </si>
  <si>
    <t>02_Slots/Gottheit/Goetter-mit-Epitheta/0340_Heqet/</t>
  </si>
  <si>
    <t>02_Slots/Gottheit/Goetter-mit-Epitheta/0350_Chnum/</t>
  </si>
  <si>
    <t>02_Slots/Gottheit/Goetter-mit-Epitheta/0360_Chons/</t>
  </si>
  <si>
    <t>02_Slots/Gottheit/Goetter-mit-Epitheta/0370_Sobek/</t>
  </si>
  <si>
    <t>02_Slots/Gottheit/Goetter-mit-Epitheta/0380_Selkis/</t>
  </si>
  <si>
    <t>02_Slots/Gottheit/Goetter-mit-Epitheta/0390_Sachmet/</t>
  </si>
  <si>
    <t>02_Slots/Gottheit/Goetter-mit-Epitheta/0400_Sokar/</t>
  </si>
  <si>
    <t>02_Slots/Gottheit/Goetter-mit-Epitheta/0410_Seth/</t>
  </si>
  <si>
    <t>02_Slots/Gottheit/Goetter-mit-Epitheta/0420_Schu/</t>
  </si>
  <si>
    <t>02_Slots/Gottheit/Goetter-mit-Epitheta/0430_Qebehsenuef/</t>
  </si>
  <si>
    <t>02_Slots/Gottheit/Goetter-mit-Epitheta/0440_Duamutef/</t>
  </si>
  <si>
    <t>02_Slots/Gottheit/Goetter-mit-Epitheta/0450_Thot/</t>
  </si>
  <si>
    <t>Filiationsangabe</t>
  </si>
  <si>
    <t>AR:</t>
  </si>
  <si>
    <t>MR:</t>
  </si>
  <si>
    <t>ab NR:</t>
  </si>
  <si>
    <t>gl_person_filiation_AR</t>
  </si>
  <si>
    <t>gl_person_filiation_MR</t>
  </si>
  <si>
    <t>gl_person_filiation_NR</t>
  </si>
  <si>
    <t>(= Vater)</t>
  </si>
  <si>
    <t>*sꜣ⸗f*</t>
  </si>
  <si>
    <t>(= Sohn)</t>
  </si>
  <si>
    <t>*sꜣ*</t>
  </si>
  <si>
    <t>bei Töchtern: *sꜣ.t* „Tochter“( statt *sꜣ*)</t>
  </si>
  <si>
    <t>bei Müttern im AR: *sꜣ⸗s*</t>
  </si>
  <si>
    <t>seltenHierogl</t>
  </si>
  <si>
    <t>Seltene Hieroglphen</t>
  </si>
  <si>
    <t>pages/seltenHierogl</t>
  </si>
  <si>
    <t>Hieroglyphe</t>
  </si>
  <si>
    <t>tb_seltenHierogl_GardF</t>
  </si>
  <si>
    <t>A – Der Mann und seine Tätigkeiten</t>
  </si>
  <si>
    <t>B – Die Frau und ihre Tätigkeiten</t>
  </si>
  <si>
    <t>C – Gottheiten in Menschengestalt</t>
  </si>
  <si>
    <t>D – Teile des menschlichen Körpers</t>
  </si>
  <si>
    <t>E – Säugetiere</t>
  </si>
  <si>
    <t>F – Teile von Säugetieren</t>
  </si>
  <si>
    <t>G – Vögel</t>
  </si>
  <si>
    <t>H – Teile von Vögeln</t>
  </si>
  <si>
    <t>I – Amphibien und Reptilien</t>
  </si>
  <si>
    <t>K – Fische und Teile von Fischen</t>
  </si>
  <si>
    <t>L – Wirbellose und andere Tiere</t>
  </si>
  <si>
    <t>M – Bäume und andere Pflanzen</t>
  </si>
  <si>
    <t>N – Himmel, Erde und Wasser</t>
  </si>
  <si>
    <t>O – Gebäude und Teile von Gebäuden</t>
  </si>
  <si>
    <t>P – Schiffe und Teile von Schiffen</t>
  </si>
  <si>
    <t>Q – Möbel</t>
  </si>
  <si>
    <t>R – Tempel</t>
  </si>
  <si>
    <t>S – Kronen</t>
  </si>
  <si>
    <t>T – Krieg, Jagd und Schlachterei</t>
  </si>
  <si>
    <t>U – Landwirtschaft und Handwerk</t>
  </si>
  <si>
    <t>V – Seil, Faser, Korb usw.</t>
  </si>
  <si>
    <t>W – Stein- und Tongefäße</t>
  </si>
  <si>
    <t>X – Laibe und Kuchen</t>
  </si>
  <si>
    <t>Y – Schreiben, Spiele und Musik</t>
  </si>
  <si>
    <t>Z – Geometrische Figuren</t>
  </si>
  <si>
    <t>Aa – unklassifizierte Hieroglyphen</t>
  </si>
  <si>
    <t>tb_seltenHierogl_GardA</t>
  </si>
  <si>
    <t>tb_seltenHierogl_GardB</t>
  </si>
  <si>
    <t>tb_seltenHierogl_GardC</t>
  </si>
  <si>
    <t>tb_seltenHierogl_GardD</t>
  </si>
  <si>
    <t>tb_seltenHierogl_GardE</t>
  </si>
  <si>
    <t>tb_seltenHierogl_GardG</t>
  </si>
  <si>
    <t>tb_seltenHierogl_GardH</t>
  </si>
  <si>
    <t>tb_seltenHierogl_GardI</t>
  </si>
  <si>
    <t>tb_seltenHierogl_GardK</t>
  </si>
  <si>
    <t>tb_seltenHierogl_GardL</t>
  </si>
  <si>
    <t>tb_seltenHierogl_GardM</t>
  </si>
  <si>
    <t>tb_seltenHierogl_GardN</t>
  </si>
  <si>
    <t>tb_seltenHierogl_GardO</t>
  </si>
  <si>
    <t>tb_seltenHierogl_GardP</t>
  </si>
  <si>
    <t>tb_seltenHierogl_GardQ</t>
  </si>
  <si>
    <t>tb_seltenHierogl_GardR</t>
  </si>
  <si>
    <t>tb_seltenHierogl_GardS</t>
  </si>
  <si>
    <t>tb_seltenHierogl_GardT</t>
  </si>
  <si>
    <t>tb_seltenHierogl_GardU</t>
  </si>
  <si>
    <t>tb_seltenHierogl_GardV</t>
  </si>
  <si>
    <t>tb_seltenHierogl_GardW</t>
  </si>
  <si>
    <t>tb_seltenHierogl_GardX</t>
  </si>
  <si>
    <t>tb_seltenHierogl_GardY</t>
  </si>
  <si>
    <t>tb_seltenHierogl_GardZ</t>
  </si>
  <si>
    <t>tb_seltenHierogl_GardAa</t>
  </si>
  <si>
    <t>F63_xnty_01</t>
  </si>
  <si>
    <t>03_Hieroglyphen-selten/</t>
  </si>
  <si>
    <t>*ḫnty*</t>
  </si>
  <si>
    <t>vorn befindlich</t>
  </si>
  <si>
    <t>Gardiner-Nr.</t>
  </si>
  <si>
    <t>F63</t>
  </si>
  <si>
    <t>N6B</t>
  </si>
  <si>
    <t>N6B_nsw-bjt_01</t>
  </si>
  <si>
    <t>König von Ober- und Unterägypten</t>
  </si>
  <si>
    <t>N102_jmn_01</t>
  </si>
  <si>
    <t>N102</t>
  </si>
  <si>
    <t>projekt</t>
  </si>
  <si>
    <t>Projekt</t>
  </si>
  <si>
    <t>pages/projekt</t>
  </si>
  <si>
    <t>Version:</t>
  </si>
  <si>
    <t>RStudio 2025.09.1+401 "Cucumberleaf Sunflower" Release (20de356561bd58a6d88927cce948bd076d06e4ca, 2025-09-23) for macOS</t>
  </si>
  <si>
    <t>Mozilla/5.0 (Macintosh; Intel Mac OS X 10_15_7)</t>
  </si>
  <si>
    <t>AppleWebKit/537.36 (KHTML, like Gecko)</t>
  </si>
  <si>
    <t>RStudio/2025.09.1+401</t>
  </si>
  <si>
    <t>Chrome/138.0.7204.185</t>
  </si>
  <si>
    <t>Github:</t>
  </si>
  <si>
    <t>&lt;https://github.com/MarkusKut/Inschriftenschluessel.git&gt;</t>
  </si>
  <si>
    <t>Mitarbeiter:</t>
  </si>
  <si>
    <t>- **Recherche, Datengrundlage:** Iulia Comșa</t>
  </si>
  <si>
    <t>- **Programmierung, Hieroglyphensetzung:** Markus Kutschka</t>
  </si>
  <si>
    <t>Diese Website wurde mit Quarto unter R erstellt:</t>
  </si>
  <si>
    <t>- **Projektleitung:** Prof. Dr. Friedhelm Hoffmann</t>
  </si>
  <si>
    <t>info</t>
  </si>
  <si>
    <t>Information</t>
  </si>
  <si>
    <t>pages/info</t>
  </si>
  <si>
    <t>Zweck</t>
  </si>
  <si>
    <t>Mit dem Inschriftenschlüssel, dessen Erstellung die LMU mit Geldern aus dem Fonds zur Förderung der Lehre ermöglicht hat, werden die wesentlichen ägyptischen Inschriftenformulare in strukturierter Weise für Lernende aufbereitet. So wird ein Hilfsmittel für die Lektüre von Originalinschriften geschaffen.</t>
  </si>
  <si>
    <t>Hintergrund</t>
  </si>
  <si>
    <t>Ein Verzeichnis von Hieroglyphen, die in Inschriften ggf. späterer Epochen häufig sind, aber etwa im Mittleren Reich noch nicht vorkommen oder aus anderen Gründen ungewohnt sind, rundet zusammen mit einem Wörterverzeichnis den Inschriftenschlüssel ab.</t>
  </si>
  <si>
    <t>München 2026</t>
  </si>
  <si>
    <t>Iulia Comşa, Friedhelm Hoffmann, Markus Kutschka</t>
  </si>
  <si>
    <t>Erfahrungsgemäß fällt der Übergang von der Grammatikphase zur Lektüre und die Konfrontation mit tatsächlichen Inschriften in Ägypten oder im Museum aus verschiedenen Gründen vielen Studierenden schwer. Teils liegt es an ungewohnten Zeichenformen, die eine weit größere Varianz in ihrem Erscheinungsbild aufweisen als die gedruckten Hieroglyphen der Texteditionen; teils liegt es an den Schreibungen oder Wörtern, die in der Sprachausbildung nicht in der Frequenz vorkamen wie in den Inschriften; teils an der vielleicht suboptimalen Erhaltung; teils sind die Denkmäler aber auch einfach aus jüngeren Epochen und enthalten Phänomene, die im Unterricht noch nicht vorkamen, da sie für das Mittel- oder Altägyptische noch nicht relevant sind, die aber aufgrund der Häufigkeit jüngerer Inschriften in einem Museum prominenter sind.</t>
  </si>
  <si>
    <t>Andererseits sind Inschriften trotz aller Vielfalt längst nicht so divers wie etwa Literaturwerke, sondern folgen innerhalb einer gewissen Variationsbreite, die je nach Ort, Zeit oder Aufwand unterschiedlich sein kann, bestimmten Formularen. Wenn man die kennt, findet man sich in ägyptischen Inschriften leichter zurecht. Dazu kommt ein gewisser Vorrat an Götterepitheta, und am Schluss bleiben womöglich nur die Titel und Namen des einstigen Stelenbesitzers ungelesen übrig.</t>
  </si>
  <si>
    <t>Der Inschriftenschlüssel soll einen Überblick über die Grundtypen von Inschriften, die in ihnen vorgesehenen Elemente und die häufigsten Ausdrücke, die zur Ausfüllung dieser Positionen in Frage kommen, geben. Das soll in einer Weise geschehen, die strikt den Unterschied zwischen Inschriftentyp, den damit verbundenen Formularen und ihren Leerstellen sowie den konkreten Ausdrücken, die an einer Stelle stehen können, deutlich macht und zugleich je nach Epoche auch typische Schreibungen der für das Formular und seine Erkennbarkeit wichtigen Einzelwörter zeigt.</t>
  </si>
  <si>
    <t>&lt;br&gt;</t>
  </si>
  <si>
    <t>Der Inschriftenschlüssel erinnert also zunächst an die häufigsten Formulare und ihren Aufbau und stellt dann die Elemente („Slots“) vor, also über alle Inschriftentypen hinweg im Wesentlichen [Gottheit], [König], [Gaben] und [Person]. Die Kenntnis der Inschriftenformulare stellt sicher, dass man stets weiß, wo in der Inschrift man sich gerade befindet, dass das Wort, auf das man nicht kommt, z. B. ein Götterepitheton sein muss etc., und verhindert „Flächenschäden“ im Textverständnis, aus denen man nicht mehr herausfindet.</t>
  </si>
  <si>
    <t>0060_nb-WAs.t_Sp_01</t>
  </si>
  <si>
    <t>0050_nb-WAs.t_NR_04</t>
  </si>
  <si>
    <t>0070_nb-WAs.t_Gr_01</t>
  </si>
  <si>
    <t xml:space="preserve">  </t>
  </si>
  <si>
    <t>*ꜥnḫ ḥr-ꜣḫ.ti ḥꜥy m ꜣḫ.t m rn⸗f m jt Rꜥ jy m jtn*</t>
  </si>
  <si>
    <t>Es lebe der horizontische Horus (Re-Harachte), der im Lichtland (am Horizont) jubelt in seinem Namen als Schu, der in der Sonnenscheibe (Aton) ist</t>
  </si>
  <si>
    <t>*ꜥnḫ rꜥ-ḥqꜣ-ꜣḫ.ti ḥꜥy m ꜣḫ.t m rn⸗f m šw nty m jtn*</t>
  </si>
  <si>
    <t>Es lebe Re, der horizontische Herrscher, der im Lichtland (am Horizont) jubelt in seinem Namen als Re, der Vater, der als Sonnenscheibe (Aton) kommt</t>
  </si>
  <si>
    <t>epitheta/01_anx-Hr-Ax.tj-Hay-m-Ax.t-m-rn=f-m-jt-Ra-jj-m-jtn/</t>
  </si>
  <si>
    <t>0010_m-rn=f-m-jt-Ra-jj-m-jtn_01</t>
  </si>
  <si>
    <t>epitheta/02_anx-ra-HqA-Ax.tj-Hay-m-Ax.t-m-rn=f-m-Sw-nty-m-jtn/</t>
  </si>
  <si>
    <t>0010_m-rn=f-m-Sw-nty-m-jtn_01</t>
  </si>
  <si>
    <t>0010_m-jp.t_01</t>
  </si>
  <si>
    <t>0020_m-jp.t_SP_01</t>
  </si>
  <si>
    <t>*sꜣ⸗f n ẖ.t⸗f*</t>
  </si>
  <si>
    <t>sein leiblicher Sohn</t>
  </si>
  <si>
    <t>*nb ḫꜥ.w*</t>
  </si>
  <si>
    <t>Herr der Erscheinungen/Kronen</t>
  </si>
  <si>
    <t>02_Slots/Koenig/Epitheta/</t>
  </si>
  <si>
    <t>01_nTr-nfr/</t>
  </si>
  <si>
    <t>0001_nTr-nfr_01</t>
  </si>
  <si>
    <t>02_nb-tA.wj/</t>
  </si>
  <si>
    <t>0001_nb-tA.wj_01</t>
  </si>
  <si>
    <t>03_sA=f-n-X.t=f/</t>
  </si>
  <si>
    <t>0001_Hm=f_01</t>
  </si>
  <si>
    <t>0001_sA=f-n-X.t=f_01</t>
  </si>
  <si>
    <t>0001_Hm_01.png</t>
  </si>
  <si>
    <t>0010_Hm_02.png</t>
  </si>
  <si>
    <t>0020_Hm_03.png</t>
  </si>
  <si>
    <t>04_Hm=f/</t>
  </si>
  <si>
    <t>05_Hm/</t>
  </si>
  <si>
    <t>06_nsw/</t>
  </si>
  <si>
    <t>0001_nsw_01.png</t>
  </si>
  <si>
    <t>0010_nsw_02.png</t>
  </si>
  <si>
    <t>0020_nsw_03.png</t>
  </si>
  <si>
    <t>07_nb-xa.w/</t>
  </si>
  <si>
    <t>0001_nb-xa.w_01</t>
  </si>
  <si>
    <t>gl_beischrift_bezeichnung</t>
  </si>
  <si>
    <t>im Infinitiv, der die dargestellte Tätigkeit bezeichnet</t>
  </si>
  <si>
    <t>- Inschrift: Blickt in die selbe Richtung wie das Dargestellte</t>
  </si>
  <si>
    <t>- AR, MR: Beischrift meist ohne Determinativ geschrieben</t>
  </si>
  <si>
    <t>- Sonstiges: z. B. Toponym, Tierbezeichnung</t>
  </si>
  <si>
    <t>gl_rueckenschutzformel</t>
  </si>
  <si>
    <t>s_rueckenschutzformel</t>
  </si>
  <si>
    <t>- vertikal geschrieben</t>
  </si>
  <si>
    <t>Aller Schutz (und) alles Leben ist hinter ihm.</t>
  </si>
  <si>
    <t>01_Textgattung/07_Beischriften/04_Rueckenschutzformel/</t>
  </si>
  <si>
    <t>01_sA/</t>
  </si>
  <si>
    <t>01_Textgattung/07_Beischriften/03_Woertliche-Rede/</t>
  </si>
  <si>
    <t>02_dj.n(=j)-n=k/</t>
  </si>
  <si>
    <t>01_Textgattung/07_Beischriften/03_Woertliche-Rede/01_Dd-mdw-jn/</t>
  </si>
  <si>
    <t>01_Dd-mdw/</t>
  </si>
  <si>
    <t>0010_sA_seit-MR_02</t>
  </si>
  <si>
    <t>*ḥꜣ⸗f nb*</t>
  </si>
  <si>
    <t>02_anx/</t>
  </si>
  <si>
    <t>03_HA/</t>
  </si>
  <si>
    <t>04_=f-nb/</t>
  </si>
  <si>
    <t>0001_anx_01</t>
  </si>
  <si>
    <t>0001_=f-nb_01</t>
  </si>
  <si>
    <t>0010_HA_02</t>
  </si>
  <si>
    <t>- mit und ohne Einleitung von [Wörtliche Rede]</t>
  </si>
  <si>
    <t>pages/slots/rueckenschutzformel</t>
  </si>
  <si>
    <t>../slots/rueckenschutzformel.qmd</t>
  </si>
  <si>
    <t>- [Rückenschutzformel] am häufigsten hinter dem König; auch hinter Gottheit</t>
  </si>
  <si>
    <t>gl_rueckenschutzformel_var</t>
  </si>
  <si>
    <t>0001_sA_01.png</t>
  </si>
  <si>
    <t>0010_sA_seit-MR_02.png</t>
  </si>
  <si>
    <t>0020_sA_MR_01.png</t>
  </si>
  <si>
    <t>0030_sA_NR_01.png</t>
  </si>
  <si>
    <t>0040_sA_NR_02.png</t>
  </si>
  <si>
    <t>0050_sA_GR_01.png</t>
  </si>
  <si>
    <t>0060_sA_GR_02.png</t>
  </si>
  <si>
    <t>*ḥꜣ*</t>
  </si>
  <si>
    <t>0001_HA_01.png</t>
  </si>
  <si>
    <t>0010_HA_02.png</t>
  </si>
  <si>
    <t>0020_HA_MR_01.png</t>
  </si>
  <si>
    <t>0030_HA_MR_02.png</t>
  </si>
  <si>
    <t>0040_HA_NR_01.png</t>
  </si>
  <si>
    <t>0050_HA_Sp_01.png</t>
  </si>
  <si>
    <t xml:space="preserve"> &lt;sup&gt;(MR)&lt;/sup&gt;</t>
  </si>
  <si>
    <t xml:space="preserve"> &lt;sup&gt;(Sp.)&lt;/sup&gt;</t>
  </si>
  <si>
    <t>var4</t>
  </si>
  <si>
    <t>formel-gesamt/</t>
  </si>
  <si>
    <t>0001_sA-anx-HA=f-nb_MR_01.png</t>
  </si>
  <si>
    <t>0010_sA-anx-HA=f-nb-NR_01.png</t>
  </si>
  <si>
    <t>0020_sA-anx-HA=f_01.png</t>
  </si>
  <si>
    <t>0030_sA-anx-HA=f_02.png</t>
  </si>
  <si>
    <t>0040_sA-anx-wAs-HA=f_01.png</t>
  </si>
  <si>
    <t>0050_sA-anx-wAs-HA=f_NR-selten-Gr-oft_01.png</t>
  </si>
  <si>
    <t>0060_sA-anx-Dd-wAs-HA=f_D.18_01.png</t>
  </si>
  <si>
    <t>0070_sA-anx-Dd-wAs-snb-HA=f_D.18_01.png</t>
  </si>
  <si>
    <t>gl_rueckenschutzformel-gesamt_var</t>
  </si>
  <si>
    <t>Schreibvarianten der Formel</t>
  </si>
  <si>
    <t>*sꜣ ꜥnḫ ḥꜣ⸗f nb*</t>
  </si>
  <si>
    <t>*sꜣ ꜥnḫ ḥꜣ⸗f*</t>
  </si>
  <si>
    <t>*sꜣ ꜥnḫ wꜣs ḥꜣ⸗f*</t>
  </si>
  <si>
    <t>*sꜣ ꜥnḫ ḏd wꜣs ḥꜣ⸗f*</t>
  </si>
  <si>
    <t>*sꜣ ꜥnḫ ḏd wꜣs snb ḥꜣ⸗f*</t>
  </si>
  <si>
    <t xml:space="preserve"> &lt;sup&gt;(selten NR; Gr. oft)&lt;/sup&gt;</t>
  </si>
  <si>
    <t xml:space="preserve"> &lt;sup&gt;(D.18)&lt;/sup&gt;</t>
  </si>
  <si>
    <t>var5</t>
  </si>
  <si>
    <t>02_jn/</t>
  </si>
  <si>
    <t>0010_jn_02</t>
  </si>
  <si>
    <t>0001_HA.t-sp_01.png</t>
  </si>
  <si>
    <t>0010_HA.t-sp_02.png</t>
  </si>
  <si>
    <t>0020_HA.t-sp_03.png</t>
  </si>
  <si>
    <t>0030_HA.t-sp_04.png</t>
  </si>
  <si>
    <t>0040_HA.t-sp_Sp_01.png</t>
  </si>
  <si>
    <t>0050_HA.t-sp_Sp_02.png</t>
  </si>
  <si>
    <t>0060_HA.t-sp_Sp_03.png</t>
  </si>
  <si>
    <t>03_Jahreszeiten/01_Ax.t/</t>
  </si>
  <si>
    <t>03_Jahreszeiten/02_pr.t/</t>
  </si>
  <si>
    <t>03_Jahreszeiten/03_Smw/</t>
  </si>
  <si>
    <t>0001_Ax.t_01.png</t>
  </si>
  <si>
    <t>0010_Ax.t_02.png</t>
  </si>
  <si>
    <t>0020_Ax.t_03.png</t>
  </si>
  <si>
    <t>0030_Ax.t_04.png</t>
  </si>
  <si>
    <t>0040_Ax.t_NR_01.png</t>
  </si>
  <si>
    <t>0001_pr.t_01.png</t>
  </si>
  <si>
    <t>0010_pr.t_02.png</t>
  </si>
  <si>
    <t>0020_pr.t_AR_01.png</t>
  </si>
  <si>
    <t>0030_pr.t_MR_01.png</t>
  </si>
  <si>
    <t>0040_pr.t_Sp_01.png</t>
  </si>
  <si>
    <t>0050_pr.t_Gr_01.png</t>
  </si>
  <si>
    <t>0001_Smw_01.png</t>
  </si>
  <si>
    <t>0010_Smw_02.png</t>
  </si>
  <si>
    <t>0020_Smw_03.png</t>
  </si>
  <si>
    <t>0030_Smw_D.20_01.png</t>
  </si>
  <si>
    <t>0040_Smw_Sp_Gr_Abk_01.png</t>
  </si>
  <si>
    <t>0050_Smw_Sp_Gr_Abk_02.png</t>
  </si>
  <si>
    <t>0060_Smw_Sp_Gr_Abk_03.png</t>
  </si>
  <si>
    <t>0070_Smw_Gr_01.png</t>
  </si>
  <si>
    <t>0080_Smw_Gr_02.png</t>
  </si>
  <si>
    <t>0090_Smw_Gr_03.png</t>
  </si>
  <si>
    <t>(D.20)</t>
  </si>
  <si>
    <t>(Sp.–Gr.; Abk.)</t>
  </si>
  <si>
    <t>04_Tag/01_sw-arqy/</t>
  </si>
  <si>
    <t>0001_sw-arqy_01.png</t>
  </si>
  <si>
    <t>0010_sw-arqy_02.png</t>
  </si>
  <si>
    <t>0001_sw_01.png</t>
  </si>
  <si>
    <t>0010_sw_02.png</t>
  </si>
  <si>
    <t>0020_sw_MR_01.png</t>
  </si>
  <si>
    <t>0030_sw_NR_01.png</t>
  </si>
  <si>
    <t>0040_sw_Sp_01.png</t>
  </si>
  <si>
    <t>0050_sw_Sp_02.png</t>
  </si>
  <si>
    <t>0060_sw_Sp_03.png</t>
  </si>
  <si>
    <t>0020_sw-arqy_NR_01.png</t>
  </si>
  <si>
    <t>0030_sw-arqy_NR_02.png</t>
  </si>
  <si>
    <t>*n it / mw.t⸗f*</t>
  </si>
  <si>
    <t>02_n-jt=f-mwt=f_01</t>
  </si>
  <si>
    <t>für seinen Vater / seine Mutter</t>
  </si>
  <si>
    <t>I: 141; II: 54</t>
  </si>
  <si>
    <t>konventionelle Übersetzung; später auch ohne *m* geschrieben</t>
  </si>
  <si>
    <t>[Person] NN statt [König] NN: selten</t>
  </si>
  <si>
    <t>&lt;b&gt;Tat&lt;/b&gt;</t>
  </si>
  <si>
    <t>[König] NN / [Person] NN: Er hat als sein Denkmal / sein Denkmal für seinen Vater / seine Mutter [Gottheit] NN gemacht, indem er (der Stifter) ihm (dem Beschenkten) machte (das Bauwerk) u. ä.</t>
  </si>
  <si>
    <t>&lt;b&gt;Tat&lt;/b&gt;: typischerweise im Infinitiv</t>
  </si>
  <si>
    <t>er hat als sein Denkmal gemacht</t>
  </si>
  <si>
    <t>*it*</t>
  </si>
  <si>
    <t>02-1_jt/</t>
  </si>
  <si>
    <t>0001_jt_AR_01.png</t>
  </si>
  <si>
    <t>0010_jt_AR_02.png</t>
  </si>
  <si>
    <t>0020_jt_AR_03.png</t>
  </si>
  <si>
    <t>0030_jt_MR_01.png</t>
  </si>
  <si>
    <t>0040_jt_Gr_01.png</t>
  </si>
  <si>
    <t>0050_jt_Gr_02.png</t>
  </si>
  <si>
    <t>03-1_mw.t/</t>
  </si>
  <si>
    <t>0030_mw.t_seit-MR_01.png</t>
  </si>
  <si>
    <t>0040_mw.t_seit-MR_02.png</t>
  </si>
  <si>
    <t>0050_mw.t_seit-MR_03.png</t>
  </si>
  <si>
    <t>0060_mw.t_NR_01.png</t>
  </si>
  <si>
    <t>0070_mw.t_Sp_01.png</t>
  </si>
  <si>
    <t>[[table:tb_epith_chons_001|Öffne]]</t>
  </si>
  <si>
    <t>tb_epith_chons_001</t>
  </si>
  <si>
    <t>0001_m-WAs.t_NR_01.png</t>
  </si>
  <si>
    <t>0010_m-WAs.t_NR_02.png</t>
  </si>
  <si>
    <t>epitheta/01-m-wAs.t/</t>
  </si>
  <si>
    <t>*m wꜣs.t*</t>
  </si>
  <si>
    <t>in Theben</t>
  </si>
  <si>
    <t>*pꜣ iri sḫr.w m wꜣs.t*</t>
  </si>
  <si>
    <t>der die Pläne in Theben macht</t>
  </si>
  <si>
    <t>0001_pA-jrj-sxr.w-m-WAs.t_Sp_01.png</t>
  </si>
  <si>
    <t>epitheta/02-pA-jrj-sxr.w-m-WAs.t/</t>
  </si>
  <si>
    <t>*ḏd*</t>
  </si>
  <si>
    <t>0010_Dd_01.png</t>
  </si>
  <si>
    <t>0020_Dd_seitMR_01.png</t>
  </si>
  <si>
    <t>0030_Dd_Sp_Gr_01.png</t>
  </si>
  <si>
    <t>0040_Dd_Gr_01.png</t>
  </si>
  <si>
    <t>0050_Dd_Gr_02.png</t>
  </si>
  <si>
    <t xml:space="preserve"> &lt;sup&gt;(Sp.; Gr.)&lt;/sup&gt;</t>
  </si>
  <si>
    <t>0040_jn_NR_01.png</t>
  </si>
  <si>
    <t>0010_jn_01.png</t>
  </si>
  <si>
    <t>0020_jn_AR_01.png</t>
  </si>
  <si>
    <t>0030_jn_AR_02.png</t>
  </si>
  <si>
    <t>0001_jnD-Hr_01.png</t>
  </si>
  <si>
    <t>0010_jnD-Hr_01.png</t>
  </si>
  <si>
    <t>0020_jnD-Hr_02.png</t>
  </si>
  <si>
    <t>0030_jnD-Hr_AR_01.png</t>
  </si>
  <si>
    <t>0040_jnD-Hr_AR_MR_01.png</t>
  </si>
  <si>
    <t>0050_jnD-Hr_AR_MR_02.png</t>
  </si>
  <si>
    <t>0060_jnD-Hr_NR_01.png</t>
  </si>
  <si>
    <t>0070_jnD-Hr_D18_01.png</t>
  </si>
  <si>
    <t>0080_jnD-Hr_Gr_01.png</t>
  </si>
  <si>
    <t>0090_jnD-Hr_Gr_02.png</t>
  </si>
  <si>
    <t>0100_dwA_Sp_02.png</t>
  </si>
  <si>
    <t>0010_dwA_AR_01.png</t>
  </si>
  <si>
    <t>0020_dwA_Pyr_01.png</t>
  </si>
  <si>
    <t>0030_dwA_seit-MR_01.png</t>
  </si>
  <si>
    <t>0040_dwA_seit-MR_02.png</t>
  </si>
  <si>
    <t>0050_dwA_seit-MR_03.png</t>
  </si>
  <si>
    <t>0060_dwA_seit-MR_04.png</t>
  </si>
  <si>
    <t>0070_dwA_Ende-NR_01.png</t>
  </si>
  <si>
    <t>0080_dwA_Ende-NR_02.png</t>
  </si>
  <si>
    <t>0090_dwA_Sp_01.png</t>
  </si>
  <si>
    <t xml:space="preserve"> &lt;sup&gt;(Pyr.)&lt;/sup&gt;</t>
  </si>
  <si>
    <t>0010_rDj.t-jAw_02.png</t>
  </si>
  <si>
    <t>0020_rDj.t-jAw_NR_01.png</t>
  </si>
  <si>
    <t>0030_rDj.t-jAw_NR_02.png</t>
  </si>
  <si>
    <t>0040_rDj.t-jAw_NR_03.png</t>
  </si>
  <si>
    <t>0050_rDj.t-jAw_NR_04.png</t>
  </si>
  <si>
    <t>0060_rDj.t-jAw_NR_05.png</t>
  </si>
  <si>
    <t>0001_jAw_01.png</t>
  </si>
  <si>
    <t>0010_jAw_AR_01.png</t>
  </si>
  <si>
    <t>0020_jAw_AR_02.png</t>
  </si>
  <si>
    <t>0030_jAw_NR_01.png</t>
  </si>
  <si>
    <t>0040_jAw_D.18_01.png</t>
  </si>
  <si>
    <t>0050_jAw_Gr_01.png</t>
  </si>
  <si>
    <t>0060_jAw_Gr_02.png</t>
  </si>
  <si>
    <t>0070_jAw_Abk_01.png</t>
  </si>
  <si>
    <t>02_rDj.t-jAw/02_jAw/</t>
  </si>
  <si>
    <t xml:space="preserve"> &lt;sup&gt;(Abk.)&lt;/sup&gt;</t>
  </si>
  <si>
    <t>*iꜣw*</t>
  </si>
  <si>
    <t>*sn tꜣ*</t>
  </si>
  <si>
    <t>0010_sn-tA_01.png</t>
  </si>
  <si>
    <t>0020_sn-tA_NR_01.png</t>
  </si>
  <si>
    <t>0030_sn-tA_NR_02.png</t>
  </si>
  <si>
    <t>0040_sn-tA_NR_03.png</t>
  </si>
  <si>
    <t>0050_sn-tA_D.18_01.png</t>
  </si>
  <si>
    <t>0060_sn-tA_Abk-MR-NR_01.png</t>
  </si>
  <si>
    <t>0070_sn-tA_Abk-Gr_01.png</t>
  </si>
  <si>
    <t xml:space="preserve"> &lt;sup&gt;(Abk. MR, NR)&lt;/sup&gt;</t>
  </si>
  <si>
    <t xml:space="preserve"> &lt;sup&gt;(Abk. Gr.)&lt;/sup&gt;</t>
  </si>
  <si>
    <t>01_Horusname_01/</t>
  </si>
  <si>
    <t>02_Herrinname_01/</t>
  </si>
  <si>
    <t>03_Goldhorus_01/</t>
  </si>
  <si>
    <t>04_Thronname_01/</t>
  </si>
  <si>
    <t>05_Eigenname_01/</t>
  </si>
  <si>
    <t>0010_Hr_AR_01.png</t>
  </si>
  <si>
    <t>0020_Hr_MR_01.png</t>
  </si>
  <si>
    <t>0030_Hr_MR_02.png</t>
  </si>
  <si>
    <t>0040_Hr_D.19_01.png</t>
  </si>
  <si>
    <t>0050_Hr_D.19_02.png</t>
  </si>
  <si>
    <t>0001_nbty_01.png</t>
  </si>
  <si>
    <t>0010_nbty_Gr_01.png</t>
  </si>
  <si>
    <t>0001_Hr-m-nb.w_01.png</t>
  </si>
  <si>
    <t>0001_nsw-bit_01.png</t>
  </si>
  <si>
    <t>0010_nsw-bit_02.png</t>
  </si>
  <si>
    <t>0020_nsw-bit_NR_01.png</t>
  </si>
  <si>
    <t>0030_nsw-bit_NR_02.png</t>
  </si>
  <si>
    <t>0040_nsw-bit_NR_03.png</t>
  </si>
  <si>
    <t>0050_nsw-bit_NR_04.png</t>
  </si>
  <si>
    <t>0060_nsw-bit_Gr_01.png</t>
  </si>
  <si>
    <t>0070_nsw-bit_Gr_02.png</t>
  </si>
  <si>
    <t>0080_nsw-bit_Gr_03.png</t>
  </si>
  <si>
    <t>0090_nsw-bit_Gr_04.png</t>
  </si>
  <si>
    <t>0001_sA-ra_01.png</t>
  </si>
  <si>
    <t>0010_sA-ra_AR_01.png</t>
  </si>
  <si>
    <t>0020_sA-ra_MR_01.png</t>
  </si>
  <si>
    <t>0030_sA-ra_D.20_01.png</t>
  </si>
  <si>
    <t>0040_sA-ra_NR_01.png</t>
  </si>
  <si>
    <t>0050_sA-ra_Gr_01.png</t>
  </si>
  <si>
    <t>nach *ḫr ḥm n*: Thronname des Königs</t>
  </si>
  <si>
    <t>&lt;b&gt;[narrativer Text]&lt;/b&gt;</t>
  </si>
  <si>
    <t>&lt;b&gt;Lobpreisungen für Gottheit&lt;/b&gt;</t>
  </si>
  <si>
    <t>&lt;span style="vertical-align:-75%"&gt;&amp;nbsp;&lt;/span&gt;&lt;br/&gt;</t>
  </si>
  <si>
    <t>gl_saitenformel</t>
  </si>
  <si>
    <t>- erstmals in der 18. Dynastie belegt</t>
  </si>
  <si>
    <t>gl_saitenformel_var</t>
  </si>
  <si>
    <t>- Jansen-Winkeln, Karl 2000. Zum Verständnis der "Saitischen Formel". Studien zur Altägyptischen Kultur 28, 83-124.</t>
  </si>
  <si>
    <t>- Meulenaere, H. J. A. de 1997-2000. Sculptures mendésiennes de Basse Époque. Jaarbericht van het Vooraziatisch-Egyptisch Genootschap Ex Oriente Lux 35-36, 33-39: F. 81</t>
  </si>
  <si>
    <t>- NR: Klotz, David 2016. Get thee behind me, City God! New Kingdom versions of the so-called "Saite Formula". Zeitschrift für ägyptische Sprache und Altertumskunde 143 (2), 204-213. DOI: 10.1515/zaes-2016-0014.</t>
  </si>
  <si>
    <t>gl_anruf-lebenden</t>
  </si>
  <si>
    <t>- *swꜣi⸗sn*: seit der 3. Zwischenzeit auch ohne *ti* geschrieben</t>
  </si>
  <si>
    <t>- Shubert, Steven Blake 2007. Those who (still) live on earth: a study of the ancient Egyptian Appeal to the Living texts. Toronto; Ottawa: University of Toronto; Library and Archives Canada.</t>
  </si>
  <si>
    <r>
      <t xml:space="preserve">Hoffmann, Friedhelm 2021. Einige Beobachtungen zur Rückenschutzformel. In Ullmann, Martina, Gabriele Pieke, Friedhelm Hoffmann, and Christian Bayer (eds), </t>
    </r>
    <r>
      <rPr>
        <i/>
        <sz val="12"/>
        <color theme="1"/>
        <rFont val="Arial"/>
        <family val="2"/>
      </rPr>
      <t>Up and down the Nile: ägyptologische Studien für Regine Schulz</t>
    </r>
    <r>
      <rPr>
        <sz val="12"/>
        <color theme="1"/>
        <rFont val="Arial"/>
        <family val="2"/>
      </rPr>
      <t>, 187-204. Münster: Zaphon.</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</si>
</sst>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8">
    <font>
      <sz val="12"/>
      <color theme="1"/>
      <name val="Aptos Narrow"/>
      <family val="2"/>
      <scheme val="minor"/>
    </font>
    <font>
      <u/>
      <sz val="12"/>
      <color theme="10"/>
      <name val="Aptos Narrow"/>
      <family val="2"/>
      <scheme val="minor"/>
    </font>
    <font>
      <b/>
      <sz val="12"/>
      <color theme="1"/>
      <name val="Arial"/>
      <family val="2"/>
    </font>
    <font>
      <sz val="12"/>
      <color theme="1"/>
      <name val="Arial"/>
      <family val="2"/>
    </font>
    <font>
      <i/>
      <sz val="12"/>
      <color theme="1"/>
      <name val="Arial"/>
      <family val="2"/>
    </font>
    <font>
      <u/>
      <sz val="12"/>
      <color theme="10"/>
      <name val="Arial"/>
      <family val="2"/>
    </font>
    <font>
      <sz val="11"/>
      <color theme="1"/>
      <name val="Arial"/>
      <family val="2"/>
    </font>
    <font>
      <sz val="12"/>
      <color rgb="FF000000"/>
      <name val="Arial"/>
      <family val="2"/>
    </font>
  </fonts>
  <fills count="11">
    <fill>
      <patternFill patternType="none"/>
    </fill>
    <fill>
      <patternFill patternType="gray125"/>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3" tint="0.499984740745262"/>
        <bgColor indexed="64"/>
      </patternFill>
    </fill>
    <fill>
      <patternFill patternType="solid">
        <fgColor theme="5" tint="0.39997558519241921"/>
        <bgColor indexed="64"/>
      </patternFill>
    </fill>
    <fill>
      <patternFill patternType="solid">
        <fgColor theme="6" tint="0.39997558519241921"/>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48">
    <xf numFmtId="0" fontId="0" fillId="0" borderId="0" xfId="0"/>
    <xf numFmtId="0" fontId="2" fillId="0" borderId="0" xfId="0" applyFont="1"/>
    <xf numFmtId="0" fontId="3" fillId="0" borderId="0" xfId="0" applyFont="1"/>
    <xf numFmtId="0" fontId="3" fillId="3" borderId="0" xfId="0" applyFont="1" applyFill="1"/>
    <xf numFmtId="0" fontId="3" fillId="2" borderId="0" xfId="0" applyFont="1" applyFill="1"/>
    <xf numFmtId="0" fontId="3" fillId="4" borderId="0" xfId="0" applyFont="1" applyFill="1"/>
    <xf numFmtId="0" fontId="3" fillId="6" borderId="0" xfId="0" applyFont="1" applyFill="1"/>
    <xf numFmtId="0" fontId="3" fillId="7" borderId="0" xfId="0" applyFont="1" applyFill="1"/>
    <xf numFmtId="0" fontId="3" fillId="8" borderId="0" xfId="0" applyFont="1" applyFill="1"/>
    <xf numFmtId="0" fontId="3" fillId="9" borderId="0" xfId="0" applyFont="1" applyFill="1"/>
    <xf numFmtId="0" fontId="3" fillId="10" borderId="0" xfId="0" applyFont="1" applyFill="1"/>
    <xf numFmtId="0" fontId="2" fillId="0" borderId="0" xfId="0" applyFont="1" applyAlignment="1">
      <alignment vertical="top"/>
    </xf>
    <xf numFmtId="0" fontId="2" fillId="0" borderId="0" xfId="0" applyFont="1" applyAlignment="1">
      <alignment vertical="top" wrapText="1"/>
    </xf>
    <xf numFmtId="0" fontId="3" fillId="0" borderId="0" xfId="0" applyFont="1" applyAlignment="1">
      <alignment vertical="top"/>
    </xf>
    <xf numFmtId="0" fontId="3" fillId="3" borderId="0" xfId="0" applyFont="1" applyFill="1" applyAlignment="1">
      <alignment vertical="top"/>
    </xf>
    <xf numFmtId="0" fontId="3" fillId="3" borderId="0" xfId="0" applyFont="1" applyFill="1" applyAlignment="1">
      <alignment vertical="top" wrapText="1"/>
    </xf>
    <xf numFmtId="0" fontId="3" fillId="2" borderId="0" xfId="0" applyFont="1" applyFill="1" applyAlignment="1">
      <alignment vertical="top"/>
    </xf>
    <xf numFmtId="0" fontId="3" fillId="2" borderId="0" xfId="0" applyFont="1" applyFill="1" applyAlignment="1">
      <alignment vertical="top" wrapText="1"/>
    </xf>
    <xf numFmtId="0" fontId="3" fillId="4" borderId="0" xfId="0" applyFont="1" applyFill="1" applyAlignment="1">
      <alignment vertical="top"/>
    </xf>
    <xf numFmtId="0" fontId="3" fillId="4" borderId="0" xfId="0" applyFont="1" applyFill="1" applyAlignment="1">
      <alignment vertical="top" wrapText="1"/>
    </xf>
    <xf numFmtId="0" fontId="3" fillId="6" borderId="0" xfId="0" applyFont="1" applyFill="1" applyAlignment="1">
      <alignment vertical="top"/>
    </xf>
    <xf numFmtId="0" fontId="3" fillId="6" borderId="0" xfId="0" applyFont="1" applyFill="1" applyAlignment="1">
      <alignment vertical="top" wrapText="1"/>
    </xf>
    <xf numFmtId="0" fontId="3" fillId="7" borderId="0" xfId="0" applyFont="1" applyFill="1" applyAlignment="1">
      <alignment vertical="top"/>
    </xf>
    <xf numFmtId="0" fontId="3" fillId="7" borderId="0" xfId="0" applyFont="1" applyFill="1" applyAlignment="1">
      <alignment vertical="top" wrapText="1"/>
    </xf>
    <xf numFmtId="0" fontId="3" fillId="8" borderId="0" xfId="0" applyFont="1" applyFill="1" applyAlignment="1">
      <alignment vertical="top"/>
    </xf>
    <xf numFmtId="0" fontId="3" fillId="8" borderId="0" xfId="0" applyFont="1" applyFill="1" applyAlignment="1">
      <alignment vertical="top" wrapText="1"/>
    </xf>
    <xf numFmtId="0" fontId="3" fillId="8" borderId="0" xfId="0" quotePrefix="1" applyFont="1" applyFill="1" applyAlignment="1">
      <alignment vertical="top" wrapText="1"/>
    </xf>
    <xf numFmtId="0" fontId="3" fillId="9" borderId="0" xfId="0" applyFont="1" applyFill="1" applyAlignment="1">
      <alignment vertical="top"/>
    </xf>
    <xf numFmtId="0" fontId="3" fillId="9" borderId="0" xfId="0" applyFont="1" applyFill="1" applyAlignment="1">
      <alignment vertical="top" wrapText="1"/>
    </xf>
    <xf numFmtId="0" fontId="3" fillId="9" borderId="0" xfId="0" quotePrefix="1" applyFont="1" applyFill="1" applyAlignment="1">
      <alignment vertical="top" wrapText="1"/>
    </xf>
    <xf numFmtId="0" fontId="3" fillId="10" borderId="0" xfId="0" applyFont="1" applyFill="1" applyAlignment="1">
      <alignment vertical="top"/>
    </xf>
    <xf numFmtId="0" fontId="3" fillId="10" borderId="0" xfId="0" applyFont="1" applyFill="1" applyAlignment="1">
      <alignment vertical="top" wrapText="1"/>
    </xf>
    <xf numFmtId="0" fontId="3" fillId="10" borderId="0" xfId="0" quotePrefix="1" applyFont="1" applyFill="1" applyAlignment="1">
      <alignment vertical="top" wrapText="1"/>
    </xf>
    <xf numFmtId="0" fontId="3" fillId="0" borderId="0" xfId="0" applyFont="1" applyAlignment="1">
      <alignment vertical="top" wrapText="1"/>
    </xf>
    <xf numFmtId="0" fontId="3" fillId="0" borderId="0" xfId="0" quotePrefix="1" applyFont="1" applyAlignment="1">
      <alignment vertical="top"/>
    </xf>
    <xf numFmtId="0" fontId="5" fillId="0" borderId="0" xfId="1" applyFont="1" applyFill="1" applyAlignment="1">
      <alignment vertical="top"/>
    </xf>
    <xf numFmtId="0" fontId="6" fillId="0" borderId="0" xfId="0" applyFont="1" applyAlignment="1">
      <alignment horizontal="justify" vertical="top"/>
    </xf>
    <xf numFmtId="0" fontId="6" fillId="0" borderId="0" xfId="0" applyFont="1" applyAlignment="1">
      <alignment horizontal="left" vertical="top"/>
    </xf>
    <xf numFmtId="0" fontId="3" fillId="4" borderId="0" xfId="0" quotePrefix="1" applyFont="1" applyFill="1"/>
    <xf numFmtId="0" fontId="3" fillId="0" borderId="0" xfId="0" applyFont="1" applyAlignment="1">
      <alignment wrapText="1"/>
    </xf>
    <xf numFmtId="1" fontId="3" fillId="0" borderId="0" xfId="0" applyNumberFormat="1" applyFont="1"/>
    <xf numFmtId="1" fontId="2" fillId="0" borderId="0" xfId="0" applyNumberFormat="1" applyFont="1"/>
    <xf numFmtId="1" fontId="3" fillId="3" borderId="0" xfId="0" applyNumberFormat="1" applyFont="1" applyFill="1"/>
    <xf numFmtId="1" fontId="3" fillId="2" borderId="0" xfId="0" applyNumberFormat="1" applyFont="1" applyFill="1"/>
    <xf numFmtId="1" fontId="3" fillId="5" borderId="0" xfId="0" applyNumberFormat="1" applyFont="1" applyFill="1"/>
    <xf numFmtId="0" fontId="3" fillId="5" borderId="0" xfId="0" applyFont="1" applyFill="1"/>
    <xf numFmtId="164" fontId="3" fillId="0" borderId="0" xfId="0" applyNumberFormat="1" applyFont="1"/>
    <xf numFmtId="0" fontId="7" fillId="0" borderId="0" xfId="0" applyFont="1"/>
  </cellXfs>
  <cellStyles count="2">
    <cellStyle name="Link" xfId="1" builtinId="8"/>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hyperlink" Target="https://github.com/MarkusKut/Inschriftenschluessel.g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E2D7D-6A15-A747-8ABA-0F1F90941768}">
  <dimension ref="A1:F20"/>
  <sheetViews>
    <sheetView zoomScaleNormal="150" workbookViewId="0">
      <selection sqref="A1:XFD1048576"/>
    </sheetView>
  </sheetViews>
  <sheetFormatPr baseColWidth="10" defaultColWidth="7.5" defaultRowHeight="16"/>
  <cols>
    <col min="1" max="1" width="19.5" style="2" bestFit="1" customWidth="1"/>
    <col min="2" max="2" width="7.33203125" style="2" bestFit="1" customWidth="1"/>
    <col min="3" max="3" width="30.1640625" style="2" bestFit="1" customWidth="1"/>
    <col min="4" max="4" width="40.83203125" style="2" bestFit="1" customWidth="1"/>
    <col min="5" max="5" width="9.5" style="2" bestFit="1" customWidth="1"/>
    <col min="6" max="6" width="4.5" style="2" bestFit="1" customWidth="1"/>
    <col min="7" max="16384" width="7.5" style="2"/>
  </cols>
  <sheetData>
    <row r="1" spans="1:6">
      <c r="A1" s="1" t="s">
        <v>0</v>
      </c>
      <c r="B1" s="1" t="s">
        <v>1</v>
      </c>
      <c r="C1" s="1" t="s">
        <v>2</v>
      </c>
      <c r="D1" s="1" t="s">
        <v>3</v>
      </c>
      <c r="E1" s="1" t="s">
        <v>4</v>
      </c>
      <c r="F1" s="1" t="s">
        <v>5</v>
      </c>
    </row>
    <row r="2" spans="1:6">
      <c r="A2" s="2" t="s">
        <v>6</v>
      </c>
      <c r="B2" s="2" t="s">
        <v>7</v>
      </c>
      <c r="C2" s="2" t="s">
        <v>8</v>
      </c>
      <c r="D2" s="2" t="s">
        <v>9</v>
      </c>
      <c r="F2" s="2">
        <v>1</v>
      </c>
    </row>
    <row r="3" spans="1:6" s="3" customFormat="1">
      <c r="A3" s="3" t="s">
        <v>10</v>
      </c>
      <c r="B3" s="3" t="s">
        <v>11</v>
      </c>
      <c r="C3" s="3" t="s">
        <v>19</v>
      </c>
      <c r="D3" s="3" t="s">
        <v>12</v>
      </c>
      <c r="F3" s="3">
        <v>10</v>
      </c>
    </row>
    <row r="4" spans="1:6" s="4" customFormat="1">
      <c r="A4" s="4" t="s">
        <v>62</v>
      </c>
      <c r="B4" s="4" t="s">
        <v>11</v>
      </c>
      <c r="C4" s="4" t="s">
        <v>321</v>
      </c>
      <c r="D4" s="4" t="s">
        <v>69</v>
      </c>
      <c r="F4" s="4">
        <v>20</v>
      </c>
    </row>
    <row r="5" spans="1:6" s="5" customFormat="1">
      <c r="A5" s="5" t="s">
        <v>63</v>
      </c>
      <c r="B5" s="5" t="s">
        <v>11</v>
      </c>
      <c r="C5" s="5" t="s">
        <v>357</v>
      </c>
      <c r="D5" s="5" t="s">
        <v>70</v>
      </c>
      <c r="F5" s="5">
        <v>30</v>
      </c>
    </row>
    <row r="6" spans="1:6" s="6" customFormat="1">
      <c r="A6" s="6" t="s">
        <v>64</v>
      </c>
      <c r="B6" s="6" t="s">
        <v>11</v>
      </c>
      <c r="C6" s="6" t="s">
        <v>444</v>
      </c>
      <c r="D6" s="6" t="s">
        <v>71</v>
      </c>
      <c r="F6" s="6">
        <v>40</v>
      </c>
    </row>
    <row r="7" spans="1:6" s="7" customFormat="1">
      <c r="A7" s="7" t="s">
        <v>65</v>
      </c>
      <c r="B7" s="7" t="s">
        <v>11</v>
      </c>
      <c r="C7" s="7" t="s">
        <v>457</v>
      </c>
      <c r="D7" s="7" t="s">
        <v>72</v>
      </c>
      <c r="F7" s="7">
        <v>50</v>
      </c>
    </row>
    <row r="8" spans="1:6" s="8" customFormat="1">
      <c r="A8" s="8" t="s">
        <v>66</v>
      </c>
      <c r="B8" s="8" t="s">
        <v>11</v>
      </c>
      <c r="C8" s="8" t="s">
        <v>534</v>
      </c>
      <c r="D8" s="8" t="s">
        <v>73</v>
      </c>
      <c r="F8" s="8">
        <v>60</v>
      </c>
    </row>
    <row r="9" spans="1:6" s="9" customFormat="1">
      <c r="A9" s="9" t="s">
        <v>67</v>
      </c>
      <c r="B9" s="9" t="s">
        <v>11</v>
      </c>
      <c r="C9" s="9" t="s">
        <v>1074</v>
      </c>
      <c r="D9" s="9" t="s">
        <v>74</v>
      </c>
      <c r="F9" s="9">
        <v>70</v>
      </c>
    </row>
    <row r="10" spans="1:6" s="10" customFormat="1">
      <c r="A10" s="10" t="s">
        <v>68</v>
      </c>
      <c r="B10" s="10" t="s">
        <v>11</v>
      </c>
      <c r="C10" s="10" t="s">
        <v>1075</v>
      </c>
      <c r="D10" s="10" t="s">
        <v>75</v>
      </c>
      <c r="F10" s="10">
        <v>80</v>
      </c>
    </row>
    <row r="11" spans="1:6">
      <c r="A11" s="2" t="s">
        <v>13</v>
      </c>
      <c r="B11" s="2" t="s">
        <v>14</v>
      </c>
      <c r="C11" s="2" t="s">
        <v>48</v>
      </c>
      <c r="D11" s="2" t="s">
        <v>15</v>
      </c>
      <c r="F11" s="2">
        <v>100</v>
      </c>
    </row>
    <row r="12" spans="1:6">
      <c r="A12" s="2" t="s">
        <v>76</v>
      </c>
      <c r="B12" s="2" t="s">
        <v>14</v>
      </c>
      <c r="C12" s="2" t="s">
        <v>49</v>
      </c>
      <c r="D12" s="2" t="s">
        <v>79</v>
      </c>
      <c r="F12" s="2">
        <v>110</v>
      </c>
    </row>
    <row r="13" spans="1:6">
      <c r="A13" s="2" t="s">
        <v>77</v>
      </c>
      <c r="B13" s="2" t="s">
        <v>14</v>
      </c>
      <c r="C13" s="2" t="s">
        <v>50</v>
      </c>
      <c r="D13" s="2" t="s">
        <v>80</v>
      </c>
      <c r="F13" s="2">
        <v>120</v>
      </c>
    </row>
    <row r="14" spans="1:6">
      <c r="A14" s="2" t="s">
        <v>78</v>
      </c>
      <c r="B14" s="2" t="s">
        <v>14</v>
      </c>
      <c r="C14" s="2" t="s">
        <v>324</v>
      </c>
      <c r="D14" s="2" t="s">
        <v>81</v>
      </c>
      <c r="F14" s="2">
        <v>130</v>
      </c>
    </row>
    <row r="15" spans="1:6">
      <c r="A15" s="2" t="s">
        <v>462</v>
      </c>
      <c r="B15" s="2" t="s">
        <v>14</v>
      </c>
      <c r="C15" s="2" t="s">
        <v>476</v>
      </c>
      <c r="D15" s="2" t="s">
        <v>463</v>
      </c>
      <c r="F15" s="2">
        <v>140</v>
      </c>
    </row>
    <row r="16" spans="1:6">
      <c r="A16" s="2" t="s">
        <v>538</v>
      </c>
      <c r="B16" s="2" t="s">
        <v>14</v>
      </c>
      <c r="C16" s="2" t="s">
        <v>537</v>
      </c>
      <c r="D16" s="2" t="s">
        <v>539</v>
      </c>
      <c r="F16" s="2">
        <v>150</v>
      </c>
    </row>
    <row r="17" spans="1:6">
      <c r="A17" s="2" t="s">
        <v>1357</v>
      </c>
      <c r="B17" s="2" t="s">
        <v>14</v>
      </c>
      <c r="C17" s="2" t="s">
        <v>541</v>
      </c>
      <c r="D17" s="2" t="s">
        <v>1375</v>
      </c>
      <c r="F17" s="2">
        <v>150</v>
      </c>
    </row>
    <row r="18" spans="1:6">
      <c r="A18" s="2" t="s">
        <v>1217</v>
      </c>
      <c r="B18" s="2" t="s">
        <v>14</v>
      </c>
      <c r="C18" s="2" t="s">
        <v>1218</v>
      </c>
      <c r="D18" s="2" t="s">
        <v>1219</v>
      </c>
      <c r="F18" s="2">
        <v>160</v>
      </c>
    </row>
    <row r="19" spans="1:6">
      <c r="A19" s="2" t="s">
        <v>1284</v>
      </c>
      <c r="B19" s="2" t="s">
        <v>14</v>
      </c>
      <c r="C19" s="2" t="s">
        <v>1285</v>
      </c>
      <c r="D19" s="2" t="s">
        <v>1286</v>
      </c>
      <c r="F19" s="2">
        <v>170</v>
      </c>
    </row>
    <row r="20" spans="1:6">
      <c r="A20" s="2" t="s">
        <v>1300</v>
      </c>
      <c r="B20" s="2" t="s">
        <v>14</v>
      </c>
      <c r="C20" s="2" t="s">
        <v>1301</v>
      </c>
      <c r="D20" s="2" t="s">
        <v>1302</v>
      </c>
      <c r="F20" s="2">
        <v>180</v>
      </c>
    </row>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ECE21-4B85-B642-91D8-6A98EB98549E}">
  <dimension ref="A1:D9"/>
  <sheetViews>
    <sheetView workbookViewId="0">
      <selection sqref="A1:XFD1048576"/>
    </sheetView>
  </sheetViews>
  <sheetFormatPr baseColWidth="10" defaultColWidth="10.1640625" defaultRowHeight="16"/>
  <cols>
    <col min="1" max="1" width="10.83203125" style="2" bestFit="1" customWidth="1"/>
    <col min="2" max="2" width="32" style="2" bestFit="1" customWidth="1"/>
    <col min="3" max="3" width="17" style="2" bestFit="1" customWidth="1"/>
    <col min="4" max="4" width="2.83203125" style="2" bestFit="1" customWidth="1"/>
    <col min="5" max="16384" width="10.1640625" style="2"/>
  </cols>
  <sheetData>
    <row r="1" spans="1:4">
      <c r="A1" s="1" t="s">
        <v>16</v>
      </c>
      <c r="B1" s="1" t="s">
        <v>17</v>
      </c>
      <c r="C1" s="1" t="s">
        <v>18</v>
      </c>
      <c r="D1" s="1" t="s">
        <v>322</v>
      </c>
    </row>
    <row r="2" spans="1:4" s="3" customFormat="1">
      <c r="A2" s="3" t="s">
        <v>6</v>
      </c>
      <c r="B2" s="3" t="s">
        <v>19</v>
      </c>
      <c r="C2" s="3" t="s">
        <v>10</v>
      </c>
      <c r="D2" s="3">
        <v>1</v>
      </c>
    </row>
    <row r="3" spans="1:4" s="4" customFormat="1">
      <c r="A3" s="4" t="s">
        <v>6</v>
      </c>
      <c r="B3" s="4" t="s">
        <v>321</v>
      </c>
      <c r="C3" s="4" t="s">
        <v>62</v>
      </c>
      <c r="D3" s="4">
        <v>2</v>
      </c>
    </row>
    <row r="4" spans="1:4" s="5" customFormat="1">
      <c r="A4" s="5" t="s">
        <v>6</v>
      </c>
      <c r="B4" s="5" t="s">
        <v>357</v>
      </c>
      <c r="C4" s="5" t="s">
        <v>63</v>
      </c>
      <c r="D4" s="5">
        <v>3</v>
      </c>
    </row>
    <row r="5" spans="1:4" s="6" customFormat="1">
      <c r="A5" s="6" t="s">
        <v>6</v>
      </c>
      <c r="B5" s="6" t="s">
        <v>444</v>
      </c>
      <c r="C5" s="6" t="s">
        <v>64</v>
      </c>
      <c r="D5" s="6">
        <v>4</v>
      </c>
    </row>
    <row r="6" spans="1:4" s="7" customFormat="1">
      <c r="A6" s="7" t="s">
        <v>6</v>
      </c>
      <c r="B6" s="7" t="s">
        <v>457</v>
      </c>
      <c r="C6" s="7" t="s">
        <v>65</v>
      </c>
      <c r="D6" s="7">
        <v>5</v>
      </c>
    </row>
    <row r="7" spans="1:4" s="8" customFormat="1">
      <c r="A7" s="8" t="s">
        <v>6</v>
      </c>
      <c r="B7" s="8" t="s">
        <v>534</v>
      </c>
      <c r="C7" s="8" t="s">
        <v>66</v>
      </c>
      <c r="D7" s="8">
        <v>6</v>
      </c>
    </row>
    <row r="8" spans="1:4" s="9" customFormat="1">
      <c r="A8" s="9" t="s">
        <v>6</v>
      </c>
      <c r="B8" s="9" t="s">
        <v>1074</v>
      </c>
      <c r="C8" s="9" t="s">
        <v>67</v>
      </c>
      <c r="D8" s="9">
        <v>7</v>
      </c>
    </row>
    <row r="9" spans="1:4" s="10" customFormat="1">
      <c r="A9" s="10" t="s">
        <v>6</v>
      </c>
      <c r="B9" s="10" t="s">
        <v>1075</v>
      </c>
      <c r="C9" s="10" t="s">
        <v>68</v>
      </c>
      <c r="D9" s="10">
        <v>8</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542A6-A652-DC44-866D-D4A0E101DC42}">
  <dimension ref="A1:F53"/>
  <sheetViews>
    <sheetView topLeftCell="A47" zoomScale="108" zoomScaleNormal="90" workbookViewId="0">
      <selection activeCell="D47" sqref="D47:D48"/>
    </sheetView>
  </sheetViews>
  <sheetFormatPr baseColWidth="10" defaultRowHeight="16"/>
  <cols>
    <col min="1" max="1" width="14.83203125" style="13" bestFit="1" customWidth="1"/>
    <col min="2" max="2" width="12.1640625" style="13" bestFit="1" customWidth="1"/>
    <col min="3" max="3" width="15" style="13" customWidth="1"/>
    <col min="4" max="4" width="26" style="33" customWidth="1"/>
    <col min="5" max="5" width="23.83203125" style="13" bestFit="1" customWidth="1"/>
    <col min="6" max="6" width="3.33203125" style="13" bestFit="1" customWidth="1"/>
    <col min="7" max="16384" width="10.83203125" style="13"/>
  </cols>
  <sheetData>
    <row r="1" spans="1:6" ht="17">
      <c r="A1" s="11" t="s">
        <v>0</v>
      </c>
      <c r="B1" s="11" t="s">
        <v>20</v>
      </c>
      <c r="C1" s="11" t="s">
        <v>21</v>
      </c>
      <c r="D1" s="12" t="s">
        <v>22</v>
      </c>
      <c r="E1" s="11" t="s">
        <v>23</v>
      </c>
      <c r="F1" s="11" t="s">
        <v>322</v>
      </c>
    </row>
    <row r="2" spans="1:6" s="14" customFormat="1">
      <c r="A2" s="14" t="s">
        <v>10</v>
      </c>
      <c r="B2" s="14" t="s">
        <v>24</v>
      </c>
      <c r="D2" s="15"/>
      <c r="E2" s="14" t="s">
        <v>25</v>
      </c>
      <c r="F2" s="14">
        <v>1</v>
      </c>
    </row>
    <row r="3" spans="1:6" s="14" customFormat="1" ht="119">
      <c r="A3" s="14" t="s">
        <v>10</v>
      </c>
      <c r="B3" s="14" t="s">
        <v>26</v>
      </c>
      <c r="C3" s="14" t="s">
        <v>27</v>
      </c>
      <c r="D3" s="15" t="s">
        <v>82</v>
      </c>
      <c r="F3" s="14">
        <v>2</v>
      </c>
    </row>
    <row r="4" spans="1:6" s="14" customFormat="1">
      <c r="A4" s="14" t="s">
        <v>10</v>
      </c>
      <c r="B4" s="14" t="s">
        <v>28</v>
      </c>
      <c r="C4" s="14" t="s">
        <v>29</v>
      </c>
      <c r="D4" s="15"/>
      <c r="E4" s="14" t="s">
        <v>30</v>
      </c>
      <c r="F4" s="14">
        <v>3</v>
      </c>
    </row>
    <row r="5" spans="1:6" s="14" customFormat="1" ht="34">
      <c r="A5" s="14" t="s">
        <v>10</v>
      </c>
      <c r="B5" s="14" t="s">
        <v>26</v>
      </c>
      <c r="C5" s="14" t="s">
        <v>31</v>
      </c>
      <c r="D5" s="15" t="s">
        <v>181</v>
      </c>
      <c r="F5" s="14">
        <v>4</v>
      </c>
    </row>
    <row r="6" spans="1:6" s="14" customFormat="1">
      <c r="A6" s="14" t="s">
        <v>10</v>
      </c>
      <c r="B6" s="14" t="s">
        <v>32</v>
      </c>
      <c r="C6" s="14" t="s">
        <v>33</v>
      </c>
      <c r="D6" s="15"/>
      <c r="E6" s="14" t="s">
        <v>34</v>
      </c>
      <c r="F6" s="14">
        <v>5</v>
      </c>
    </row>
    <row r="7" spans="1:6" s="14" customFormat="1" ht="272">
      <c r="A7" s="14" t="s">
        <v>10</v>
      </c>
      <c r="B7" s="14" t="s">
        <v>26</v>
      </c>
      <c r="C7" s="14" t="s">
        <v>35</v>
      </c>
      <c r="D7" s="15" t="s">
        <v>184</v>
      </c>
      <c r="F7" s="14">
        <v>6</v>
      </c>
    </row>
    <row r="9" spans="1:6" s="16" customFormat="1">
      <c r="A9" s="16" t="s">
        <v>62</v>
      </c>
      <c r="B9" s="16" t="s">
        <v>24</v>
      </c>
      <c r="D9" s="17"/>
      <c r="E9" s="16" t="s">
        <v>323</v>
      </c>
      <c r="F9" s="16">
        <v>1</v>
      </c>
    </row>
    <row r="10" spans="1:6" s="16" customFormat="1" ht="153">
      <c r="A10" s="16" t="s">
        <v>62</v>
      </c>
      <c r="B10" s="16" t="s">
        <v>26</v>
      </c>
      <c r="C10" s="16" t="s">
        <v>27</v>
      </c>
      <c r="D10" s="17" t="s">
        <v>1469</v>
      </c>
      <c r="F10" s="16">
        <v>2</v>
      </c>
    </row>
    <row r="11" spans="1:6" s="16" customFormat="1">
      <c r="A11" s="16" t="s">
        <v>62</v>
      </c>
      <c r="B11" s="16" t="s">
        <v>28</v>
      </c>
      <c r="C11" s="16" t="s">
        <v>29</v>
      </c>
      <c r="D11" s="17"/>
      <c r="E11" s="16" t="s">
        <v>347</v>
      </c>
      <c r="F11" s="16">
        <v>3</v>
      </c>
    </row>
    <row r="12" spans="1:6" s="16" customFormat="1" ht="34">
      <c r="A12" s="16" t="s">
        <v>62</v>
      </c>
      <c r="B12" s="16" t="s">
        <v>26</v>
      </c>
      <c r="C12" s="16" t="s">
        <v>31</v>
      </c>
      <c r="D12" s="17" t="s">
        <v>1467</v>
      </c>
      <c r="F12" s="16">
        <v>4</v>
      </c>
    </row>
    <row r="13" spans="1:6" s="16" customFormat="1" ht="34">
      <c r="A13" s="16" t="s">
        <v>62</v>
      </c>
      <c r="B13" s="16" t="s">
        <v>26</v>
      </c>
      <c r="D13" s="17" t="s">
        <v>1470</v>
      </c>
      <c r="F13" s="16">
        <v>4</v>
      </c>
    </row>
    <row r="14" spans="1:6" s="16" customFormat="1">
      <c r="A14" s="16" t="s">
        <v>62</v>
      </c>
      <c r="B14" s="16" t="s">
        <v>32</v>
      </c>
      <c r="C14" s="16" t="s">
        <v>33</v>
      </c>
      <c r="D14" s="17"/>
      <c r="E14" s="16" t="s">
        <v>350</v>
      </c>
      <c r="F14" s="16">
        <v>5</v>
      </c>
    </row>
    <row r="15" spans="1:6" s="16" customFormat="1" ht="187">
      <c r="A15" s="16" t="s">
        <v>62</v>
      </c>
      <c r="B15" s="16" t="s">
        <v>26</v>
      </c>
      <c r="C15" s="16" t="s">
        <v>35</v>
      </c>
      <c r="D15" s="17" t="s">
        <v>349</v>
      </c>
      <c r="F15" s="16">
        <v>6</v>
      </c>
    </row>
    <row r="17" spans="1:6" s="18" customFormat="1">
      <c r="A17" s="18" t="s">
        <v>63</v>
      </c>
      <c r="B17" s="18" t="s">
        <v>24</v>
      </c>
      <c r="D17" s="19"/>
      <c r="E17" s="18" t="s">
        <v>358</v>
      </c>
      <c r="F17" s="18">
        <v>1</v>
      </c>
    </row>
    <row r="18" spans="1:6" s="18" customFormat="1" ht="153">
      <c r="A18" s="18" t="s">
        <v>63</v>
      </c>
      <c r="B18" s="18" t="s">
        <v>26</v>
      </c>
      <c r="C18" s="18" t="s">
        <v>27</v>
      </c>
      <c r="D18" s="19" t="s">
        <v>359</v>
      </c>
      <c r="F18" s="18">
        <v>2</v>
      </c>
    </row>
    <row r="19" spans="1:6" s="18" customFormat="1">
      <c r="A19" s="18" t="s">
        <v>63</v>
      </c>
      <c r="B19" s="18" t="s">
        <v>32</v>
      </c>
      <c r="C19" s="18" t="s">
        <v>377</v>
      </c>
      <c r="D19" s="19"/>
      <c r="E19" s="18" t="s">
        <v>1066</v>
      </c>
      <c r="F19" s="18">
        <v>3</v>
      </c>
    </row>
    <row r="20" spans="1:6" s="18" customFormat="1">
      <c r="A20" s="18" t="s">
        <v>63</v>
      </c>
      <c r="B20" s="18" t="s">
        <v>32</v>
      </c>
      <c r="C20" s="18" t="s">
        <v>526</v>
      </c>
      <c r="D20" s="19"/>
      <c r="E20" s="18" t="s">
        <v>1068</v>
      </c>
      <c r="F20" s="18">
        <v>4</v>
      </c>
    </row>
    <row r="21" spans="1:6" s="18" customFormat="1">
      <c r="A21" s="18" t="s">
        <v>63</v>
      </c>
      <c r="B21" s="18" t="s">
        <v>32</v>
      </c>
      <c r="C21" s="18" t="s">
        <v>530</v>
      </c>
      <c r="D21" s="19"/>
      <c r="E21" s="18" t="s">
        <v>1067</v>
      </c>
      <c r="F21" s="18">
        <v>5</v>
      </c>
    </row>
    <row r="23" spans="1:6" s="20" customFormat="1">
      <c r="A23" s="20" t="s">
        <v>64</v>
      </c>
      <c r="B23" s="20" t="s">
        <v>24</v>
      </c>
      <c r="D23" s="21"/>
      <c r="E23" s="20" t="s">
        <v>445</v>
      </c>
      <c r="F23" s="20">
        <v>1</v>
      </c>
    </row>
    <row r="24" spans="1:6" s="20" customFormat="1" ht="34">
      <c r="A24" s="20" t="s">
        <v>64</v>
      </c>
      <c r="B24" s="20" t="s">
        <v>26</v>
      </c>
      <c r="C24" s="20" t="s">
        <v>27</v>
      </c>
      <c r="D24" s="21" t="s">
        <v>1053</v>
      </c>
      <c r="F24" s="20">
        <v>2</v>
      </c>
    </row>
    <row r="25" spans="1:6" s="20" customFormat="1">
      <c r="A25" s="20" t="s">
        <v>64</v>
      </c>
      <c r="B25" s="20" t="s">
        <v>32</v>
      </c>
      <c r="C25" s="20" t="s">
        <v>33</v>
      </c>
      <c r="D25" s="21"/>
      <c r="E25" s="20" t="s">
        <v>450</v>
      </c>
      <c r="F25" s="20">
        <v>3</v>
      </c>
    </row>
    <row r="27" spans="1:6" s="22" customFormat="1">
      <c r="A27" s="22" t="s">
        <v>65</v>
      </c>
      <c r="B27" s="22" t="s">
        <v>24</v>
      </c>
      <c r="D27" s="23"/>
      <c r="E27" s="22" t="s">
        <v>458</v>
      </c>
      <c r="F27" s="22">
        <v>1</v>
      </c>
    </row>
    <row r="28" spans="1:6" s="22" customFormat="1" ht="34">
      <c r="A28" s="22" t="s">
        <v>65</v>
      </c>
      <c r="B28" s="22" t="s">
        <v>26</v>
      </c>
      <c r="C28" s="22" t="s">
        <v>27</v>
      </c>
      <c r="D28" s="23" t="s">
        <v>460</v>
      </c>
      <c r="F28" s="22">
        <v>2</v>
      </c>
    </row>
    <row r="29" spans="1:6" s="22" customFormat="1" ht="34">
      <c r="A29" s="22" t="s">
        <v>65</v>
      </c>
      <c r="B29" s="22" t="s">
        <v>26</v>
      </c>
      <c r="C29" s="22" t="s">
        <v>41</v>
      </c>
      <c r="D29" s="23" t="s">
        <v>1585</v>
      </c>
      <c r="E29" s="22" t="s">
        <v>459</v>
      </c>
      <c r="F29" s="22">
        <v>3</v>
      </c>
    </row>
    <row r="30" spans="1:6" s="22" customFormat="1">
      <c r="A30" s="22" t="s">
        <v>65</v>
      </c>
      <c r="B30" s="22" t="s">
        <v>32</v>
      </c>
      <c r="C30" s="22" t="s">
        <v>33</v>
      </c>
      <c r="D30" s="23"/>
      <c r="E30" s="22" t="s">
        <v>459</v>
      </c>
      <c r="F30" s="22">
        <v>3</v>
      </c>
    </row>
    <row r="32" spans="1:6" s="24" customFormat="1">
      <c r="A32" s="24" t="s">
        <v>66</v>
      </c>
      <c r="B32" s="24" t="s">
        <v>24</v>
      </c>
      <c r="D32" s="25"/>
      <c r="E32" s="24" t="s">
        <v>536</v>
      </c>
      <c r="F32" s="24">
        <v>1</v>
      </c>
    </row>
    <row r="33" spans="1:6" s="24" customFormat="1" ht="51">
      <c r="A33" s="24" t="s">
        <v>66</v>
      </c>
      <c r="B33" s="24" t="s">
        <v>26</v>
      </c>
      <c r="D33" s="26" t="s">
        <v>1353</v>
      </c>
      <c r="F33" s="24">
        <v>2</v>
      </c>
    </row>
    <row r="34" spans="1:6" s="24" customFormat="1" ht="51">
      <c r="A34" s="24" t="s">
        <v>66</v>
      </c>
      <c r="B34" s="24" t="s">
        <v>26</v>
      </c>
      <c r="D34" s="26" t="s">
        <v>1354</v>
      </c>
      <c r="F34" s="24">
        <v>3</v>
      </c>
    </row>
    <row r="35" spans="1:6" s="24" customFormat="1">
      <c r="A35" s="24" t="s">
        <v>66</v>
      </c>
      <c r="B35" s="24" t="s">
        <v>24</v>
      </c>
      <c r="C35" s="24" t="s">
        <v>501</v>
      </c>
      <c r="D35" s="25"/>
      <c r="E35" s="24" t="s">
        <v>1351</v>
      </c>
      <c r="F35" s="24">
        <v>4</v>
      </c>
    </row>
    <row r="36" spans="1:6" s="24" customFormat="1" ht="51">
      <c r="A36" s="24" t="s">
        <v>66</v>
      </c>
      <c r="B36" s="24" t="s">
        <v>26</v>
      </c>
      <c r="D36" s="26" t="s">
        <v>1355</v>
      </c>
      <c r="F36" s="24">
        <v>5</v>
      </c>
    </row>
    <row r="37" spans="1:6" s="24" customFormat="1" ht="35" customHeight="1">
      <c r="A37" s="24" t="s">
        <v>66</v>
      </c>
      <c r="B37" s="24" t="s">
        <v>26</v>
      </c>
      <c r="C37" s="24" t="s">
        <v>555</v>
      </c>
      <c r="D37" s="25" t="s">
        <v>1352</v>
      </c>
      <c r="F37" s="24">
        <v>6</v>
      </c>
    </row>
    <row r="38" spans="1:6" s="24" customFormat="1">
      <c r="A38" s="24" t="s">
        <v>66</v>
      </c>
      <c r="B38" s="24" t="s">
        <v>24</v>
      </c>
      <c r="C38" s="24" t="s">
        <v>537</v>
      </c>
      <c r="D38" s="25"/>
      <c r="E38" s="24" t="s">
        <v>1076</v>
      </c>
      <c r="F38" s="24">
        <v>7</v>
      </c>
    </row>
    <row r="39" spans="1:6" s="24" customFormat="1" ht="34">
      <c r="A39" s="24" t="s">
        <v>66</v>
      </c>
      <c r="B39" s="24" t="s">
        <v>26</v>
      </c>
      <c r="D39" s="26" t="s">
        <v>1374</v>
      </c>
      <c r="F39" s="24">
        <v>8</v>
      </c>
    </row>
    <row r="40" spans="1:6" s="24" customFormat="1">
      <c r="A40" s="24" t="s">
        <v>66</v>
      </c>
      <c r="B40" s="24" t="s">
        <v>24</v>
      </c>
      <c r="C40" s="24" t="s">
        <v>541</v>
      </c>
      <c r="D40" s="25"/>
      <c r="E40" s="24" t="s">
        <v>1356</v>
      </c>
      <c r="F40" s="24">
        <v>9</v>
      </c>
    </row>
    <row r="41" spans="1:6" s="24" customFormat="1" ht="51">
      <c r="A41" s="24" t="s">
        <v>66</v>
      </c>
      <c r="B41" s="24" t="s">
        <v>26</v>
      </c>
      <c r="D41" s="26" t="s">
        <v>1377</v>
      </c>
      <c r="F41" s="24">
        <v>10</v>
      </c>
    </row>
    <row r="42" spans="1:6" s="24" customFormat="1" ht="17">
      <c r="A42" s="24" t="s">
        <v>66</v>
      </c>
      <c r="B42" s="24" t="s">
        <v>26</v>
      </c>
      <c r="D42" s="26" t="s">
        <v>1358</v>
      </c>
      <c r="F42" s="24">
        <v>11</v>
      </c>
    </row>
    <row r="44" spans="1:6" s="27" customFormat="1">
      <c r="A44" s="27" t="s">
        <v>67</v>
      </c>
      <c r="B44" s="27" t="s">
        <v>24</v>
      </c>
      <c r="D44" s="28"/>
      <c r="E44" s="27" t="s">
        <v>1589</v>
      </c>
      <c r="F44" s="27">
        <v>1</v>
      </c>
    </row>
    <row r="45" spans="1:6" s="27" customFormat="1" ht="34">
      <c r="A45" s="27" t="s">
        <v>67</v>
      </c>
      <c r="B45" s="27" t="s">
        <v>26</v>
      </c>
      <c r="C45" s="27" t="s">
        <v>41</v>
      </c>
      <c r="D45" s="29" t="s">
        <v>1590</v>
      </c>
      <c r="F45" s="27">
        <v>2</v>
      </c>
    </row>
    <row r="46" spans="1:6" s="27" customFormat="1">
      <c r="A46" s="27" t="s">
        <v>67</v>
      </c>
      <c r="B46" s="27" t="s">
        <v>32</v>
      </c>
      <c r="C46" s="27" t="s">
        <v>33</v>
      </c>
      <c r="D46" s="28"/>
      <c r="E46" s="27" t="s">
        <v>1591</v>
      </c>
      <c r="F46" s="27">
        <v>3</v>
      </c>
    </row>
    <row r="47" spans="1:6" s="27" customFormat="1" ht="102">
      <c r="A47" s="27" t="s">
        <v>67</v>
      </c>
      <c r="B47" s="27" t="s">
        <v>26</v>
      </c>
      <c r="C47" s="27" t="s">
        <v>35</v>
      </c>
      <c r="D47" s="29" t="s">
        <v>1592</v>
      </c>
      <c r="F47" s="27">
        <v>4</v>
      </c>
    </row>
    <row r="48" spans="1:6" s="27" customFormat="1" ht="136">
      <c r="A48" s="27" t="s">
        <v>67</v>
      </c>
      <c r="B48" s="27" t="s">
        <v>26</v>
      </c>
      <c r="D48" s="29" t="s">
        <v>1593</v>
      </c>
      <c r="F48" s="27">
        <v>5</v>
      </c>
    </row>
    <row r="49" spans="1:6" s="27" customFormat="1" ht="153">
      <c r="A49" s="27" t="s">
        <v>67</v>
      </c>
      <c r="B49" s="27" t="s">
        <v>26</v>
      </c>
      <c r="D49" s="29" t="s">
        <v>1594</v>
      </c>
      <c r="F49" s="27">
        <v>6</v>
      </c>
    </row>
    <row r="51" spans="1:6" s="30" customFormat="1">
      <c r="A51" s="30" t="s">
        <v>68</v>
      </c>
      <c r="B51" s="30" t="s">
        <v>24</v>
      </c>
      <c r="D51" s="31"/>
      <c r="E51" s="30" t="s">
        <v>1595</v>
      </c>
      <c r="F51" s="30">
        <v>1</v>
      </c>
    </row>
    <row r="52" spans="1:6" s="30" customFormat="1" ht="51">
      <c r="A52" s="30" t="s">
        <v>68</v>
      </c>
      <c r="B52" s="30" t="s">
        <v>26</v>
      </c>
      <c r="C52" s="30" t="s">
        <v>41</v>
      </c>
      <c r="D52" s="32" t="s">
        <v>1596</v>
      </c>
      <c r="F52" s="30">
        <v>2</v>
      </c>
    </row>
    <row r="53" spans="1:6" s="30" customFormat="1" ht="153">
      <c r="A53" s="30" t="s">
        <v>68</v>
      </c>
      <c r="B53" s="30" t="s">
        <v>26</v>
      </c>
      <c r="C53" s="30" t="s">
        <v>35</v>
      </c>
      <c r="D53" s="32" t="s">
        <v>1597</v>
      </c>
      <c r="F53" s="30">
        <v>3</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DD5969-C8E3-C04D-AF17-FDEFB8218719}">
  <dimension ref="A1:K135"/>
  <sheetViews>
    <sheetView zoomScaleNormal="100" workbookViewId="0">
      <selection activeCell="E18" sqref="E18"/>
    </sheetView>
  </sheetViews>
  <sheetFormatPr baseColWidth="10" defaultColWidth="7.6640625" defaultRowHeight="16"/>
  <cols>
    <col min="1" max="1" width="20" style="13" bestFit="1" customWidth="1"/>
    <col min="2" max="2" width="11.1640625" style="13" customWidth="1"/>
    <col min="3" max="3" width="7.33203125" style="13" bestFit="1" customWidth="1"/>
    <col min="4" max="4" width="30.1640625" style="13" customWidth="1"/>
    <col min="5" max="5" width="36.1640625" style="13" customWidth="1"/>
    <col min="6" max="6" width="21.1640625" style="13" bestFit="1" customWidth="1"/>
    <col min="7" max="7" width="10.1640625" style="13" bestFit="1" customWidth="1"/>
    <col min="8" max="8" width="17.5" style="13" bestFit="1" customWidth="1"/>
    <col min="9" max="10" width="13.83203125" style="13" customWidth="1"/>
    <col min="11" max="16384" width="7.6640625" style="13"/>
  </cols>
  <sheetData>
    <row r="1" spans="1:11">
      <c r="A1" s="11" t="s">
        <v>0</v>
      </c>
      <c r="B1" s="11" t="s">
        <v>20</v>
      </c>
      <c r="C1" s="11" t="s">
        <v>51</v>
      </c>
      <c r="D1" s="11" t="s">
        <v>21</v>
      </c>
      <c r="E1" s="11" t="s">
        <v>22</v>
      </c>
      <c r="F1" s="11" t="s">
        <v>23</v>
      </c>
      <c r="G1" s="11" t="s">
        <v>52</v>
      </c>
      <c r="H1" s="11" t="s">
        <v>170</v>
      </c>
      <c r="I1" s="11" t="s">
        <v>1036</v>
      </c>
      <c r="J1" s="11" t="s">
        <v>1043</v>
      </c>
      <c r="K1" s="11" t="s">
        <v>322</v>
      </c>
    </row>
    <row r="2" spans="1:11">
      <c r="A2" s="13" t="s">
        <v>13</v>
      </c>
      <c r="B2" s="13" t="s">
        <v>26</v>
      </c>
      <c r="C2" s="13" t="s">
        <v>53</v>
      </c>
      <c r="E2" s="13" t="s">
        <v>101</v>
      </c>
      <c r="G2" s="13" t="s">
        <v>54</v>
      </c>
      <c r="K2" s="13">
        <v>1</v>
      </c>
    </row>
    <row r="3" spans="1:11">
      <c r="A3" s="13" t="s">
        <v>13</v>
      </c>
      <c r="B3" s="13" t="s">
        <v>26</v>
      </c>
      <c r="C3" s="13" t="s">
        <v>53</v>
      </c>
      <c r="E3" s="13" t="s">
        <v>100</v>
      </c>
      <c r="G3" s="13" t="s">
        <v>54</v>
      </c>
      <c r="K3" s="13">
        <v>2</v>
      </c>
    </row>
    <row r="4" spans="1:11">
      <c r="A4" s="13" t="s">
        <v>13</v>
      </c>
      <c r="B4" s="13" t="s">
        <v>28</v>
      </c>
      <c r="C4" s="13" t="s">
        <v>55</v>
      </c>
      <c r="D4" s="13" t="s">
        <v>56</v>
      </c>
      <c r="F4" s="13" t="s">
        <v>57</v>
      </c>
      <c r="G4" s="13" t="s">
        <v>54</v>
      </c>
      <c r="J4" s="13" t="s">
        <v>1044</v>
      </c>
      <c r="K4" s="13">
        <v>3</v>
      </c>
    </row>
    <row r="5" spans="1:11">
      <c r="A5" s="13" t="s">
        <v>13</v>
      </c>
      <c r="B5" s="13" t="s">
        <v>28</v>
      </c>
      <c r="C5" s="13" t="s">
        <v>58</v>
      </c>
      <c r="D5" s="13" t="s">
        <v>59</v>
      </c>
      <c r="F5" s="13" t="s">
        <v>60</v>
      </c>
      <c r="G5" s="13" t="s">
        <v>61</v>
      </c>
      <c r="H5" s="13" t="s">
        <v>171</v>
      </c>
      <c r="J5" s="13" t="s">
        <v>1045</v>
      </c>
      <c r="K5" s="13">
        <v>4</v>
      </c>
    </row>
    <row r="7" spans="1:11">
      <c r="A7" s="13" t="s">
        <v>76</v>
      </c>
      <c r="B7" s="13" t="s">
        <v>26</v>
      </c>
      <c r="C7" s="13" t="s">
        <v>53</v>
      </c>
      <c r="D7" s="13" t="s">
        <v>185</v>
      </c>
      <c r="E7" s="13" t="s">
        <v>1119</v>
      </c>
      <c r="G7" s="13" t="s">
        <v>54</v>
      </c>
      <c r="K7" s="13">
        <v>1</v>
      </c>
    </row>
    <row r="8" spans="1:11">
      <c r="A8" s="13" t="s">
        <v>76</v>
      </c>
      <c r="B8" s="13" t="s">
        <v>28</v>
      </c>
      <c r="C8" s="13" t="s">
        <v>55</v>
      </c>
      <c r="D8" s="13" t="s">
        <v>186</v>
      </c>
      <c r="F8" s="13" t="s">
        <v>197</v>
      </c>
      <c r="G8" s="13" t="s">
        <v>54</v>
      </c>
      <c r="J8" s="13" t="s">
        <v>1045</v>
      </c>
      <c r="K8" s="13">
        <v>2</v>
      </c>
    </row>
    <row r="9" spans="1:11">
      <c r="A9" s="13" t="s">
        <v>76</v>
      </c>
      <c r="B9" s="13" t="s">
        <v>28</v>
      </c>
      <c r="C9" s="13" t="s">
        <v>55</v>
      </c>
      <c r="D9" s="13" t="s">
        <v>1094</v>
      </c>
      <c r="F9" s="13" t="s">
        <v>194</v>
      </c>
      <c r="G9" s="13" t="s">
        <v>54</v>
      </c>
      <c r="J9" s="13" t="s">
        <v>1045</v>
      </c>
      <c r="K9" s="13">
        <v>3</v>
      </c>
    </row>
    <row r="10" spans="1:11">
      <c r="A10" s="13" t="s">
        <v>76</v>
      </c>
      <c r="B10" s="13" t="s">
        <v>28</v>
      </c>
      <c r="C10" s="13" t="s">
        <v>55</v>
      </c>
      <c r="D10" s="13" t="s">
        <v>1095</v>
      </c>
      <c r="F10" s="13" t="s">
        <v>195</v>
      </c>
      <c r="G10" s="13" t="s">
        <v>54</v>
      </c>
      <c r="J10" s="13" t="s">
        <v>1046</v>
      </c>
      <c r="K10" s="13">
        <v>4</v>
      </c>
    </row>
    <row r="11" spans="1:11">
      <c r="A11" s="13" t="s">
        <v>76</v>
      </c>
      <c r="B11" s="13" t="s">
        <v>28</v>
      </c>
      <c r="C11" s="13" t="s">
        <v>55</v>
      </c>
      <c r="D11" s="13" t="s">
        <v>1096</v>
      </c>
      <c r="F11" s="13" t="s">
        <v>196</v>
      </c>
      <c r="G11" s="13" t="s">
        <v>54</v>
      </c>
      <c r="J11" s="13" t="s">
        <v>1045</v>
      </c>
      <c r="K11" s="13">
        <v>5</v>
      </c>
    </row>
    <row r="13" spans="1:11">
      <c r="A13" s="13" t="s">
        <v>77</v>
      </c>
      <c r="B13" s="13" t="s">
        <v>26</v>
      </c>
      <c r="C13" s="13" t="s">
        <v>53</v>
      </c>
      <c r="E13" s="13" t="s">
        <v>1117</v>
      </c>
      <c r="G13" s="13" t="s">
        <v>54</v>
      </c>
      <c r="K13" s="13">
        <v>1</v>
      </c>
    </row>
    <row r="14" spans="1:11">
      <c r="A14" s="13" t="s">
        <v>77</v>
      </c>
      <c r="B14" s="13" t="s">
        <v>26</v>
      </c>
      <c r="C14" s="13" t="s">
        <v>55</v>
      </c>
      <c r="D14" s="13" t="s">
        <v>1097</v>
      </c>
      <c r="G14" s="13" t="s">
        <v>54</v>
      </c>
      <c r="K14" s="13">
        <v>2</v>
      </c>
    </row>
    <row r="15" spans="1:11">
      <c r="A15" s="13" t="s">
        <v>77</v>
      </c>
      <c r="B15" s="13" t="s">
        <v>28</v>
      </c>
      <c r="C15" s="13" t="s">
        <v>55</v>
      </c>
      <c r="E15" s="13" t="s">
        <v>401</v>
      </c>
      <c r="F15" s="13" t="s">
        <v>378</v>
      </c>
      <c r="G15" s="13" t="s">
        <v>54</v>
      </c>
      <c r="J15" s="13" t="s">
        <v>1046</v>
      </c>
      <c r="K15" s="13">
        <v>3</v>
      </c>
    </row>
    <row r="16" spans="1:11">
      <c r="A16" s="13" t="s">
        <v>77</v>
      </c>
      <c r="B16" s="13" t="s">
        <v>28</v>
      </c>
      <c r="C16" s="13" t="s">
        <v>55</v>
      </c>
      <c r="E16" s="13" t="s">
        <v>402</v>
      </c>
      <c r="F16" s="13" t="s">
        <v>403</v>
      </c>
      <c r="G16" s="13" t="s">
        <v>54</v>
      </c>
      <c r="J16" s="13" t="s">
        <v>1046</v>
      </c>
      <c r="K16" s="13">
        <v>4</v>
      </c>
    </row>
    <row r="17" spans="1:11">
      <c r="A17" s="13" t="s">
        <v>77</v>
      </c>
      <c r="B17" s="13" t="s">
        <v>26</v>
      </c>
      <c r="C17" s="13" t="s">
        <v>55</v>
      </c>
      <c r="D17" s="13" t="s">
        <v>1098</v>
      </c>
      <c r="G17" s="13" t="s">
        <v>54</v>
      </c>
      <c r="K17" s="13">
        <v>5</v>
      </c>
    </row>
    <row r="18" spans="1:11">
      <c r="A18" s="13" t="s">
        <v>77</v>
      </c>
      <c r="B18" s="13" t="s">
        <v>26</v>
      </c>
      <c r="C18" s="13" t="s">
        <v>55</v>
      </c>
      <c r="E18" s="13" t="s">
        <v>416</v>
      </c>
      <c r="G18" s="13" t="s">
        <v>54</v>
      </c>
      <c r="K18" s="13">
        <v>6</v>
      </c>
    </row>
    <row r="19" spans="1:11">
      <c r="A19" s="13" t="s">
        <v>77</v>
      </c>
      <c r="B19" s="13" t="s">
        <v>24</v>
      </c>
      <c r="C19" s="13" t="s">
        <v>55</v>
      </c>
      <c r="G19" s="13" t="s">
        <v>54</v>
      </c>
      <c r="I19" s="13" t="s">
        <v>1037</v>
      </c>
      <c r="K19" s="13">
        <v>7</v>
      </c>
    </row>
    <row r="20" spans="1:11">
      <c r="A20" s="13" t="s">
        <v>77</v>
      </c>
      <c r="B20" s="13" t="s">
        <v>26</v>
      </c>
      <c r="C20" s="13" t="s">
        <v>55</v>
      </c>
      <c r="E20" s="13" t="s">
        <v>421</v>
      </c>
      <c r="G20" s="13" t="s">
        <v>54</v>
      </c>
      <c r="K20" s="13">
        <v>8</v>
      </c>
    </row>
    <row r="21" spans="1:11">
      <c r="A21" s="13" t="s">
        <v>77</v>
      </c>
      <c r="B21" s="13" t="s">
        <v>24</v>
      </c>
      <c r="C21" s="13" t="s">
        <v>55</v>
      </c>
      <c r="G21" s="13" t="s">
        <v>54</v>
      </c>
      <c r="I21" s="13" t="s">
        <v>1038</v>
      </c>
      <c r="K21" s="13">
        <v>9</v>
      </c>
    </row>
    <row r="22" spans="1:11">
      <c r="A22" s="13" t="s">
        <v>77</v>
      </c>
      <c r="B22" s="13" t="s">
        <v>28</v>
      </c>
      <c r="C22" s="13" t="s">
        <v>55</v>
      </c>
      <c r="D22" s="13" t="s">
        <v>1099</v>
      </c>
      <c r="F22" s="13" t="s">
        <v>425</v>
      </c>
      <c r="G22" s="13" t="s">
        <v>54</v>
      </c>
      <c r="J22" s="13" t="s">
        <v>1044</v>
      </c>
      <c r="K22" s="13">
        <v>10</v>
      </c>
    </row>
    <row r="23" spans="1:11">
      <c r="A23" s="13" t="s">
        <v>77</v>
      </c>
      <c r="B23" s="13" t="s">
        <v>28</v>
      </c>
      <c r="C23" s="13" t="s">
        <v>55</v>
      </c>
      <c r="D23" s="13" t="s">
        <v>1100</v>
      </c>
      <c r="F23" s="13" t="s">
        <v>433</v>
      </c>
      <c r="G23" s="13" t="s">
        <v>54</v>
      </c>
      <c r="J23" s="13" t="s">
        <v>1046</v>
      </c>
      <c r="K23" s="13">
        <v>11</v>
      </c>
    </row>
    <row r="24" spans="1:11">
      <c r="A24" s="13" t="s">
        <v>77</v>
      </c>
      <c r="B24" s="13" t="s">
        <v>26</v>
      </c>
      <c r="C24" s="13" t="s">
        <v>55</v>
      </c>
      <c r="D24" s="13" t="s">
        <v>1204</v>
      </c>
      <c r="G24" s="13" t="s">
        <v>54</v>
      </c>
      <c r="K24" s="13">
        <v>12</v>
      </c>
    </row>
    <row r="25" spans="1:11">
      <c r="A25" s="13" t="s">
        <v>77</v>
      </c>
      <c r="B25" s="13" t="s">
        <v>26</v>
      </c>
      <c r="C25" s="13" t="s">
        <v>55</v>
      </c>
      <c r="E25" s="13" t="s">
        <v>1205</v>
      </c>
      <c r="G25" s="13" t="s">
        <v>54</v>
      </c>
      <c r="K25" s="13">
        <v>13</v>
      </c>
    </row>
    <row r="26" spans="1:11">
      <c r="A26" s="13" t="s">
        <v>77</v>
      </c>
      <c r="B26" s="13" t="s">
        <v>24</v>
      </c>
      <c r="C26" s="13" t="s">
        <v>55</v>
      </c>
      <c r="G26" s="13" t="s">
        <v>54</v>
      </c>
      <c r="I26" s="13" t="s">
        <v>1208</v>
      </c>
      <c r="K26" s="13">
        <v>14</v>
      </c>
    </row>
    <row r="27" spans="1:11">
      <c r="A27" s="13" t="s">
        <v>77</v>
      </c>
      <c r="B27" s="13" t="s">
        <v>26</v>
      </c>
      <c r="C27" s="13" t="s">
        <v>55</v>
      </c>
      <c r="E27" s="13" t="s">
        <v>1206</v>
      </c>
      <c r="G27" s="13" t="s">
        <v>54</v>
      </c>
      <c r="K27" s="13">
        <v>15</v>
      </c>
    </row>
    <row r="28" spans="1:11">
      <c r="A28" s="13" t="s">
        <v>77</v>
      </c>
      <c r="B28" s="13" t="s">
        <v>24</v>
      </c>
      <c r="C28" s="13" t="s">
        <v>55</v>
      </c>
      <c r="G28" s="13" t="s">
        <v>54</v>
      </c>
      <c r="I28" s="13" t="s">
        <v>1209</v>
      </c>
      <c r="K28" s="13">
        <v>16</v>
      </c>
    </row>
    <row r="29" spans="1:11">
      <c r="A29" s="13" t="s">
        <v>77</v>
      </c>
      <c r="B29" s="13" t="s">
        <v>26</v>
      </c>
      <c r="C29" s="13" t="s">
        <v>55</v>
      </c>
      <c r="E29" s="13" t="s">
        <v>1207</v>
      </c>
      <c r="G29" s="13" t="s">
        <v>54</v>
      </c>
      <c r="K29" s="13">
        <v>17</v>
      </c>
    </row>
    <row r="30" spans="1:11">
      <c r="A30" s="13" t="s">
        <v>77</v>
      </c>
      <c r="B30" s="13" t="s">
        <v>24</v>
      </c>
      <c r="C30" s="13" t="s">
        <v>55</v>
      </c>
      <c r="G30" s="13" t="s">
        <v>54</v>
      </c>
      <c r="I30" s="13" t="s">
        <v>1210</v>
      </c>
      <c r="K30" s="13">
        <v>18</v>
      </c>
    </row>
    <row r="31" spans="1:11">
      <c r="A31" s="13" t="s">
        <v>77</v>
      </c>
      <c r="B31" s="13" t="s">
        <v>26</v>
      </c>
      <c r="C31" s="13" t="s">
        <v>55</v>
      </c>
      <c r="E31" s="13" t="s">
        <v>1215</v>
      </c>
      <c r="G31" s="13" t="s">
        <v>54</v>
      </c>
      <c r="K31" s="13">
        <v>19</v>
      </c>
    </row>
    <row r="32" spans="1:11">
      <c r="A32" s="13" t="s">
        <v>77</v>
      </c>
      <c r="B32" s="13" t="s">
        <v>26</v>
      </c>
      <c r="C32" s="13" t="s">
        <v>55</v>
      </c>
      <c r="E32" s="13" t="s">
        <v>1216</v>
      </c>
      <c r="G32" s="13" t="s">
        <v>54</v>
      </c>
      <c r="K32" s="13">
        <v>20</v>
      </c>
    </row>
    <row r="42" spans="1:11">
      <c r="A42" s="13" t="s">
        <v>462</v>
      </c>
      <c r="B42" s="13" t="s">
        <v>28</v>
      </c>
      <c r="C42" s="13" t="s">
        <v>55</v>
      </c>
      <c r="D42" s="13" t="s">
        <v>1101</v>
      </c>
      <c r="F42" s="13" t="s">
        <v>477</v>
      </c>
      <c r="G42" s="13" t="s">
        <v>54</v>
      </c>
      <c r="J42" s="13" t="s">
        <v>1046</v>
      </c>
      <c r="K42" s="13">
        <v>1</v>
      </c>
    </row>
    <row r="43" spans="1:11">
      <c r="A43" s="13" t="s">
        <v>462</v>
      </c>
      <c r="B43" s="13" t="s">
        <v>28</v>
      </c>
      <c r="C43" s="13" t="s">
        <v>55</v>
      </c>
      <c r="D43" s="13" t="s">
        <v>1102</v>
      </c>
      <c r="F43" s="13" t="s">
        <v>479</v>
      </c>
      <c r="G43" s="13" t="s">
        <v>54</v>
      </c>
      <c r="J43" s="13" t="s">
        <v>1046</v>
      </c>
      <c r="K43" s="13">
        <v>2</v>
      </c>
    </row>
    <row r="44" spans="1:11">
      <c r="A44" s="13" t="s">
        <v>462</v>
      </c>
      <c r="B44" s="13" t="s">
        <v>28</v>
      </c>
      <c r="C44" s="13" t="s">
        <v>55</v>
      </c>
      <c r="D44" s="13" t="s">
        <v>1103</v>
      </c>
      <c r="F44" s="13" t="s">
        <v>480</v>
      </c>
      <c r="G44" s="13" t="s">
        <v>54</v>
      </c>
      <c r="J44" s="13" t="s">
        <v>1046</v>
      </c>
      <c r="K44" s="13">
        <v>3</v>
      </c>
    </row>
    <row r="45" spans="1:11">
      <c r="A45" s="13" t="s">
        <v>462</v>
      </c>
      <c r="B45" s="13" t="s">
        <v>28</v>
      </c>
      <c r="C45" s="13" t="s">
        <v>55</v>
      </c>
      <c r="D45" s="13" t="s">
        <v>478</v>
      </c>
      <c r="F45" s="13" t="s">
        <v>481</v>
      </c>
      <c r="G45" s="13" t="s">
        <v>54</v>
      </c>
      <c r="J45" s="13" t="s">
        <v>1046</v>
      </c>
      <c r="K45" s="13">
        <v>4</v>
      </c>
    </row>
    <row r="47" spans="1:11">
      <c r="A47" s="13" t="s">
        <v>78</v>
      </c>
      <c r="B47" s="13" t="s">
        <v>26</v>
      </c>
      <c r="C47" s="13" t="s">
        <v>53</v>
      </c>
      <c r="D47" s="13" t="s">
        <v>185</v>
      </c>
      <c r="E47" s="13" t="s">
        <v>1118</v>
      </c>
      <c r="G47" s="13" t="s">
        <v>54</v>
      </c>
      <c r="K47" s="13">
        <v>1</v>
      </c>
    </row>
    <row r="48" spans="1:11">
      <c r="A48" s="13" t="s">
        <v>78</v>
      </c>
      <c r="B48" s="13" t="s">
        <v>28</v>
      </c>
      <c r="C48" s="13" t="s">
        <v>55</v>
      </c>
      <c r="D48" s="13" t="s">
        <v>1104</v>
      </c>
      <c r="F48" s="13" t="s">
        <v>500</v>
      </c>
      <c r="G48" s="13" t="s">
        <v>54</v>
      </c>
      <c r="J48" s="13" t="s">
        <v>1045</v>
      </c>
      <c r="K48" s="13">
        <v>2</v>
      </c>
    </row>
    <row r="49" spans="1:11">
      <c r="A49" s="13" t="s">
        <v>78</v>
      </c>
      <c r="B49" s="13" t="s">
        <v>26</v>
      </c>
      <c r="C49" s="13" t="s">
        <v>55</v>
      </c>
      <c r="D49" s="13" t="s">
        <v>107</v>
      </c>
      <c r="E49" s="13" t="s">
        <v>518</v>
      </c>
      <c r="G49" s="13" t="s">
        <v>54</v>
      </c>
      <c r="K49" s="13">
        <v>3</v>
      </c>
    </row>
    <row r="50" spans="1:11">
      <c r="A50" s="13" t="s">
        <v>78</v>
      </c>
      <c r="B50" s="13" t="s">
        <v>28</v>
      </c>
      <c r="C50" s="13" t="s">
        <v>55</v>
      </c>
      <c r="D50" s="13" t="s">
        <v>1100</v>
      </c>
      <c r="F50" s="13" t="s">
        <v>519</v>
      </c>
      <c r="G50" s="13" t="s">
        <v>54</v>
      </c>
      <c r="J50" s="13" t="s">
        <v>1046</v>
      </c>
      <c r="K50" s="13">
        <v>4</v>
      </c>
    </row>
    <row r="52" spans="1:11">
      <c r="A52" s="13" t="s">
        <v>538</v>
      </c>
      <c r="B52" s="13" t="s">
        <v>24</v>
      </c>
      <c r="C52" s="13" t="s">
        <v>53</v>
      </c>
      <c r="D52" s="13" t="s">
        <v>185</v>
      </c>
      <c r="G52" s="13" t="s">
        <v>54</v>
      </c>
      <c r="I52" s="13" t="s">
        <v>1076</v>
      </c>
      <c r="K52" s="13">
        <v>1</v>
      </c>
    </row>
    <row r="53" spans="1:11">
      <c r="A53" s="13" t="s">
        <v>538</v>
      </c>
      <c r="B53" s="13" t="s">
        <v>26</v>
      </c>
      <c r="C53" s="13" t="s">
        <v>55</v>
      </c>
      <c r="D53" s="13" t="s">
        <v>27</v>
      </c>
      <c r="E53" s="13" t="s">
        <v>1122</v>
      </c>
      <c r="G53" s="13" t="s">
        <v>54</v>
      </c>
      <c r="K53" s="13">
        <v>2</v>
      </c>
    </row>
    <row r="54" spans="1:11">
      <c r="A54" s="13" t="s">
        <v>538</v>
      </c>
      <c r="B54" s="13" t="s">
        <v>28</v>
      </c>
      <c r="C54" s="13" t="s">
        <v>55</v>
      </c>
      <c r="D54" s="13" t="s">
        <v>29</v>
      </c>
      <c r="F54" s="13" t="s">
        <v>544</v>
      </c>
      <c r="G54" s="13" t="s">
        <v>54</v>
      </c>
      <c r="J54" s="13" t="s">
        <v>1045</v>
      </c>
      <c r="K54" s="13">
        <v>3</v>
      </c>
    </row>
    <row r="55" spans="1:11">
      <c r="A55" s="13" t="s">
        <v>538</v>
      </c>
      <c r="B55" s="13" t="s">
        <v>32</v>
      </c>
      <c r="C55" s="13" t="s">
        <v>55</v>
      </c>
      <c r="D55" s="13" t="s">
        <v>33</v>
      </c>
      <c r="I55" s="13" t="s">
        <v>1081</v>
      </c>
      <c r="K55" s="13">
        <v>4</v>
      </c>
    </row>
    <row r="57" spans="1:11">
      <c r="A57" s="13" t="s">
        <v>1357</v>
      </c>
      <c r="B57" s="13" t="s">
        <v>24</v>
      </c>
      <c r="C57" s="13" t="s">
        <v>53</v>
      </c>
      <c r="D57" s="13" t="s">
        <v>185</v>
      </c>
      <c r="G57" s="13" t="s">
        <v>54</v>
      </c>
      <c r="I57" s="13" t="s">
        <v>1356</v>
      </c>
      <c r="K57" s="13">
        <v>1</v>
      </c>
    </row>
    <row r="58" spans="1:11">
      <c r="A58" s="13" t="s">
        <v>1357</v>
      </c>
      <c r="B58" s="13" t="s">
        <v>26</v>
      </c>
      <c r="C58" s="13" t="s">
        <v>55</v>
      </c>
      <c r="D58" s="13" t="s">
        <v>27</v>
      </c>
      <c r="E58" s="13" t="s">
        <v>1359</v>
      </c>
      <c r="G58" s="13" t="s">
        <v>54</v>
      </c>
      <c r="K58" s="13">
        <v>2</v>
      </c>
    </row>
    <row r="59" spans="1:11">
      <c r="A59" s="13" t="s">
        <v>1357</v>
      </c>
      <c r="B59" s="13" t="s">
        <v>32</v>
      </c>
      <c r="C59" s="13" t="s">
        <v>55</v>
      </c>
      <c r="D59" s="13" t="s">
        <v>1406</v>
      </c>
      <c r="G59" s="13" t="s">
        <v>54</v>
      </c>
      <c r="I59" s="13" t="s">
        <v>1405</v>
      </c>
      <c r="K59" s="13">
        <v>3</v>
      </c>
    </row>
    <row r="60" spans="1:11">
      <c r="A60" s="13" t="s">
        <v>1357</v>
      </c>
      <c r="B60" s="13" t="s">
        <v>32</v>
      </c>
      <c r="C60" s="13" t="s">
        <v>55</v>
      </c>
      <c r="D60" s="13" t="s">
        <v>33</v>
      </c>
      <c r="G60" s="13" t="s">
        <v>54</v>
      </c>
      <c r="I60" s="13" t="s">
        <v>1378</v>
      </c>
      <c r="K60" s="13">
        <v>4</v>
      </c>
    </row>
    <row r="61" spans="1:11">
      <c r="A61" s="13" t="s">
        <v>1357</v>
      </c>
      <c r="B61" s="13" t="s">
        <v>26</v>
      </c>
      <c r="C61" s="13" t="s">
        <v>55</v>
      </c>
      <c r="D61" s="13" t="s">
        <v>35</v>
      </c>
      <c r="E61" s="2" t="s">
        <v>1598</v>
      </c>
      <c r="G61" s="13" t="s">
        <v>54</v>
      </c>
    </row>
    <row r="81" spans="1:11">
      <c r="A81" s="13" t="s">
        <v>1217</v>
      </c>
      <c r="B81" s="13" t="s">
        <v>28</v>
      </c>
      <c r="C81" s="13" t="s">
        <v>55</v>
      </c>
      <c r="D81" s="13" t="s">
        <v>1222</v>
      </c>
      <c r="F81" s="13" t="s">
        <v>1248</v>
      </c>
      <c r="G81" s="13" t="s">
        <v>54</v>
      </c>
      <c r="J81" s="13" t="s">
        <v>1046</v>
      </c>
      <c r="K81" s="13">
        <v>1</v>
      </c>
    </row>
    <row r="82" spans="1:11">
      <c r="A82" s="13" t="s">
        <v>1217</v>
      </c>
      <c r="B82" s="13" t="s">
        <v>28</v>
      </c>
      <c r="C82" s="13" t="s">
        <v>55</v>
      </c>
      <c r="D82" s="13" t="s">
        <v>1223</v>
      </c>
      <c r="F82" s="13" t="s">
        <v>1249</v>
      </c>
      <c r="G82" s="13" t="s">
        <v>54</v>
      </c>
      <c r="J82" s="13" t="s">
        <v>1046</v>
      </c>
      <c r="K82" s="13">
        <v>2</v>
      </c>
    </row>
    <row r="83" spans="1:11">
      <c r="A83" s="13" t="s">
        <v>1217</v>
      </c>
      <c r="B83" s="13" t="s">
        <v>28</v>
      </c>
      <c r="C83" s="13" t="s">
        <v>55</v>
      </c>
      <c r="D83" s="13" t="s">
        <v>1224</v>
      </c>
      <c r="F83" s="13" t="s">
        <v>1250</v>
      </c>
      <c r="G83" s="13" t="s">
        <v>54</v>
      </c>
      <c r="J83" s="13" t="s">
        <v>1046</v>
      </c>
      <c r="K83" s="13">
        <v>3</v>
      </c>
    </row>
    <row r="84" spans="1:11">
      <c r="A84" s="13" t="s">
        <v>1217</v>
      </c>
      <c r="B84" s="13" t="s">
        <v>28</v>
      </c>
      <c r="C84" s="13" t="s">
        <v>55</v>
      </c>
      <c r="D84" s="13" t="s">
        <v>1225</v>
      </c>
      <c r="F84" s="13" t="s">
        <v>1251</v>
      </c>
      <c r="G84" s="13" t="s">
        <v>54</v>
      </c>
      <c r="J84" s="13" t="s">
        <v>1046</v>
      </c>
      <c r="K84" s="13">
        <v>4</v>
      </c>
    </row>
    <row r="85" spans="1:11">
      <c r="A85" s="13" t="s">
        <v>1217</v>
      </c>
      <c r="B85" s="13" t="s">
        <v>28</v>
      </c>
      <c r="C85" s="13" t="s">
        <v>55</v>
      </c>
      <c r="D85" s="13" t="s">
        <v>1226</v>
      </c>
      <c r="F85" s="13" t="s">
        <v>1252</v>
      </c>
      <c r="G85" s="13" t="s">
        <v>54</v>
      </c>
      <c r="J85" s="13" t="s">
        <v>1046</v>
      </c>
      <c r="K85" s="13">
        <v>5</v>
      </c>
    </row>
    <row r="86" spans="1:11">
      <c r="A86" s="13" t="s">
        <v>1217</v>
      </c>
      <c r="B86" s="13" t="s">
        <v>28</v>
      </c>
      <c r="C86" s="13" t="s">
        <v>55</v>
      </c>
      <c r="D86" s="13" t="s">
        <v>1227</v>
      </c>
      <c r="F86" s="13" t="s">
        <v>1221</v>
      </c>
      <c r="G86" s="13" t="s">
        <v>54</v>
      </c>
      <c r="J86" s="13" t="s">
        <v>1046</v>
      </c>
      <c r="K86" s="13">
        <v>6</v>
      </c>
    </row>
    <row r="87" spans="1:11">
      <c r="A87" s="13" t="s">
        <v>1217</v>
      </c>
      <c r="B87" s="13" t="s">
        <v>28</v>
      </c>
      <c r="C87" s="13" t="s">
        <v>55</v>
      </c>
      <c r="D87" s="13" t="s">
        <v>1228</v>
      </c>
      <c r="F87" s="13" t="s">
        <v>1253</v>
      </c>
      <c r="G87" s="13" t="s">
        <v>54</v>
      </c>
      <c r="J87" s="13" t="s">
        <v>1046</v>
      </c>
      <c r="K87" s="13">
        <v>7</v>
      </c>
    </row>
    <row r="88" spans="1:11">
      <c r="A88" s="13" t="s">
        <v>1217</v>
      </c>
      <c r="B88" s="13" t="s">
        <v>28</v>
      </c>
      <c r="C88" s="13" t="s">
        <v>55</v>
      </c>
      <c r="D88" s="13" t="s">
        <v>1229</v>
      </c>
      <c r="F88" s="13" t="s">
        <v>1254</v>
      </c>
      <c r="G88" s="13" t="s">
        <v>54</v>
      </c>
      <c r="J88" s="13" t="s">
        <v>1046</v>
      </c>
      <c r="K88" s="13">
        <v>8</v>
      </c>
    </row>
    <row r="89" spans="1:11">
      <c r="A89" s="13" t="s">
        <v>1217</v>
      </c>
      <c r="B89" s="13" t="s">
        <v>28</v>
      </c>
      <c r="C89" s="13" t="s">
        <v>55</v>
      </c>
      <c r="D89" s="13" t="s">
        <v>1230</v>
      </c>
      <c r="F89" s="13" t="s">
        <v>1255</v>
      </c>
      <c r="G89" s="13" t="s">
        <v>54</v>
      </c>
      <c r="J89" s="13" t="s">
        <v>1046</v>
      </c>
      <c r="K89" s="13">
        <v>9</v>
      </c>
    </row>
    <row r="90" spans="1:11">
      <c r="A90" s="13" t="s">
        <v>1217</v>
      </c>
      <c r="B90" s="13" t="s">
        <v>28</v>
      </c>
      <c r="C90" s="13" t="s">
        <v>55</v>
      </c>
      <c r="D90" s="13" t="s">
        <v>1231</v>
      </c>
      <c r="F90" s="13" t="s">
        <v>1256</v>
      </c>
      <c r="G90" s="13" t="s">
        <v>54</v>
      </c>
      <c r="J90" s="13" t="s">
        <v>1046</v>
      </c>
      <c r="K90" s="13">
        <v>10</v>
      </c>
    </row>
    <row r="91" spans="1:11">
      <c r="A91" s="13" t="s">
        <v>1217</v>
      </c>
      <c r="B91" s="13" t="s">
        <v>28</v>
      </c>
      <c r="C91" s="13" t="s">
        <v>55</v>
      </c>
      <c r="D91" s="13" t="s">
        <v>1232</v>
      </c>
      <c r="F91" s="13" t="s">
        <v>1257</v>
      </c>
      <c r="G91" s="13" t="s">
        <v>54</v>
      </c>
      <c r="J91" s="13" t="s">
        <v>1046</v>
      </c>
      <c r="K91" s="13">
        <v>11</v>
      </c>
    </row>
    <row r="92" spans="1:11">
      <c r="A92" s="13" t="s">
        <v>1217</v>
      </c>
      <c r="B92" s="13" t="s">
        <v>28</v>
      </c>
      <c r="C92" s="13" t="s">
        <v>55</v>
      </c>
      <c r="D92" s="13" t="s">
        <v>1233</v>
      </c>
      <c r="F92" s="13" t="s">
        <v>1258</v>
      </c>
      <c r="G92" s="13" t="s">
        <v>54</v>
      </c>
      <c r="J92" s="13" t="s">
        <v>1046</v>
      </c>
      <c r="K92" s="13">
        <v>12</v>
      </c>
    </row>
    <row r="93" spans="1:11">
      <c r="A93" s="13" t="s">
        <v>1217</v>
      </c>
      <c r="B93" s="13" t="s">
        <v>28</v>
      </c>
      <c r="C93" s="13" t="s">
        <v>55</v>
      </c>
      <c r="D93" s="13" t="s">
        <v>1234</v>
      </c>
      <c r="F93" s="13" t="s">
        <v>1259</v>
      </c>
      <c r="G93" s="13" t="s">
        <v>54</v>
      </c>
      <c r="J93" s="13" t="s">
        <v>1046</v>
      </c>
      <c r="K93" s="13">
        <v>13</v>
      </c>
    </row>
    <row r="94" spans="1:11">
      <c r="A94" s="13" t="s">
        <v>1217</v>
      </c>
      <c r="B94" s="13" t="s">
        <v>28</v>
      </c>
      <c r="C94" s="13" t="s">
        <v>55</v>
      </c>
      <c r="D94" s="13" t="s">
        <v>1235</v>
      </c>
      <c r="F94" s="13" t="s">
        <v>1260</v>
      </c>
      <c r="G94" s="13" t="s">
        <v>54</v>
      </c>
      <c r="J94" s="13" t="s">
        <v>1046</v>
      </c>
      <c r="K94" s="13">
        <v>14</v>
      </c>
    </row>
    <row r="95" spans="1:11">
      <c r="A95" s="13" t="s">
        <v>1217</v>
      </c>
      <c r="B95" s="13" t="s">
        <v>28</v>
      </c>
      <c r="C95" s="13" t="s">
        <v>55</v>
      </c>
      <c r="D95" s="13" t="s">
        <v>1236</v>
      </c>
      <c r="F95" s="13" t="s">
        <v>1261</v>
      </c>
      <c r="G95" s="13" t="s">
        <v>54</v>
      </c>
      <c r="J95" s="13" t="s">
        <v>1046</v>
      </c>
      <c r="K95" s="13">
        <v>15</v>
      </c>
    </row>
    <row r="96" spans="1:11">
      <c r="A96" s="13" t="s">
        <v>1217</v>
      </c>
      <c r="B96" s="13" t="s">
        <v>28</v>
      </c>
      <c r="C96" s="13" t="s">
        <v>55</v>
      </c>
      <c r="D96" s="13" t="s">
        <v>1237</v>
      </c>
      <c r="F96" s="13" t="s">
        <v>1262</v>
      </c>
      <c r="G96" s="13" t="s">
        <v>54</v>
      </c>
      <c r="J96" s="13" t="s">
        <v>1046</v>
      </c>
      <c r="K96" s="13">
        <v>16</v>
      </c>
    </row>
    <row r="97" spans="1:11">
      <c r="A97" s="13" t="s">
        <v>1217</v>
      </c>
      <c r="B97" s="13" t="s">
        <v>28</v>
      </c>
      <c r="C97" s="13" t="s">
        <v>55</v>
      </c>
      <c r="D97" s="13" t="s">
        <v>1238</v>
      </c>
      <c r="F97" s="13" t="s">
        <v>1263</v>
      </c>
      <c r="G97" s="13" t="s">
        <v>54</v>
      </c>
      <c r="J97" s="13" t="s">
        <v>1046</v>
      </c>
      <c r="K97" s="13">
        <v>17</v>
      </c>
    </row>
    <row r="98" spans="1:11">
      <c r="A98" s="13" t="s">
        <v>1217</v>
      </c>
      <c r="B98" s="13" t="s">
        <v>28</v>
      </c>
      <c r="C98" s="13" t="s">
        <v>55</v>
      </c>
      <c r="D98" s="13" t="s">
        <v>1239</v>
      </c>
      <c r="F98" s="13" t="s">
        <v>1264</v>
      </c>
      <c r="G98" s="13" t="s">
        <v>54</v>
      </c>
      <c r="J98" s="13" t="s">
        <v>1046</v>
      </c>
      <c r="K98" s="13">
        <v>18</v>
      </c>
    </row>
    <row r="99" spans="1:11">
      <c r="A99" s="13" t="s">
        <v>1217</v>
      </c>
      <c r="B99" s="13" t="s">
        <v>28</v>
      </c>
      <c r="C99" s="13" t="s">
        <v>55</v>
      </c>
      <c r="D99" s="13" t="s">
        <v>1240</v>
      </c>
      <c r="F99" s="13" t="s">
        <v>1265</v>
      </c>
      <c r="G99" s="13" t="s">
        <v>54</v>
      </c>
      <c r="J99" s="13" t="s">
        <v>1046</v>
      </c>
      <c r="K99" s="13">
        <v>19</v>
      </c>
    </row>
    <row r="100" spans="1:11">
      <c r="A100" s="13" t="s">
        <v>1217</v>
      </c>
      <c r="B100" s="13" t="s">
        <v>28</v>
      </c>
      <c r="C100" s="13" t="s">
        <v>55</v>
      </c>
      <c r="D100" s="13" t="s">
        <v>1241</v>
      </c>
      <c r="F100" s="13" t="s">
        <v>1266</v>
      </c>
      <c r="G100" s="13" t="s">
        <v>54</v>
      </c>
      <c r="J100" s="13" t="s">
        <v>1046</v>
      </c>
      <c r="K100" s="13">
        <v>20</v>
      </c>
    </row>
    <row r="101" spans="1:11">
      <c r="A101" s="13" t="s">
        <v>1217</v>
      </c>
      <c r="B101" s="13" t="s">
        <v>28</v>
      </c>
      <c r="C101" s="13" t="s">
        <v>55</v>
      </c>
      <c r="D101" s="13" t="s">
        <v>1242</v>
      </c>
      <c r="F101" s="13" t="s">
        <v>1267</v>
      </c>
      <c r="G101" s="13" t="s">
        <v>54</v>
      </c>
      <c r="J101" s="13" t="s">
        <v>1046</v>
      </c>
      <c r="K101" s="13">
        <v>21</v>
      </c>
    </row>
    <row r="102" spans="1:11">
      <c r="A102" s="13" t="s">
        <v>1217</v>
      </c>
      <c r="B102" s="13" t="s">
        <v>28</v>
      </c>
      <c r="C102" s="13" t="s">
        <v>55</v>
      </c>
      <c r="D102" s="13" t="s">
        <v>1243</v>
      </c>
      <c r="F102" s="13" t="s">
        <v>1268</v>
      </c>
      <c r="G102" s="13" t="s">
        <v>54</v>
      </c>
      <c r="J102" s="13" t="s">
        <v>1046</v>
      </c>
      <c r="K102" s="13">
        <v>22</v>
      </c>
    </row>
    <row r="103" spans="1:11">
      <c r="A103" s="13" t="s">
        <v>1217</v>
      </c>
      <c r="B103" s="13" t="s">
        <v>28</v>
      </c>
      <c r="C103" s="13" t="s">
        <v>55</v>
      </c>
      <c r="D103" s="13" t="s">
        <v>1244</v>
      </c>
      <c r="F103" s="13" t="s">
        <v>1269</v>
      </c>
      <c r="G103" s="13" t="s">
        <v>54</v>
      </c>
      <c r="J103" s="13" t="s">
        <v>1046</v>
      </c>
      <c r="K103" s="13">
        <v>23</v>
      </c>
    </row>
    <row r="104" spans="1:11">
      <c r="A104" s="13" t="s">
        <v>1217</v>
      </c>
      <c r="B104" s="13" t="s">
        <v>28</v>
      </c>
      <c r="C104" s="13" t="s">
        <v>55</v>
      </c>
      <c r="D104" s="13" t="s">
        <v>1245</v>
      </c>
      <c r="F104" s="13" t="s">
        <v>1270</v>
      </c>
      <c r="G104" s="13" t="s">
        <v>54</v>
      </c>
      <c r="J104" s="13" t="s">
        <v>1046</v>
      </c>
      <c r="K104" s="13">
        <v>24</v>
      </c>
    </row>
    <row r="105" spans="1:11">
      <c r="A105" s="13" t="s">
        <v>1217</v>
      </c>
      <c r="B105" s="13" t="s">
        <v>28</v>
      </c>
      <c r="C105" s="13" t="s">
        <v>55</v>
      </c>
      <c r="D105" s="13" t="s">
        <v>1246</v>
      </c>
      <c r="F105" s="13" t="s">
        <v>1271</v>
      </c>
      <c r="G105" s="13" t="s">
        <v>54</v>
      </c>
      <c r="J105" s="13" t="s">
        <v>1046</v>
      </c>
      <c r="K105" s="13">
        <v>25</v>
      </c>
    </row>
    <row r="106" spans="1:11">
      <c r="A106" s="13" t="s">
        <v>1217</v>
      </c>
      <c r="B106" s="13" t="s">
        <v>28</v>
      </c>
      <c r="C106" s="13" t="s">
        <v>55</v>
      </c>
      <c r="D106" s="13" t="s">
        <v>1247</v>
      </c>
      <c r="F106" s="13" t="s">
        <v>1272</v>
      </c>
      <c r="G106" s="13" t="s">
        <v>54</v>
      </c>
      <c r="J106" s="13" t="s">
        <v>1046</v>
      </c>
      <c r="K106" s="13">
        <v>26</v>
      </c>
    </row>
    <row r="110" spans="1:11">
      <c r="A110" s="13" t="s">
        <v>1284</v>
      </c>
      <c r="B110" s="13" t="s">
        <v>26</v>
      </c>
      <c r="C110" s="13" t="s">
        <v>53</v>
      </c>
      <c r="D110" s="13" t="s">
        <v>1295</v>
      </c>
      <c r="G110" s="13" t="s">
        <v>54</v>
      </c>
      <c r="K110" s="13">
        <v>1</v>
      </c>
    </row>
    <row r="111" spans="1:11">
      <c r="A111" s="13" t="s">
        <v>1284</v>
      </c>
      <c r="B111" s="13" t="s">
        <v>26</v>
      </c>
      <c r="C111" s="13" t="s">
        <v>53</v>
      </c>
      <c r="E111" s="34" t="s">
        <v>1299</v>
      </c>
      <c r="G111" s="13" t="s">
        <v>54</v>
      </c>
      <c r="K111" s="13">
        <v>1</v>
      </c>
    </row>
    <row r="112" spans="1:11">
      <c r="A112" s="13" t="s">
        <v>1284</v>
      </c>
      <c r="B112" s="13" t="s">
        <v>26</v>
      </c>
      <c r="C112" s="13" t="s">
        <v>53</v>
      </c>
      <c r="E112" s="34" t="s">
        <v>1296</v>
      </c>
      <c r="G112" s="13" t="s">
        <v>54</v>
      </c>
      <c r="K112" s="13">
        <v>2</v>
      </c>
    </row>
    <row r="113" spans="1:11">
      <c r="A113" s="13" t="s">
        <v>1284</v>
      </c>
      <c r="B113" s="13" t="s">
        <v>26</v>
      </c>
      <c r="C113" s="13" t="s">
        <v>53</v>
      </c>
      <c r="E113" s="34" t="s">
        <v>1297</v>
      </c>
      <c r="G113" s="13" t="s">
        <v>54</v>
      </c>
      <c r="K113" s="13">
        <v>3</v>
      </c>
    </row>
    <row r="114" spans="1:11">
      <c r="A114" s="13" t="s">
        <v>1284</v>
      </c>
      <c r="B114" s="13" t="s">
        <v>26</v>
      </c>
      <c r="C114" s="13" t="s">
        <v>55</v>
      </c>
      <c r="D114" s="13" t="s">
        <v>1287</v>
      </c>
      <c r="E114" s="13" t="s">
        <v>1298</v>
      </c>
      <c r="G114" s="13" t="s">
        <v>54</v>
      </c>
      <c r="K114" s="13">
        <v>4</v>
      </c>
    </row>
    <row r="115" spans="1:11">
      <c r="A115" s="13" t="s">
        <v>1284</v>
      </c>
      <c r="B115" s="13" t="s">
        <v>26</v>
      </c>
      <c r="C115" s="13" t="s">
        <v>55</v>
      </c>
      <c r="E115" s="13" t="s">
        <v>1288</v>
      </c>
      <c r="G115" s="13" t="s">
        <v>54</v>
      </c>
      <c r="K115" s="13">
        <v>5</v>
      </c>
    </row>
    <row r="116" spans="1:11">
      <c r="A116" s="13" t="s">
        <v>1284</v>
      </c>
      <c r="B116" s="13" t="s">
        <v>26</v>
      </c>
      <c r="C116" s="13" t="s">
        <v>55</v>
      </c>
      <c r="E116" s="13" t="s">
        <v>1289</v>
      </c>
      <c r="G116" s="13" t="s">
        <v>54</v>
      </c>
      <c r="K116" s="13">
        <v>6</v>
      </c>
    </row>
    <row r="117" spans="1:11">
      <c r="A117" s="13" t="s">
        <v>1284</v>
      </c>
      <c r="B117" s="13" t="s">
        <v>26</v>
      </c>
      <c r="C117" s="13" t="s">
        <v>55</v>
      </c>
      <c r="E117" s="13" t="s">
        <v>1290</v>
      </c>
      <c r="G117" s="13" t="s">
        <v>54</v>
      </c>
      <c r="K117" s="13">
        <v>7</v>
      </c>
    </row>
    <row r="118" spans="1:11">
      <c r="A118" s="13" t="s">
        <v>1284</v>
      </c>
      <c r="B118" s="13" t="s">
        <v>26</v>
      </c>
      <c r="C118" s="13" t="s">
        <v>55</v>
      </c>
      <c r="E118" s="13" t="s">
        <v>1291</v>
      </c>
      <c r="G118" s="13" t="s">
        <v>54</v>
      </c>
      <c r="K118" s="13">
        <v>8</v>
      </c>
    </row>
    <row r="119" spans="1:11">
      <c r="A119" s="13" t="s">
        <v>1284</v>
      </c>
      <c r="B119" s="13" t="s">
        <v>26</v>
      </c>
      <c r="C119" s="13" t="s">
        <v>55</v>
      </c>
      <c r="E119" s="13" t="s">
        <v>1292</v>
      </c>
      <c r="G119" s="13" t="s">
        <v>54</v>
      </c>
      <c r="K119" s="13">
        <v>9</v>
      </c>
    </row>
    <row r="120" spans="1:11">
      <c r="A120" s="13" t="s">
        <v>1284</v>
      </c>
      <c r="B120" s="13" t="s">
        <v>26</v>
      </c>
      <c r="C120" s="13" t="s">
        <v>55</v>
      </c>
      <c r="D120" s="13" t="s">
        <v>1293</v>
      </c>
      <c r="E120" s="35" t="s">
        <v>1294</v>
      </c>
      <c r="G120" s="13" t="s">
        <v>54</v>
      </c>
      <c r="K120" s="13">
        <v>10</v>
      </c>
    </row>
    <row r="123" spans="1:11">
      <c r="A123" s="13" t="s">
        <v>1300</v>
      </c>
      <c r="B123" s="13" t="s">
        <v>26</v>
      </c>
      <c r="C123" s="13" t="s">
        <v>53</v>
      </c>
      <c r="D123" s="36" t="s">
        <v>1303</v>
      </c>
      <c r="G123" s="13" t="s">
        <v>54</v>
      </c>
      <c r="K123" s="13">
        <v>1</v>
      </c>
    </row>
    <row r="124" spans="1:11">
      <c r="A124" s="13" t="s">
        <v>1300</v>
      </c>
      <c r="B124" s="13" t="s">
        <v>26</v>
      </c>
      <c r="C124" s="13" t="s">
        <v>53</v>
      </c>
      <c r="E124" s="37" t="s">
        <v>1304</v>
      </c>
      <c r="G124" s="13" t="s">
        <v>54</v>
      </c>
      <c r="K124" s="13">
        <v>2</v>
      </c>
    </row>
    <row r="125" spans="1:11">
      <c r="A125" s="13" t="s">
        <v>1300</v>
      </c>
      <c r="B125" s="13" t="s">
        <v>26</v>
      </c>
      <c r="C125" s="13" t="s">
        <v>55</v>
      </c>
      <c r="D125" s="36" t="s">
        <v>1305</v>
      </c>
      <c r="G125" s="13" t="s">
        <v>54</v>
      </c>
      <c r="K125" s="13">
        <v>3</v>
      </c>
    </row>
    <row r="126" spans="1:11">
      <c r="A126" s="13" t="s">
        <v>1300</v>
      </c>
      <c r="B126" s="13" t="s">
        <v>26</v>
      </c>
      <c r="C126" s="13" t="s">
        <v>55</v>
      </c>
      <c r="E126" s="13" t="s">
        <v>1309</v>
      </c>
      <c r="G126" s="13" t="s">
        <v>54</v>
      </c>
      <c r="K126" s="13">
        <v>4</v>
      </c>
    </row>
    <row r="127" spans="1:11">
      <c r="A127" s="13" t="s">
        <v>1300</v>
      </c>
      <c r="B127" s="13" t="s">
        <v>26</v>
      </c>
      <c r="C127" s="13" t="s">
        <v>55</v>
      </c>
      <c r="E127" s="13" t="s">
        <v>1310</v>
      </c>
      <c r="G127" s="13" t="s">
        <v>54</v>
      </c>
      <c r="K127" s="13">
        <v>5</v>
      </c>
    </row>
    <row r="128" spans="1:11">
      <c r="A128" s="13" t="s">
        <v>1300</v>
      </c>
      <c r="B128" s="13" t="s">
        <v>26</v>
      </c>
      <c r="C128" s="13" t="s">
        <v>55</v>
      </c>
      <c r="E128" s="13" t="s">
        <v>1310</v>
      </c>
      <c r="G128" s="13" t="s">
        <v>54</v>
      </c>
      <c r="K128" s="13">
        <v>6</v>
      </c>
    </row>
    <row r="129" spans="1:11">
      <c r="A129" s="13" t="s">
        <v>1300</v>
      </c>
      <c r="B129" s="13" t="s">
        <v>26</v>
      </c>
      <c r="C129" s="13" t="s">
        <v>55</v>
      </c>
      <c r="D129" s="36" t="s">
        <v>29</v>
      </c>
      <c r="G129" s="13" t="s">
        <v>54</v>
      </c>
      <c r="K129" s="13">
        <v>7</v>
      </c>
    </row>
    <row r="130" spans="1:11">
      <c r="A130" s="13" t="s">
        <v>1300</v>
      </c>
      <c r="B130" s="13" t="s">
        <v>26</v>
      </c>
      <c r="C130" s="13" t="s">
        <v>55</v>
      </c>
      <c r="E130" s="13" t="s">
        <v>1311</v>
      </c>
      <c r="G130" s="13" t="s">
        <v>54</v>
      </c>
      <c r="K130" s="13">
        <v>8</v>
      </c>
    </row>
    <row r="131" spans="1:11">
      <c r="A131" s="13" t="s">
        <v>1300</v>
      </c>
      <c r="B131" s="13" t="s">
        <v>26</v>
      </c>
      <c r="C131" s="13" t="s">
        <v>55</v>
      </c>
      <c r="E131" s="13" t="s">
        <v>1313</v>
      </c>
      <c r="G131" s="13" t="s">
        <v>54</v>
      </c>
      <c r="K131" s="13">
        <v>9</v>
      </c>
    </row>
    <row r="132" spans="1:11">
      <c r="A132" s="13" t="s">
        <v>1300</v>
      </c>
      <c r="B132" s="13" t="s">
        <v>26</v>
      </c>
      <c r="C132" s="13" t="s">
        <v>55</v>
      </c>
      <c r="E132" s="13" t="s">
        <v>1306</v>
      </c>
      <c r="G132" s="13" t="s">
        <v>54</v>
      </c>
      <c r="K132" s="13">
        <v>10</v>
      </c>
    </row>
    <row r="133" spans="1:11">
      <c r="A133" s="13" t="s">
        <v>1300</v>
      </c>
      <c r="B133" s="13" t="s">
        <v>26</v>
      </c>
      <c r="C133" s="13" t="s">
        <v>55</v>
      </c>
      <c r="E133" s="13" t="s">
        <v>1312</v>
      </c>
      <c r="K133" s="13">
        <v>11</v>
      </c>
    </row>
    <row r="134" spans="1:11">
      <c r="A134" s="13" t="s">
        <v>1300</v>
      </c>
      <c r="B134" s="13" t="s">
        <v>26</v>
      </c>
      <c r="C134" s="13" t="s">
        <v>55</v>
      </c>
      <c r="E134" s="13" t="s">
        <v>1307</v>
      </c>
      <c r="G134" s="13" t="s">
        <v>54</v>
      </c>
      <c r="K134" s="13">
        <v>12</v>
      </c>
    </row>
    <row r="135" spans="1:11">
      <c r="A135" s="13" t="s">
        <v>1300</v>
      </c>
      <c r="B135" s="13" t="s">
        <v>26</v>
      </c>
      <c r="C135" s="13" t="s">
        <v>55</v>
      </c>
      <c r="E135" s="13" t="s">
        <v>1308</v>
      </c>
      <c r="G135" s="13" t="s">
        <v>54</v>
      </c>
      <c r="K135" s="13">
        <v>13</v>
      </c>
    </row>
  </sheetData>
  <hyperlinks>
    <hyperlink ref="E120" r:id="rId1" xr:uid="{0ACED111-27C4-D24A-8D2D-292F7EF8BCCB}"/>
  </hyperlinks>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35804-F835-2748-99C4-5C04B7D215F0}">
  <dimension ref="A1:N393"/>
  <sheetViews>
    <sheetView topLeftCell="A105" zoomScale="150" zoomScaleNormal="100" workbookViewId="0">
      <selection activeCell="A105" sqref="A1:XFD1048576"/>
    </sheetView>
  </sheetViews>
  <sheetFormatPr baseColWidth="10" defaultColWidth="9.33203125" defaultRowHeight="16"/>
  <cols>
    <col min="1" max="1" width="30.6640625" style="2" bestFit="1" customWidth="1"/>
    <col min="2" max="2" width="4.1640625" style="2" bestFit="1" customWidth="1"/>
    <col min="3" max="3" width="6" style="2" bestFit="1" customWidth="1"/>
    <col min="4" max="4" width="27.83203125" style="2" bestFit="1" customWidth="1"/>
    <col min="5" max="5" width="3.83203125" style="2" customWidth="1"/>
    <col min="6" max="6" width="27.83203125" style="2" customWidth="1"/>
    <col min="7" max="7" width="19.83203125" style="2" customWidth="1"/>
    <col min="8" max="8" width="37.1640625" style="2" bestFit="1" customWidth="1"/>
    <col min="9" max="9" width="4.6640625" style="2" bestFit="1" customWidth="1"/>
    <col min="10" max="11" width="4.6640625" style="2" customWidth="1"/>
    <col min="12" max="12" width="67.83203125" style="2" bestFit="1" customWidth="1"/>
    <col min="13" max="13" width="28.83203125" style="2" bestFit="1" customWidth="1"/>
    <col min="14" max="16384" width="9.33203125" style="2"/>
  </cols>
  <sheetData>
    <row r="1" spans="1:14">
      <c r="A1" s="1" t="s">
        <v>42</v>
      </c>
      <c r="B1" s="1" t="s">
        <v>43</v>
      </c>
      <c r="C1" s="1" t="s">
        <v>44</v>
      </c>
      <c r="D1" s="1" t="s">
        <v>45</v>
      </c>
      <c r="E1" s="1"/>
      <c r="F1" s="1"/>
      <c r="G1" s="1"/>
      <c r="H1" s="1"/>
      <c r="I1" s="1"/>
      <c r="J1" s="1"/>
      <c r="K1" s="1"/>
      <c r="L1" s="1" t="s">
        <v>88</v>
      </c>
      <c r="M1" s="1" t="s">
        <v>96</v>
      </c>
      <c r="N1" s="1" t="s">
        <v>89</v>
      </c>
    </row>
    <row r="2" spans="1:14" s="3" customFormat="1">
      <c r="A2" s="3" t="s">
        <v>25</v>
      </c>
      <c r="B2" s="3">
        <v>1</v>
      </c>
      <c r="C2" s="3" t="s">
        <v>47</v>
      </c>
      <c r="F2" s="3" t="s">
        <v>328</v>
      </c>
      <c r="G2" s="3" t="s">
        <v>330</v>
      </c>
      <c r="H2" s="3" t="s">
        <v>333</v>
      </c>
      <c r="I2" s="3" t="s">
        <v>112</v>
      </c>
      <c r="L2" s="3" t="str">
        <f>_xlfn.TEXTJOIN("", TRUE, E2:K2)</f>
        <v>01_Textgattung/01_Opferformel/01_Htp-dj-nsw/0010_Htp-dj-nsw_AR-MR_01.png</v>
      </c>
      <c r="N2" s="3" t="s">
        <v>90</v>
      </c>
    </row>
    <row r="3" spans="1:14" s="3" customFormat="1">
      <c r="A3" s="3" t="s">
        <v>25</v>
      </c>
      <c r="B3" s="3">
        <v>2</v>
      </c>
      <c r="C3" s="3" t="s">
        <v>45</v>
      </c>
      <c r="D3" s="3" t="s">
        <v>178</v>
      </c>
      <c r="N3" s="3" t="s">
        <v>90</v>
      </c>
    </row>
    <row r="4" spans="1:14" s="3" customFormat="1">
      <c r="A4" s="3" t="s">
        <v>25</v>
      </c>
      <c r="B4" s="3">
        <v>3</v>
      </c>
      <c r="C4" s="3" t="s">
        <v>46</v>
      </c>
      <c r="D4" s="3" t="s">
        <v>48</v>
      </c>
      <c r="M4" s="3" t="s">
        <v>97</v>
      </c>
      <c r="N4" s="3" t="s">
        <v>90</v>
      </c>
    </row>
    <row r="5" spans="1:14" s="3" customFormat="1">
      <c r="A5" s="3" t="s">
        <v>25</v>
      </c>
      <c r="B5" s="3">
        <v>4</v>
      </c>
      <c r="C5" s="3" t="s">
        <v>47</v>
      </c>
      <c r="F5" s="3" t="s">
        <v>328</v>
      </c>
      <c r="G5" s="3" t="s">
        <v>331</v>
      </c>
      <c r="H5" s="3" t="s">
        <v>334</v>
      </c>
      <c r="I5" s="3" t="s">
        <v>112</v>
      </c>
      <c r="L5" s="3" t="str">
        <f>_xlfn.TEXTJOIN("", TRUE, E5:K5)</f>
        <v>01_Textgattung/01_Opferformel/02_dj/0001_dj_01.png</v>
      </c>
      <c r="N5" s="3" t="s">
        <v>90</v>
      </c>
    </row>
    <row r="6" spans="1:14" s="3" customFormat="1">
      <c r="A6" s="3" t="s">
        <v>25</v>
      </c>
      <c r="B6" s="3">
        <v>5</v>
      </c>
      <c r="C6" s="3" t="s">
        <v>45</v>
      </c>
      <c r="D6" s="3" t="s">
        <v>179</v>
      </c>
      <c r="N6" s="3" t="s">
        <v>90</v>
      </c>
    </row>
    <row r="7" spans="1:14" s="3" customFormat="1">
      <c r="A7" s="3" t="s">
        <v>25</v>
      </c>
      <c r="B7" s="3">
        <v>6</v>
      </c>
      <c r="C7" s="3" t="s">
        <v>46</v>
      </c>
      <c r="D7" s="3" t="s">
        <v>49</v>
      </c>
      <c r="M7" s="3" t="s">
        <v>98</v>
      </c>
      <c r="N7" s="3" t="s">
        <v>90</v>
      </c>
    </row>
    <row r="8" spans="1:14" s="3" customFormat="1">
      <c r="A8" s="3" t="s">
        <v>25</v>
      </c>
      <c r="B8" s="3">
        <v>7</v>
      </c>
      <c r="C8" s="3" t="s">
        <v>47</v>
      </c>
      <c r="F8" s="3" t="s">
        <v>328</v>
      </c>
      <c r="G8" s="3" t="s">
        <v>332</v>
      </c>
      <c r="H8" s="3" t="s">
        <v>335</v>
      </c>
      <c r="I8" s="3" t="s">
        <v>112</v>
      </c>
      <c r="L8" s="3" t="str">
        <f>_xlfn.TEXTJOIN("", TRUE, E8:K8)</f>
        <v>01_Textgattung/01_Opferformel/03_n-kA-n/0001_n-kA-n_01.png</v>
      </c>
      <c r="N8" s="3" t="s">
        <v>90</v>
      </c>
    </row>
    <row r="9" spans="1:14" s="3" customFormat="1">
      <c r="A9" s="3" t="s">
        <v>25</v>
      </c>
      <c r="B9" s="3">
        <v>8</v>
      </c>
      <c r="C9" s="3" t="s">
        <v>45</v>
      </c>
      <c r="D9" s="3" t="s">
        <v>94</v>
      </c>
      <c r="N9" s="3" t="s">
        <v>90</v>
      </c>
    </row>
    <row r="10" spans="1:14" s="3" customFormat="1">
      <c r="A10" s="3" t="s">
        <v>25</v>
      </c>
      <c r="B10" s="3">
        <v>9</v>
      </c>
      <c r="C10" s="3" t="s">
        <v>46</v>
      </c>
      <c r="D10" s="3" t="s">
        <v>50</v>
      </c>
      <c r="M10" s="3" t="s">
        <v>99</v>
      </c>
      <c r="N10" s="3" t="s">
        <v>90</v>
      </c>
    </row>
    <row r="11" spans="1:14" s="3" customFormat="1">
      <c r="A11" s="3" t="s">
        <v>25</v>
      </c>
      <c r="B11" s="3">
        <v>10</v>
      </c>
      <c r="C11" s="3" t="s">
        <v>91</v>
      </c>
      <c r="N11" s="3" t="s">
        <v>90</v>
      </c>
    </row>
    <row r="12" spans="1:14" s="3" customFormat="1">
      <c r="A12" s="14" t="s">
        <v>34</v>
      </c>
      <c r="B12" s="3">
        <v>11</v>
      </c>
      <c r="C12" s="3" t="s">
        <v>17</v>
      </c>
      <c r="D12" s="3" t="s">
        <v>178</v>
      </c>
      <c r="N12" s="3" t="s">
        <v>92</v>
      </c>
    </row>
    <row r="13" spans="1:14" s="3" customFormat="1">
      <c r="A13" s="14" t="s">
        <v>34</v>
      </c>
      <c r="B13" s="3">
        <v>12</v>
      </c>
      <c r="C13" s="3" t="s">
        <v>47</v>
      </c>
      <c r="F13" s="3" t="s">
        <v>328</v>
      </c>
      <c r="G13" s="3" t="s">
        <v>330</v>
      </c>
      <c r="H13" s="3" t="s">
        <v>333</v>
      </c>
      <c r="I13" s="3" t="s">
        <v>112</v>
      </c>
      <c r="L13" s="3" t="str">
        <f>_xlfn.TEXTJOIN("", TRUE, E13:K13)</f>
        <v>01_Textgattung/01_Opferformel/01_Htp-dj-nsw/0010_Htp-dj-nsw_AR-MR_01.png</v>
      </c>
      <c r="N13" s="3" t="s">
        <v>92</v>
      </c>
    </row>
    <row r="14" spans="1:14" s="3" customFormat="1">
      <c r="A14" s="14" t="s">
        <v>34</v>
      </c>
      <c r="B14" s="3">
        <v>13</v>
      </c>
      <c r="C14" s="3" t="s">
        <v>45</v>
      </c>
      <c r="D14" s="3" t="s">
        <v>1125</v>
      </c>
      <c r="N14" s="3" t="s">
        <v>92</v>
      </c>
    </row>
    <row r="15" spans="1:14" s="3" customFormat="1">
      <c r="A15" s="14" t="s">
        <v>34</v>
      </c>
      <c r="B15" s="3">
        <v>14</v>
      </c>
      <c r="C15" s="3" t="s">
        <v>47</v>
      </c>
      <c r="F15" s="3" t="s">
        <v>328</v>
      </c>
      <c r="G15" s="3" t="s">
        <v>330</v>
      </c>
      <c r="H15" s="3" t="s">
        <v>336</v>
      </c>
      <c r="I15" s="3" t="s">
        <v>112</v>
      </c>
      <c r="L15" s="3" t="str">
        <f>_xlfn.TEXTJOIN("", TRUE, E15:K15)</f>
        <v>01_Textgattung/01_Opferformel/01_Htp-dj-nsw/0020_Htp-dj-nsw n_Ende-NR_01.png</v>
      </c>
      <c r="N15" s="3" t="s">
        <v>92</v>
      </c>
    </row>
    <row r="16" spans="1:14" s="3" customFormat="1">
      <c r="A16" s="14" t="s">
        <v>34</v>
      </c>
      <c r="B16" s="3">
        <v>15</v>
      </c>
      <c r="C16" s="3" t="s">
        <v>45</v>
      </c>
      <c r="D16" s="3" t="s">
        <v>1126</v>
      </c>
      <c r="N16" s="3" t="s">
        <v>92</v>
      </c>
    </row>
    <row r="17" spans="1:14" s="3" customFormat="1">
      <c r="A17" s="14" t="s">
        <v>34</v>
      </c>
      <c r="B17" s="3">
        <v>16</v>
      </c>
      <c r="C17" s="3" t="s">
        <v>47</v>
      </c>
      <c r="F17" s="3" t="s">
        <v>328</v>
      </c>
      <c r="G17" s="3" t="s">
        <v>330</v>
      </c>
      <c r="H17" s="3" t="s">
        <v>337</v>
      </c>
      <c r="I17" s="3" t="s">
        <v>112</v>
      </c>
      <c r="L17" s="3" t="str">
        <f>_xlfn.TEXTJOIN("", TRUE, E17:K17)</f>
        <v>01_Textgattung/01_Opferformel/01_Htp-dj-nsw/0030_Htp-dj-nsw_NR-Spaet._01.png</v>
      </c>
      <c r="N17" s="3" t="s">
        <v>92</v>
      </c>
    </row>
    <row r="18" spans="1:14" s="3" customFormat="1">
      <c r="A18" s="14" t="s">
        <v>34</v>
      </c>
      <c r="B18" s="3">
        <v>17</v>
      </c>
      <c r="C18" s="3" t="s">
        <v>45</v>
      </c>
      <c r="D18" s="3" t="s">
        <v>1127</v>
      </c>
      <c r="N18" s="3" t="s">
        <v>92</v>
      </c>
    </row>
    <row r="19" spans="1:14" s="3" customFormat="1">
      <c r="A19" s="14" t="s">
        <v>34</v>
      </c>
      <c r="B19" s="3">
        <v>18</v>
      </c>
      <c r="C19" s="3" t="s">
        <v>47</v>
      </c>
      <c r="F19" s="3" t="s">
        <v>328</v>
      </c>
      <c r="G19" s="3" t="s">
        <v>330</v>
      </c>
      <c r="H19" s="3" t="s">
        <v>338</v>
      </c>
      <c r="I19" s="3" t="s">
        <v>112</v>
      </c>
      <c r="L19" s="3" t="str">
        <f>_xlfn.TEXTJOIN("", TRUE, E19:K19)</f>
        <v>01_Textgattung/01_Opferformel/01_Htp-dj-nsw/0040_Htp-dj-nsw_AR-MR-Gott-N-di_01.png</v>
      </c>
      <c r="N19" s="3" t="s">
        <v>92</v>
      </c>
    </row>
    <row r="20" spans="1:14" s="3" customFormat="1">
      <c r="A20" s="14" t="s">
        <v>34</v>
      </c>
      <c r="B20" s="3">
        <v>19</v>
      </c>
      <c r="C20" s="3" t="s">
        <v>45</v>
      </c>
      <c r="D20" s="3" t="s">
        <v>1125</v>
      </c>
      <c r="N20" s="3" t="s">
        <v>92</v>
      </c>
    </row>
    <row r="21" spans="1:14" s="3" customFormat="1">
      <c r="A21" s="14" t="s">
        <v>34</v>
      </c>
      <c r="B21" s="3">
        <v>20</v>
      </c>
      <c r="C21" s="3" t="s">
        <v>47</v>
      </c>
      <c r="F21" s="3" t="s">
        <v>328</v>
      </c>
      <c r="G21" s="3" t="s">
        <v>330</v>
      </c>
      <c r="H21" s="3" t="s">
        <v>339</v>
      </c>
      <c r="I21" s="3" t="s">
        <v>112</v>
      </c>
      <c r="L21" s="3" t="str">
        <f>_xlfn.TEXTJOIN("", TRUE, E21:K21)</f>
        <v>01_Textgattung/01_Opferformel/01_Htp-dj-nsw/0050_Htp-dj-nsw_AR-MR-Gott-N-Htp-dj_01.png</v>
      </c>
      <c r="N21" s="3" t="s">
        <v>92</v>
      </c>
    </row>
    <row r="22" spans="1:14" s="3" customFormat="1">
      <c r="A22" s="14" t="s">
        <v>34</v>
      </c>
      <c r="B22" s="3">
        <v>21</v>
      </c>
      <c r="C22" s="3" t="s">
        <v>45</v>
      </c>
      <c r="D22" s="3" t="s">
        <v>1125</v>
      </c>
      <c r="N22" s="3" t="s">
        <v>92</v>
      </c>
    </row>
    <row r="23" spans="1:14" s="3" customFormat="1">
      <c r="A23" s="14" t="s">
        <v>34</v>
      </c>
      <c r="B23" s="3">
        <v>22</v>
      </c>
      <c r="C23" s="3" t="s">
        <v>47</v>
      </c>
      <c r="F23" s="3" t="s">
        <v>328</v>
      </c>
      <c r="G23" s="3" t="s">
        <v>330</v>
      </c>
      <c r="H23" s="3" t="s">
        <v>340</v>
      </c>
      <c r="I23" s="3" t="s">
        <v>112</v>
      </c>
      <c r="L23" s="3" t="str">
        <f>_xlfn.TEXTJOIN("", TRUE, E23:K23)</f>
        <v>01_Textgattung/01_Opferformel/01_Htp-dj-nsw/0060_Htp-dj-nsw_AR-MR-Gott-N-Htp_01.png</v>
      </c>
      <c r="N23" s="3" t="s">
        <v>92</v>
      </c>
    </row>
    <row r="24" spans="1:14" s="3" customFormat="1">
      <c r="A24" s="14" t="s">
        <v>34</v>
      </c>
      <c r="B24" s="3">
        <v>23</v>
      </c>
      <c r="C24" s="3" t="s">
        <v>45</v>
      </c>
      <c r="D24" s="3" t="s">
        <v>1125</v>
      </c>
      <c r="N24" s="3" t="s">
        <v>92</v>
      </c>
    </row>
    <row r="25" spans="1:14" s="3" customFormat="1">
      <c r="A25" s="14" t="s">
        <v>34</v>
      </c>
      <c r="B25" s="3">
        <v>24</v>
      </c>
      <c r="C25" s="3" t="s">
        <v>17</v>
      </c>
      <c r="D25" s="3" t="s">
        <v>180</v>
      </c>
      <c r="N25" s="3" t="s">
        <v>93</v>
      </c>
    </row>
    <row r="26" spans="1:14" s="3" customFormat="1">
      <c r="A26" s="14" t="s">
        <v>34</v>
      </c>
      <c r="B26" s="3">
        <v>25</v>
      </c>
      <c r="C26" s="3" t="s">
        <v>47</v>
      </c>
      <c r="F26" s="3" t="s">
        <v>328</v>
      </c>
      <c r="G26" s="3" t="s">
        <v>331</v>
      </c>
      <c r="H26" s="3" t="s">
        <v>341</v>
      </c>
      <c r="I26" s="3" t="s">
        <v>112</v>
      </c>
      <c r="L26" s="3" t="str">
        <f t="shared" ref="L26:L31" si="0">_xlfn.TEXTJOIN("", TRUE, E26:K26)</f>
        <v>01_Textgattung/01_Opferformel/02_dj/0010_dj=f_01.png</v>
      </c>
      <c r="N26" s="3" t="s">
        <v>93</v>
      </c>
    </row>
    <row r="27" spans="1:14" s="3" customFormat="1">
      <c r="A27" s="14" t="s">
        <v>34</v>
      </c>
      <c r="B27" s="3">
        <v>26</v>
      </c>
      <c r="C27" s="3" t="s">
        <v>47</v>
      </c>
      <c r="F27" s="3" t="s">
        <v>328</v>
      </c>
      <c r="G27" s="3" t="s">
        <v>331</v>
      </c>
      <c r="H27" s="3" t="s">
        <v>342</v>
      </c>
      <c r="I27" s="3" t="s">
        <v>112</v>
      </c>
      <c r="L27" s="3" t="str">
        <f t="shared" si="0"/>
        <v>01_Textgattung/01_Opferformel/02_dj/0020_dj=s_01.png</v>
      </c>
      <c r="N27" s="3" t="s">
        <v>93</v>
      </c>
    </row>
    <row r="28" spans="1:14" s="3" customFormat="1">
      <c r="A28" s="14" t="s">
        <v>34</v>
      </c>
      <c r="B28" s="3">
        <v>27</v>
      </c>
      <c r="C28" s="3" t="s">
        <v>47</v>
      </c>
      <c r="F28" s="3" t="s">
        <v>328</v>
      </c>
      <c r="G28" s="3" t="s">
        <v>331</v>
      </c>
      <c r="H28" s="3" t="s">
        <v>343</v>
      </c>
      <c r="I28" s="3" t="s">
        <v>112</v>
      </c>
      <c r="L28" s="3" t="str">
        <f t="shared" si="0"/>
        <v>01_Textgattung/01_Opferformel/02_dj/0030_dj=sn_01.png</v>
      </c>
      <c r="N28" s="3" t="s">
        <v>93</v>
      </c>
    </row>
    <row r="29" spans="1:14" s="3" customFormat="1">
      <c r="A29" s="14" t="s">
        <v>34</v>
      </c>
      <c r="B29" s="3">
        <v>28</v>
      </c>
      <c r="C29" s="3" t="s">
        <v>17</v>
      </c>
      <c r="D29" s="3" t="s">
        <v>94</v>
      </c>
      <c r="N29" s="3" t="s">
        <v>95</v>
      </c>
    </row>
    <row r="30" spans="1:14" s="3" customFormat="1">
      <c r="A30" s="14" t="s">
        <v>34</v>
      </c>
      <c r="B30" s="3">
        <v>29</v>
      </c>
      <c r="C30" s="3" t="s">
        <v>47</v>
      </c>
      <c r="F30" s="3" t="s">
        <v>328</v>
      </c>
      <c r="G30" s="3" t="s">
        <v>332</v>
      </c>
      <c r="H30" s="3" t="s">
        <v>335</v>
      </c>
      <c r="I30" s="3" t="s">
        <v>112</v>
      </c>
      <c r="L30" s="3" t="str">
        <f t="shared" si="0"/>
        <v>01_Textgattung/01_Opferformel/03_n-kA-n/0001_n-kA-n_01.png</v>
      </c>
      <c r="N30" s="3" t="s">
        <v>95</v>
      </c>
    </row>
    <row r="31" spans="1:14" s="3" customFormat="1">
      <c r="A31" s="14" t="s">
        <v>34</v>
      </c>
      <c r="B31" s="3">
        <v>30</v>
      </c>
      <c r="C31" s="3" t="s">
        <v>47</v>
      </c>
      <c r="F31" s="3" t="s">
        <v>328</v>
      </c>
      <c r="G31" s="3" t="s">
        <v>332</v>
      </c>
      <c r="H31" s="3" t="s">
        <v>344</v>
      </c>
      <c r="I31" s="3" t="s">
        <v>112</v>
      </c>
      <c r="L31" s="3" t="str">
        <f t="shared" si="0"/>
        <v>01_Textgattung/01_Opferformel/03_n-kA-n/0010_n-kA -n_02.png</v>
      </c>
      <c r="N31" s="3" t="s">
        <v>95</v>
      </c>
    </row>
    <row r="33" spans="1:14" s="4" customFormat="1">
      <c r="A33" s="16" t="s">
        <v>323</v>
      </c>
      <c r="B33" s="4">
        <v>1</v>
      </c>
      <c r="C33" s="4" t="s">
        <v>46</v>
      </c>
      <c r="D33" s="4" t="s">
        <v>324</v>
      </c>
      <c r="M33" s="4" t="s">
        <v>325</v>
      </c>
      <c r="N33" s="4" t="s">
        <v>90</v>
      </c>
    </row>
    <row r="34" spans="1:14" s="4" customFormat="1">
      <c r="A34" s="16" t="s">
        <v>323</v>
      </c>
      <c r="B34" s="4">
        <v>2</v>
      </c>
      <c r="C34" s="4" t="s">
        <v>45</v>
      </c>
      <c r="D34" s="4" t="s">
        <v>326</v>
      </c>
      <c r="N34" s="4" t="s">
        <v>90</v>
      </c>
    </row>
    <row r="35" spans="1:14" s="4" customFormat="1">
      <c r="A35" s="16" t="s">
        <v>323</v>
      </c>
      <c r="B35" s="4">
        <v>3</v>
      </c>
      <c r="C35" s="4" t="s">
        <v>46</v>
      </c>
      <c r="D35" s="4" t="s">
        <v>50</v>
      </c>
      <c r="M35" s="4" t="s">
        <v>99</v>
      </c>
      <c r="N35" s="4" t="s">
        <v>90</v>
      </c>
    </row>
    <row r="36" spans="1:14" s="4" customFormat="1">
      <c r="A36" s="16" t="s">
        <v>323</v>
      </c>
      <c r="B36" s="4">
        <v>4</v>
      </c>
      <c r="C36" s="4" t="s">
        <v>47</v>
      </c>
      <c r="F36" s="4" t="s">
        <v>329</v>
      </c>
      <c r="G36" s="4" t="s">
        <v>345</v>
      </c>
      <c r="H36" s="4" t="s">
        <v>346</v>
      </c>
      <c r="I36" s="4" t="s">
        <v>112</v>
      </c>
      <c r="L36" s="4" t="str">
        <f t="shared" ref="L36" si="1">_xlfn.TEXTJOIN("", TRUE, E36:K36)</f>
        <v>01_Textgattung/02_Denkmaelerformel/01_jrj.n=f-m-mn.w=f/0001_jrj.n=f m mn.w=f_01.png</v>
      </c>
      <c r="N36" s="4" t="s">
        <v>90</v>
      </c>
    </row>
    <row r="37" spans="1:14" s="4" customFormat="1">
      <c r="A37" s="16" t="s">
        <v>323</v>
      </c>
      <c r="B37" s="4">
        <v>5</v>
      </c>
      <c r="C37" s="4" t="s">
        <v>45</v>
      </c>
      <c r="D37" s="4" t="s">
        <v>327</v>
      </c>
      <c r="N37" s="4" t="s">
        <v>90</v>
      </c>
    </row>
    <row r="38" spans="1:14" s="4" customFormat="1">
      <c r="A38" s="16" t="s">
        <v>323</v>
      </c>
      <c r="B38" s="4">
        <v>6</v>
      </c>
      <c r="C38" s="4" t="s">
        <v>47</v>
      </c>
      <c r="F38" s="4" t="s">
        <v>329</v>
      </c>
      <c r="H38" s="4" t="s">
        <v>1463</v>
      </c>
      <c r="I38" s="4" t="s">
        <v>112</v>
      </c>
      <c r="L38" s="4" t="str">
        <f t="shared" ref="L38" si="2">_xlfn.TEXTJOIN("", TRUE, E38:K38)</f>
        <v>01_Textgattung/02_Denkmaelerformel/02_n-jt=f-mwt=f_01.png</v>
      </c>
      <c r="N38" s="4" t="s">
        <v>90</v>
      </c>
    </row>
    <row r="39" spans="1:14" s="4" customFormat="1">
      <c r="A39" s="16" t="s">
        <v>323</v>
      </c>
      <c r="B39" s="4">
        <v>7</v>
      </c>
      <c r="C39" s="4" t="s">
        <v>45</v>
      </c>
      <c r="D39" s="4" t="s">
        <v>1462</v>
      </c>
      <c r="N39" s="4" t="s">
        <v>90</v>
      </c>
    </row>
    <row r="40" spans="1:14" s="4" customFormat="1">
      <c r="A40" s="16" t="s">
        <v>323</v>
      </c>
      <c r="B40" s="4">
        <v>8</v>
      </c>
      <c r="C40" s="4" t="s">
        <v>46</v>
      </c>
      <c r="D40" s="4" t="s">
        <v>48</v>
      </c>
      <c r="M40" s="4" t="s">
        <v>97</v>
      </c>
      <c r="N40" s="4" t="s">
        <v>90</v>
      </c>
    </row>
    <row r="41" spans="1:14" s="4" customFormat="1">
      <c r="A41" s="16" t="s">
        <v>323</v>
      </c>
      <c r="B41" s="4">
        <v>9</v>
      </c>
      <c r="C41" s="4" t="s">
        <v>45</v>
      </c>
      <c r="D41" s="4" t="s">
        <v>1468</v>
      </c>
      <c r="N41" s="4" t="s">
        <v>90</v>
      </c>
    </row>
    <row r="42" spans="1:14" s="4" customFormat="1">
      <c r="A42" s="16" t="s">
        <v>323</v>
      </c>
      <c r="B42" s="4">
        <v>10</v>
      </c>
      <c r="C42" s="4" t="s">
        <v>91</v>
      </c>
      <c r="N42" s="4" t="s">
        <v>90</v>
      </c>
    </row>
    <row r="43" spans="1:14" s="4" customFormat="1">
      <c r="A43" s="16" t="s">
        <v>350</v>
      </c>
      <c r="B43" s="4">
        <v>11</v>
      </c>
      <c r="C43" s="4" t="s">
        <v>17</v>
      </c>
      <c r="D43" s="4" t="s">
        <v>327</v>
      </c>
      <c r="N43" s="4" t="s">
        <v>92</v>
      </c>
    </row>
    <row r="44" spans="1:14" s="4" customFormat="1">
      <c r="A44" s="16" t="s">
        <v>350</v>
      </c>
      <c r="B44" s="4">
        <v>12</v>
      </c>
      <c r="C44" s="4" t="s">
        <v>47</v>
      </c>
      <c r="F44" s="4" t="s">
        <v>329</v>
      </c>
      <c r="G44" s="4" t="s">
        <v>345</v>
      </c>
      <c r="H44" s="4" t="s">
        <v>346</v>
      </c>
      <c r="I44" s="4" t="s">
        <v>112</v>
      </c>
      <c r="L44" s="4" t="str">
        <f t="shared" ref="L44" si="3">_xlfn.TEXTJOIN("", TRUE, E44:K44)</f>
        <v>01_Textgattung/02_Denkmaelerformel/01_jrj.n=f-m-mn.w=f/0001_jrj.n=f m mn.w=f_01.png</v>
      </c>
      <c r="N44" s="4" t="s">
        <v>92</v>
      </c>
    </row>
    <row r="45" spans="1:14" s="4" customFormat="1">
      <c r="A45" s="16" t="s">
        <v>350</v>
      </c>
      <c r="B45" s="4">
        <v>13</v>
      </c>
      <c r="C45" s="4" t="s">
        <v>47</v>
      </c>
      <c r="F45" s="4" t="s">
        <v>329</v>
      </c>
      <c r="G45" s="4" t="s">
        <v>345</v>
      </c>
      <c r="H45" s="4" t="s">
        <v>351</v>
      </c>
      <c r="I45" s="4" t="s">
        <v>112</v>
      </c>
      <c r="L45" s="4" t="str">
        <f t="shared" ref="L45:L50" si="4">_xlfn.TEXTJOIN("", TRUE, E45:K45)</f>
        <v>01_Textgattung/02_Denkmaelerformel/01_jrj.n=f-m-mn.w=f/0010_jrj.n=f m mn.w=f n jt=f_01.png</v>
      </c>
      <c r="N45" s="4" t="s">
        <v>92</v>
      </c>
    </row>
    <row r="46" spans="1:14" s="4" customFormat="1">
      <c r="A46" s="16" t="s">
        <v>350</v>
      </c>
      <c r="B46" s="4">
        <v>14</v>
      </c>
      <c r="C46" s="4" t="s">
        <v>47</v>
      </c>
      <c r="F46" s="4" t="s">
        <v>329</v>
      </c>
      <c r="G46" s="4" t="s">
        <v>345</v>
      </c>
      <c r="H46" s="4" t="s">
        <v>352</v>
      </c>
      <c r="I46" s="4" t="s">
        <v>112</v>
      </c>
      <c r="L46" s="4" t="str">
        <f t="shared" si="4"/>
        <v>01_Textgattung/02_Denkmaelerformel/01_jrj.n=f-m-mn.w=f/0020_jrj.n=f m mn.w=f n mw.t=f_01.png</v>
      </c>
      <c r="N46" s="4" t="s">
        <v>92</v>
      </c>
    </row>
    <row r="47" spans="1:14" s="4" customFormat="1">
      <c r="A47" s="16" t="s">
        <v>350</v>
      </c>
      <c r="B47" s="4">
        <v>15</v>
      </c>
      <c r="C47" s="4" t="s">
        <v>47</v>
      </c>
      <c r="F47" s="4" t="s">
        <v>329</v>
      </c>
      <c r="G47" s="4" t="s">
        <v>345</v>
      </c>
      <c r="H47" s="4" t="s">
        <v>353</v>
      </c>
      <c r="I47" s="4" t="s">
        <v>112</v>
      </c>
      <c r="L47" s="4" t="str">
        <f t="shared" si="4"/>
        <v>01_Textgattung/02_Denkmaelerformel/01_jrj.n=f-m-mn.w=f/0030_jrj.n=f mn.w n_01.png</v>
      </c>
      <c r="N47" s="4" t="s">
        <v>92</v>
      </c>
    </row>
    <row r="48" spans="1:14" s="4" customFormat="1">
      <c r="A48" s="16" t="s">
        <v>350</v>
      </c>
      <c r="B48" s="4">
        <v>16</v>
      </c>
      <c r="C48" s="4" t="s">
        <v>47</v>
      </c>
      <c r="F48" s="4" t="s">
        <v>329</v>
      </c>
      <c r="G48" s="4" t="s">
        <v>345</v>
      </c>
      <c r="H48" s="4" t="s">
        <v>354</v>
      </c>
      <c r="I48" s="4" t="s">
        <v>112</v>
      </c>
      <c r="L48" s="4" t="str">
        <f t="shared" si="4"/>
        <v>01_Textgattung/02_Denkmaelerformel/01_jrj.n=f-m-mn.w=f/0040_jrj.n=f mn.w=f n_01.png</v>
      </c>
      <c r="N48" s="4" t="s">
        <v>92</v>
      </c>
    </row>
    <row r="49" spans="1:14" s="4" customFormat="1">
      <c r="A49" s="16" t="s">
        <v>350</v>
      </c>
      <c r="B49" s="4">
        <v>17</v>
      </c>
      <c r="C49" s="4" t="s">
        <v>47</v>
      </c>
      <c r="F49" s="4" t="s">
        <v>329</v>
      </c>
      <c r="G49" s="4" t="s">
        <v>345</v>
      </c>
      <c r="H49" s="4" t="s">
        <v>355</v>
      </c>
      <c r="I49" s="4" t="s">
        <v>112</v>
      </c>
      <c r="L49" s="4" t="str">
        <f t="shared" si="4"/>
        <v>01_Textgattung/02_Denkmaelerformel/01_jrj.n=f-m-mn.w=f/0050_jrj.n=f mn.w=f_01.png</v>
      </c>
      <c r="N49" s="4" t="s">
        <v>92</v>
      </c>
    </row>
    <row r="50" spans="1:14" s="4" customFormat="1">
      <c r="A50" s="16" t="s">
        <v>350</v>
      </c>
      <c r="B50" s="4">
        <v>18</v>
      </c>
      <c r="C50" s="4" t="s">
        <v>47</v>
      </c>
      <c r="F50" s="4" t="s">
        <v>329</v>
      </c>
      <c r="G50" s="4" t="s">
        <v>345</v>
      </c>
      <c r="H50" s="4" t="s">
        <v>356</v>
      </c>
      <c r="I50" s="4" t="s">
        <v>112</v>
      </c>
      <c r="L50" s="4" t="str">
        <f t="shared" si="4"/>
        <v>01_Textgattung/02_Denkmaelerformel/01_jrj.n=f-m-mn.w=f/0060_jr.t n=f_01.png</v>
      </c>
      <c r="N50" s="4" t="s">
        <v>92</v>
      </c>
    </row>
    <row r="51" spans="1:14" s="4" customFormat="1">
      <c r="A51" s="16" t="s">
        <v>350</v>
      </c>
      <c r="B51" s="4">
        <v>19</v>
      </c>
      <c r="C51" s="4" t="s">
        <v>17</v>
      </c>
      <c r="D51" s="4" t="s">
        <v>1472</v>
      </c>
      <c r="N51" s="4" t="s">
        <v>93</v>
      </c>
    </row>
    <row r="52" spans="1:14" s="4" customFormat="1">
      <c r="A52" s="16" t="s">
        <v>350</v>
      </c>
      <c r="B52" s="4">
        <v>20</v>
      </c>
      <c r="C52" s="4" t="s">
        <v>47</v>
      </c>
      <c r="F52" s="4" t="s">
        <v>329</v>
      </c>
      <c r="G52" s="4" t="s">
        <v>1473</v>
      </c>
      <c r="H52" s="4" t="s">
        <v>1474</v>
      </c>
      <c r="L52" s="4" t="str">
        <f t="shared" ref="L52:L54" si="5">_xlfn.TEXTJOIN("", TRUE, E52:K52)</f>
        <v>01_Textgattung/02_Denkmaelerformel/02-1_jt/0001_jt_AR_01.png</v>
      </c>
      <c r="N52" s="4" t="s">
        <v>93</v>
      </c>
    </row>
    <row r="53" spans="1:14" s="4" customFormat="1">
      <c r="A53" s="16" t="s">
        <v>350</v>
      </c>
      <c r="B53" s="4">
        <v>21</v>
      </c>
      <c r="C53" s="4" t="s">
        <v>45</v>
      </c>
      <c r="D53" s="4" t="s">
        <v>1130</v>
      </c>
      <c r="N53" s="4" t="s">
        <v>93</v>
      </c>
    </row>
    <row r="54" spans="1:14" s="4" customFormat="1">
      <c r="A54" s="16" t="s">
        <v>350</v>
      </c>
      <c r="B54" s="4">
        <v>22</v>
      </c>
      <c r="C54" s="4" t="s">
        <v>47</v>
      </c>
      <c r="F54" s="4" t="s">
        <v>329</v>
      </c>
      <c r="G54" s="4" t="s">
        <v>1473</v>
      </c>
      <c r="H54" s="4" t="s">
        <v>1475</v>
      </c>
      <c r="L54" s="4" t="str">
        <f t="shared" si="5"/>
        <v>01_Textgattung/02_Denkmaelerformel/02-1_jt/0010_jt_AR_02.png</v>
      </c>
      <c r="N54" s="4" t="s">
        <v>93</v>
      </c>
    </row>
    <row r="55" spans="1:14" s="4" customFormat="1">
      <c r="A55" s="16" t="s">
        <v>350</v>
      </c>
      <c r="B55" s="4">
        <v>23</v>
      </c>
      <c r="C55" s="4" t="s">
        <v>45</v>
      </c>
      <c r="D55" s="4" t="s">
        <v>1130</v>
      </c>
      <c r="N55" s="4" t="s">
        <v>93</v>
      </c>
    </row>
    <row r="56" spans="1:14" s="4" customFormat="1">
      <c r="A56" s="16" t="s">
        <v>350</v>
      </c>
      <c r="B56" s="4">
        <v>24</v>
      </c>
      <c r="C56" s="4" t="s">
        <v>47</v>
      </c>
      <c r="F56" s="4" t="s">
        <v>329</v>
      </c>
      <c r="G56" s="4" t="s">
        <v>1473</v>
      </c>
      <c r="H56" s="4" t="s">
        <v>1476</v>
      </c>
      <c r="L56" s="4" t="str">
        <f t="shared" ref="L56:L58" si="6">_xlfn.TEXTJOIN("", TRUE, E56:K56)</f>
        <v>01_Textgattung/02_Denkmaelerformel/02-1_jt/0020_jt_AR_03.png</v>
      </c>
      <c r="N56" s="4" t="s">
        <v>93</v>
      </c>
    </row>
    <row r="57" spans="1:14" s="4" customFormat="1">
      <c r="A57" s="16" t="s">
        <v>350</v>
      </c>
      <c r="B57" s="4">
        <v>25</v>
      </c>
      <c r="C57" s="4" t="s">
        <v>45</v>
      </c>
      <c r="D57" s="4" t="s">
        <v>1130</v>
      </c>
      <c r="N57" s="4" t="s">
        <v>93</v>
      </c>
    </row>
    <row r="58" spans="1:14" s="4" customFormat="1">
      <c r="A58" s="16" t="s">
        <v>350</v>
      </c>
      <c r="B58" s="4">
        <v>26</v>
      </c>
      <c r="C58" s="4" t="s">
        <v>47</v>
      </c>
      <c r="F58" s="4" t="s">
        <v>329</v>
      </c>
      <c r="G58" s="4" t="s">
        <v>1473</v>
      </c>
      <c r="H58" s="4" t="s">
        <v>1477</v>
      </c>
      <c r="L58" s="4" t="str">
        <f t="shared" si="6"/>
        <v>01_Textgattung/02_Denkmaelerformel/02-1_jt/0030_jt_MR_01.png</v>
      </c>
      <c r="N58" s="4" t="s">
        <v>93</v>
      </c>
    </row>
    <row r="59" spans="1:14" s="4" customFormat="1">
      <c r="A59" s="16" t="s">
        <v>350</v>
      </c>
      <c r="B59" s="4">
        <v>27</v>
      </c>
      <c r="C59" s="4" t="s">
        <v>45</v>
      </c>
      <c r="D59" s="4" t="s">
        <v>1393</v>
      </c>
      <c r="N59" s="4" t="s">
        <v>93</v>
      </c>
    </row>
    <row r="60" spans="1:14" s="4" customFormat="1">
      <c r="A60" s="16" t="s">
        <v>350</v>
      </c>
      <c r="B60" s="4">
        <v>28</v>
      </c>
      <c r="C60" s="4" t="s">
        <v>47</v>
      </c>
      <c r="F60" s="4" t="s">
        <v>329</v>
      </c>
      <c r="G60" s="4" t="s">
        <v>1473</v>
      </c>
      <c r="H60" s="4" t="s">
        <v>1478</v>
      </c>
      <c r="L60" s="4" t="str">
        <f t="shared" ref="L60" si="7">_xlfn.TEXTJOIN("", TRUE, E60:K60)</f>
        <v>01_Textgattung/02_Denkmaelerformel/02-1_jt/0040_jt_Gr_01.png</v>
      </c>
      <c r="N60" s="4" t="s">
        <v>93</v>
      </c>
    </row>
    <row r="61" spans="1:14" s="4" customFormat="1">
      <c r="A61" s="16" t="s">
        <v>350</v>
      </c>
      <c r="B61" s="4">
        <v>29</v>
      </c>
      <c r="C61" s="4" t="s">
        <v>45</v>
      </c>
      <c r="D61" s="4" t="s">
        <v>1131</v>
      </c>
      <c r="N61" s="4" t="s">
        <v>93</v>
      </c>
    </row>
    <row r="62" spans="1:14" s="4" customFormat="1">
      <c r="A62" s="16" t="s">
        <v>350</v>
      </c>
      <c r="B62" s="4">
        <v>30</v>
      </c>
      <c r="C62" s="4" t="s">
        <v>47</v>
      </c>
      <c r="F62" s="4" t="s">
        <v>329</v>
      </c>
      <c r="G62" s="4" t="s">
        <v>1473</v>
      </c>
      <c r="H62" s="4" t="s">
        <v>1479</v>
      </c>
      <c r="L62" s="4" t="str">
        <f t="shared" ref="L62" si="8">_xlfn.TEXTJOIN("", TRUE, E62:K62)</f>
        <v>01_Textgattung/02_Denkmaelerformel/02-1_jt/0050_jt_Gr_02.png</v>
      </c>
      <c r="N62" s="4" t="s">
        <v>93</v>
      </c>
    </row>
    <row r="63" spans="1:14" s="4" customFormat="1">
      <c r="A63" s="16" t="s">
        <v>350</v>
      </c>
      <c r="B63" s="4">
        <v>31</v>
      </c>
      <c r="C63" s="4" t="s">
        <v>45</v>
      </c>
      <c r="D63" s="4" t="s">
        <v>1131</v>
      </c>
      <c r="N63" s="4" t="s">
        <v>93</v>
      </c>
    </row>
    <row r="64" spans="1:14" s="4" customFormat="1">
      <c r="A64" s="16" t="s">
        <v>350</v>
      </c>
      <c r="B64" s="4">
        <v>32</v>
      </c>
      <c r="C64" s="4" t="s">
        <v>17</v>
      </c>
      <c r="D64" s="4" t="s">
        <v>654</v>
      </c>
      <c r="N64" s="4" t="s">
        <v>95</v>
      </c>
    </row>
    <row r="65" spans="1:14" s="4" customFormat="1">
      <c r="A65" s="16" t="s">
        <v>350</v>
      </c>
      <c r="B65" s="4">
        <v>33</v>
      </c>
      <c r="C65" s="4" t="s">
        <v>47</v>
      </c>
      <c r="F65" s="4" t="s">
        <v>329</v>
      </c>
      <c r="G65" s="4" t="s">
        <v>1480</v>
      </c>
      <c r="H65" s="4" t="s">
        <v>803</v>
      </c>
      <c r="L65" s="4" t="str">
        <f t="shared" ref="L65:L68" si="9">_xlfn.TEXTJOIN("", TRUE, E65:K65)</f>
        <v>01_Textgattung/02_Denkmaelerformel/03-1_mw.t/0001_mw.t_01.png</v>
      </c>
      <c r="N65" s="4" t="s">
        <v>95</v>
      </c>
    </row>
    <row r="66" spans="1:14" s="4" customFormat="1">
      <c r="A66" s="16" t="s">
        <v>350</v>
      </c>
      <c r="B66" s="4">
        <v>34</v>
      </c>
      <c r="C66" s="4" t="s">
        <v>47</v>
      </c>
      <c r="F66" s="4" t="s">
        <v>329</v>
      </c>
      <c r="G66" s="4" t="s">
        <v>1480</v>
      </c>
      <c r="H66" s="4" t="s">
        <v>804</v>
      </c>
      <c r="L66" s="4" t="str">
        <f t="shared" si="9"/>
        <v>01_Textgattung/02_Denkmaelerformel/03-1_mw.t/0010_mw.t_02.png</v>
      </c>
      <c r="N66" s="4" t="s">
        <v>95</v>
      </c>
    </row>
    <row r="67" spans="1:14" s="4" customFormat="1">
      <c r="A67" s="16" t="s">
        <v>350</v>
      </c>
      <c r="B67" s="4">
        <v>35</v>
      </c>
      <c r="C67" s="4" t="s">
        <v>47</v>
      </c>
      <c r="F67" s="4" t="s">
        <v>329</v>
      </c>
      <c r="G67" s="4" t="s">
        <v>1480</v>
      </c>
      <c r="H67" s="4" t="s">
        <v>805</v>
      </c>
      <c r="L67" s="4" t="str">
        <f t="shared" si="9"/>
        <v>01_Textgattung/02_Denkmaelerformel/03-1_mw.t/0020_mw.t_03.png</v>
      </c>
      <c r="N67" s="4" t="s">
        <v>95</v>
      </c>
    </row>
    <row r="68" spans="1:14" s="4" customFormat="1">
      <c r="A68" s="16" t="s">
        <v>350</v>
      </c>
      <c r="B68" s="4">
        <v>36</v>
      </c>
      <c r="C68" s="4" t="s">
        <v>47</v>
      </c>
      <c r="F68" s="4" t="s">
        <v>329</v>
      </c>
      <c r="G68" s="4" t="s">
        <v>1480</v>
      </c>
      <c r="H68" s="4" t="s">
        <v>1481</v>
      </c>
      <c r="L68" s="4" t="str">
        <f t="shared" si="9"/>
        <v>01_Textgattung/02_Denkmaelerformel/03-1_mw.t/0030_mw.t_seit-MR_01.png</v>
      </c>
      <c r="N68" s="4" t="s">
        <v>95</v>
      </c>
    </row>
    <row r="69" spans="1:14" s="4" customFormat="1">
      <c r="A69" s="16" t="s">
        <v>350</v>
      </c>
      <c r="B69" s="4">
        <v>37</v>
      </c>
      <c r="C69" s="4" t="s">
        <v>45</v>
      </c>
      <c r="D69" s="4" t="s">
        <v>1393</v>
      </c>
      <c r="N69" s="4" t="s">
        <v>95</v>
      </c>
    </row>
    <row r="70" spans="1:14" s="4" customFormat="1">
      <c r="A70" s="16" t="s">
        <v>350</v>
      </c>
      <c r="B70" s="4">
        <v>38</v>
      </c>
      <c r="C70" s="4" t="s">
        <v>47</v>
      </c>
      <c r="F70" s="4" t="s">
        <v>329</v>
      </c>
      <c r="G70" s="4" t="s">
        <v>1480</v>
      </c>
      <c r="H70" s="4" t="s">
        <v>1482</v>
      </c>
      <c r="L70" s="4" t="str">
        <f t="shared" ref="L70:L72" si="10">_xlfn.TEXTJOIN("", TRUE, E70:K70)</f>
        <v>01_Textgattung/02_Denkmaelerformel/03-1_mw.t/0040_mw.t_seit-MR_02.png</v>
      </c>
      <c r="N70" s="4" t="s">
        <v>95</v>
      </c>
    </row>
    <row r="71" spans="1:14" s="4" customFormat="1">
      <c r="A71" s="16" t="s">
        <v>350</v>
      </c>
      <c r="B71" s="4">
        <v>39</v>
      </c>
      <c r="C71" s="4" t="s">
        <v>45</v>
      </c>
      <c r="D71" s="4" t="s">
        <v>1393</v>
      </c>
      <c r="N71" s="4" t="s">
        <v>95</v>
      </c>
    </row>
    <row r="72" spans="1:14" s="4" customFormat="1">
      <c r="A72" s="16" t="s">
        <v>350</v>
      </c>
      <c r="B72" s="4">
        <v>40</v>
      </c>
      <c r="C72" s="4" t="s">
        <v>47</v>
      </c>
      <c r="F72" s="4" t="s">
        <v>329</v>
      </c>
      <c r="G72" s="4" t="s">
        <v>1480</v>
      </c>
      <c r="H72" s="4" t="s">
        <v>1483</v>
      </c>
      <c r="L72" s="4" t="str">
        <f t="shared" si="10"/>
        <v>01_Textgattung/02_Denkmaelerformel/03-1_mw.t/0050_mw.t_seit-MR_03.png</v>
      </c>
      <c r="N72" s="4" t="s">
        <v>95</v>
      </c>
    </row>
    <row r="73" spans="1:14" s="4" customFormat="1">
      <c r="A73" s="16" t="s">
        <v>350</v>
      </c>
      <c r="B73" s="4">
        <v>41</v>
      </c>
      <c r="C73" s="4" t="s">
        <v>45</v>
      </c>
      <c r="D73" s="4" t="s">
        <v>1393</v>
      </c>
      <c r="N73" s="4" t="s">
        <v>95</v>
      </c>
    </row>
    <row r="74" spans="1:14" s="4" customFormat="1">
      <c r="A74" s="16" t="s">
        <v>350</v>
      </c>
      <c r="B74" s="4">
        <v>42</v>
      </c>
      <c r="C74" s="4" t="s">
        <v>47</v>
      </c>
      <c r="F74" s="4" t="s">
        <v>329</v>
      </c>
      <c r="G74" s="4" t="s">
        <v>1480</v>
      </c>
      <c r="H74" s="4" t="s">
        <v>1484</v>
      </c>
      <c r="L74" s="4" t="str">
        <f t="shared" ref="L74" si="11">_xlfn.TEXTJOIN("", TRUE, E74:K74)</f>
        <v>01_Textgattung/02_Denkmaelerformel/03-1_mw.t/0060_mw.t_NR_01.png</v>
      </c>
      <c r="N74" s="4" t="s">
        <v>95</v>
      </c>
    </row>
    <row r="75" spans="1:14" s="4" customFormat="1">
      <c r="A75" s="16" t="s">
        <v>350</v>
      </c>
      <c r="B75" s="4">
        <v>43</v>
      </c>
      <c r="C75" s="4" t="s">
        <v>45</v>
      </c>
      <c r="D75" s="4" t="s">
        <v>1129</v>
      </c>
      <c r="N75" s="4" t="s">
        <v>95</v>
      </c>
    </row>
    <row r="76" spans="1:14" s="4" customFormat="1">
      <c r="A76" s="16" t="s">
        <v>350</v>
      </c>
      <c r="B76" s="4">
        <v>44</v>
      </c>
      <c r="C76" s="4" t="s">
        <v>47</v>
      </c>
      <c r="F76" s="4" t="s">
        <v>329</v>
      </c>
      <c r="G76" s="4" t="s">
        <v>1480</v>
      </c>
      <c r="H76" s="4" t="s">
        <v>1485</v>
      </c>
      <c r="L76" s="4" t="str">
        <f t="shared" ref="L76" si="12">_xlfn.TEXTJOIN("", TRUE, E76:K76)</f>
        <v>01_Textgattung/02_Denkmaelerformel/03-1_mw.t/0070_mw.t_Sp_01.png</v>
      </c>
      <c r="N76" s="4" t="s">
        <v>95</v>
      </c>
    </row>
    <row r="77" spans="1:14" s="4" customFormat="1">
      <c r="A77" s="16" t="s">
        <v>350</v>
      </c>
      <c r="B77" s="4">
        <v>45</v>
      </c>
      <c r="C77" s="4" t="s">
        <v>45</v>
      </c>
      <c r="D77" s="4" t="s">
        <v>1394</v>
      </c>
      <c r="N77" s="4" t="s">
        <v>95</v>
      </c>
    </row>
    <row r="79" spans="1:14" s="5" customFormat="1">
      <c r="A79" s="18" t="s">
        <v>358</v>
      </c>
      <c r="B79" s="5">
        <v>1</v>
      </c>
      <c r="C79" s="5" t="s">
        <v>47</v>
      </c>
      <c r="F79" s="5" t="s">
        <v>447</v>
      </c>
      <c r="G79" s="5" t="s">
        <v>362</v>
      </c>
      <c r="H79" s="5" t="s">
        <v>361</v>
      </c>
      <c r="I79" s="5" t="s">
        <v>112</v>
      </c>
      <c r="L79" s="5" t="str">
        <f t="shared" ref="L79" si="13">_xlfn.TEXTJOIN("", TRUE, E79:K79)</f>
        <v>01_Textgattung/03_Hymnus/01_dwA/0001_dwA_01.png</v>
      </c>
      <c r="N79" s="5" t="s">
        <v>90</v>
      </c>
    </row>
    <row r="80" spans="1:14" s="5" customFormat="1">
      <c r="A80" s="18" t="s">
        <v>358</v>
      </c>
      <c r="B80" s="5">
        <v>2</v>
      </c>
      <c r="C80" s="5" t="s">
        <v>45</v>
      </c>
      <c r="D80" s="5" t="s">
        <v>360</v>
      </c>
      <c r="N80" s="5" t="s">
        <v>90</v>
      </c>
    </row>
    <row r="81" spans="1:14" s="5" customFormat="1">
      <c r="A81" s="18" t="s">
        <v>358</v>
      </c>
      <c r="B81" s="5">
        <v>3</v>
      </c>
      <c r="C81" s="5" t="s">
        <v>46</v>
      </c>
      <c r="D81" s="5" t="s">
        <v>48</v>
      </c>
      <c r="M81" s="5" t="s">
        <v>97</v>
      </c>
      <c r="N81" s="5" t="s">
        <v>90</v>
      </c>
    </row>
    <row r="82" spans="1:14" s="5" customFormat="1">
      <c r="A82" s="18" t="s">
        <v>358</v>
      </c>
      <c r="B82" s="5">
        <v>4</v>
      </c>
      <c r="C82" s="5" t="s">
        <v>47</v>
      </c>
      <c r="F82" s="5" t="s">
        <v>447</v>
      </c>
      <c r="G82" s="5" t="s">
        <v>363</v>
      </c>
      <c r="H82" s="5" t="s">
        <v>364</v>
      </c>
      <c r="I82" s="5" t="s">
        <v>112</v>
      </c>
      <c r="L82" s="5" t="str">
        <f t="shared" ref="L82" si="14">_xlfn.TEXTJOIN("", TRUE, E82:K82)</f>
        <v>01_Textgattung/03_Hymnus/02_rDj.t-jAw/0001_rDj.t-jAw_01.png</v>
      </c>
      <c r="N82" s="5" t="s">
        <v>90</v>
      </c>
    </row>
    <row r="83" spans="1:14" s="5" customFormat="1">
      <c r="A83" s="18" t="s">
        <v>358</v>
      </c>
      <c r="B83" s="5">
        <v>5</v>
      </c>
      <c r="C83" s="5" t="s">
        <v>45</v>
      </c>
      <c r="D83" s="5" t="s">
        <v>365</v>
      </c>
      <c r="N83" s="5" t="s">
        <v>90</v>
      </c>
    </row>
    <row r="84" spans="1:14" s="5" customFormat="1">
      <c r="A84" s="18" t="s">
        <v>358</v>
      </c>
      <c r="B84" s="5">
        <v>6</v>
      </c>
      <c r="C84" s="5" t="s">
        <v>47</v>
      </c>
      <c r="F84" s="5" t="s">
        <v>447</v>
      </c>
      <c r="G84" s="5" t="s">
        <v>366</v>
      </c>
      <c r="H84" s="5" t="s">
        <v>367</v>
      </c>
      <c r="I84" s="5" t="s">
        <v>112</v>
      </c>
      <c r="L84" s="5" t="str">
        <f t="shared" ref="L84" si="15">_xlfn.TEXTJOIN("", TRUE, E84:K84)</f>
        <v>01_Textgattung/03_Hymnus/03_sn-tA-n/0001_sn-tA-n_01.png</v>
      </c>
      <c r="N84" s="5" t="s">
        <v>90</v>
      </c>
    </row>
    <row r="85" spans="1:14" s="5" customFormat="1">
      <c r="A85" s="18" t="s">
        <v>358</v>
      </c>
      <c r="B85" s="5">
        <v>7</v>
      </c>
      <c r="C85" s="5" t="s">
        <v>45</v>
      </c>
      <c r="D85" s="5" t="s">
        <v>368</v>
      </c>
      <c r="N85" s="5" t="s">
        <v>90</v>
      </c>
    </row>
    <row r="86" spans="1:14" s="5" customFormat="1">
      <c r="A86" s="18" t="s">
        <v>358</v>
      </c>
      <c r="B86" s="5">
        <v>8</v>
      </c>
      <c r="C86" s="5" t="s">
        <v>45</v>
      </c>
      <c r="D86" s="5" t="s">
        <v>1588</v>
      </c>
      <c r="N86" s="5" t="s">
        <v>90</v>
      </c>
    </row>
    <row r="87" spans="1:14" s="5" customFormat="1">
      <c r="A87" s="18" t="s">
        <v>358</v>
      </c>
      <c r="B87" s="5">
        <v>9</v>
      </c>
      <c r="C87" s="5" t="s">
        <v>47</v>
      </c>
      <c r="F87" s="5" t="s">
        <v>447</v>
      </c>
      <c r="G87" s="5" t="s">
        <v>370</v>
      </c>
      <c r="H87" s="5" t="s">
        <v>371</v>
      </c>
      <c r="I87" s="5" t="s">
        <v>112</v>
      </c>
      <c r="L87" s="5" t="str">
        <f t="shared" ref="L87" si="16">_xlfn.TEXTJOIN("", TRUE, E87:K87)</f>
        <v>01_Textgattung/03_Hymnus/04_jn/0001_jn_01.png</v>
      </c>
      <c r="N87" s="5" t="s">
        <v>90</v>
      </c>
    </row>
    <row r="88" spans="1:14" s="5" customFormat="1">
      <c r="A88" s="18" t="s">
        <v>358</v>
      </c>
      <c r="B88" s="5">
        <v>10</v>
      </c>
      <c r="C88" s="5" t="s">
        <v>45</v>
      </c>
      <c r="D88" s="5" t="s">
        <v>369</v>
      </c>
      <c r="N88" s="5" t="s">
        <v>90</v>
      </c>
    </row>
    <row r="89" spans="1:14" s="5" customFormat="1">
      <c r="A89" s="18" t="s">
        <v>358</v>
      </c>
      <c r="B89" s="5">
        <v>11</v>
      </c>
      <c r="C89" s="5" t="s">
        <v>46</v>
      </c>
      <c r="D89" s="5" t="s">
        <v>50</v>
      </c>
      <c r="M89" s="5" t="s">
        <v>99</v>
      </c>
      <c r="N89" s="5" t="s">
        <v>90</v>
      </c>
    </row>
    <row r="90" spans="1:14" s="5" customFormat="1">
      <c r="A90" s="18" t="s">
        <v>358</v>
      </c>
      <c r="B90" s="5">
        <v>12</v>
      </c>
      <c r="C90" s="5" t="s">
        <v>47</v>
      </c>
      <c r="F90" s="5" t="s">
        <v>447</v>
      </c>
      <c r="G90" s="5" t="s">
        <v>373</v>
      </c>
      <c r="H90" s="5" t="s">
        <v>374</v>
      </c>
      <c r="I90" s="5" t="s">
        <v>112</v>
      </c>
      <c r="L90" s="5" t="str">
        <f t="shared" ref="L90" si="17">_xlfn.TEXTJOIN("", TRUE, E90:K90)</f>
        <v>01_Textgattung/03_Hymnus/05_Dd=f/0001_Dd=f_01.png</v>
      </c>
      <c r="N90" s="5" t="s">
        <v>90</v>
      </c>
    </row>
    <row r="91" spans="1:14" s="5" customFormat="1">
      <c r="A91" s="18" t="s">
        <v>358</v>
      </c>
      <c r="B91" s="5">
        <v>13</v>
      </c>
      <c r="C91" s="5" t="s">
        <v>45</v>
      </c>
      <c r="D91" s="5" t="s">
        <v>372</v>
      </c>
      <c r="N91" s="5" t="s">
        <v>90</v>
      </c>
    </row>
    <row r="92" spans="1:14" s="5" customFormat="1">
      <c r="A92" s="18" t="s">
        <v>358</v>
      </c>
      <c r="B92" s="5">
        <v>14</v>
      </c>
      <c r="C92" s="5" t="s">
        <v>45</v>
      </c>
      <c r="D92" s="5" t="s">
        <v>1588</v>
      </c>
      <c r="N92" s="5" t="s">
        <v>90</v>
      </c>
    </row>
    <row r="93" spans="1:14" s="5" customFormat="1">
      <c r="A93" s="18" t="s">
        <v>358</v>
      </c>
      <c r="B93" s="5">
        <v>15</v>
      </c>
      <c r="C93" s="5" t="s">
        <v>47</v>
      </c>
      <c r="F93" s="5" t="s">
        <v>447</v>
      </c>
      <c r="G93" s="5" t="s">
        <v>375</v>
      </c>
      <c r="H93" s="5" t="s">
        <v>376</v>
      </c>
      <c r="I93" s="5" t="s">
        <v>112</v>
      </c>
      <c r="L93" s="5" t="str">
        <f t="shared" ref="L93" si="18">_xlfn.TEXTJOIN("", TRUE, E93:K93)</f>
        <v>01_Textgattung/03_Hymnus/06_jnD-Hr/0001_jnD-Hr_01.png</v>
      </c>
      <c r="N93" s="5" t="s">
        <v>90</v>
      </c>
    </row>
    <row r="94" spans="1:14" s="5" customFormat="1">
      <c r="A94" s="18" t="s">
        <v>358</v>
      </c>
      <c r="B94" s="5">
        <v>16</v>
      </c>
      <c r="C94" s="5" t="s">
        <v>45</v>
      </c>
      <c r="D94" s="5" t="s">
        <v>533</v>
      </c>
      <c r="N94" s="5" t="s">
        <v>90</v>
      </c>
    </row>
    <row r="95" spans="1:14" s="5" customFormat="1">
      <c r="A95" s="18" t="s">
        <v>358</v>
      </c>
      <c r="B95" s="5">
        <v>17</v>
      </c>
      <c r="C95" s="5" t="s">
        <v>46</v>
      </c>
      <c r="D95" s="5" t="s">
        <v>48</v>
      </c>
      <c r="M95" s="5" t="s">
        <v>97</v>
      </c>
      <c r="N95" s="5" t="s">
        <v>90</v>
      </c>
    </row>
    <row r="96" spans="1:14" s="5" customFormat="1">
      <c r="A96" s="18" t="s">
        <v>358</v>
      </c>
      <c r="B96" s="5">
        <v>18</v>
      </c>
      <c r="C96" s="5" t="s">
        <v>45</v>
      </c>
      <c r="D96" s="5" t="s">
        <v>1587</v>
      </c>
      <c r="N96" s="5" t="s">
        <v>90</v>
      </c>
    </row>
    <row r="97" spans="1:14" s="5" customFormat="1">
      <c r="A97" s="18" t="s">
        <v>358</v>
      </c>
      <c r="B97" s="5">
        <v>19</v>
      </c>
      <c r="C97" s="5" t="s">
        <v>91</v>
      </c>
      <c r="N97" s="5" t="s">
        <v>90</v>
      </c>
    </row>
    <row r="98" spans="1:14" s="5" customFormat="1">
      <c r="A98" s="18"/>
    </row>
    <row r="99" spans="1:14" s="5" customFormat="1">
      <c r="A99" s="18" t="s">
        <v>1066</v>
      </c>
      <c r="B99" s="5">
        <v>1</v>
      </c>
      <c r="C99" s="5" t="s">
        <v>17</v>
      </c>
      <c r="D99" s="5" t="s">
        <v>360</v>
      </c>
      <c r="N99" s="5" t="s">
        <v>92</v>
      </c>
    </row>
    <row r="100" spans="1:14" s="5" customFormat="1">
      <c r="A100" s="18" t="s">
        <v>1066</v>
      </c>
      <c r="B100" s="5">
        <v>2</v>
      </c>
      <c r="C100" s="5" t="s">
        <v>47</v>
      </c>
      <c r="F100" s="5" t="s">
        <v>447</v>
      </c>
      <c r="G100" s="5" t="s">
        <v>362</v>
      </c>
      <c r="H100" s="5" t="s">
        <v>1070</v>
      </c>
      <c r="L100" s="5" t="str">
        <f t="shared" ref="L100:L151" si="19">_xlfn.TEXTJOIN("", TRUE, E100:K100)</f>
        <v>01_Textgattung/03_Hymnus/01_dwA/0001_dwA_01.png</v>
      </c>
      <c r="N100" s="5" t="s">
        <v>92</v>
      </c>
    </row>
    <row r="101" spans="1:14" s="5" customFormat="1">
      <c r="A101" s="18" t="s">
        <v>1066</v>
      </c>
      <c r="B101" s="5">
        <v>3</v>
      </c>
      <c r="C101" s="5" t="s">
        <v>47</v>
      </c>
      <c r="F101" s="5" t="s">
        <v>447</v>
      </c>
      <c r="G101" s="5" t="s">
        <v>362</v>
      </c>
      <c r="H101" s="5" t="s">
        <v>1519</v>
      </c>
      <c r="L101" s="5" t="str">
        <f t="shared" si="19"/>
        <v>01_Textgattung/03_Hymnus/01_dwA/0010_dwA_AR_01.png</v>
      </c>
      <c r="N101" s="5" t="s">
        <v>92</v>
      </c>
    </row>
    <row r="102" spans="1:14" s="5" customFormat="1">
      <c r="A102" s="18" t="s">
        <v>1066</v>
      </c>
      <c r="B102" s="5">
        <v>4</v>
      </c>
      <c r="C102" s="5" t="s">
        <v>45</v>
      </c>
      <c r="D102" s="5" t="s">
        <v>1130</v>
      </c>
      <c r="N102" s="5" t="s">
        <v>92</v>
      </c>
    </row>
    <row r="103" spans="1:14" s="5" customFormat="1">
      <c r="A103" s="18" t="s">
        <v>1066</v>
      </c>
      <c r="B103" s="5">
        <v>5</v>
      </c>
      <c r="C103" s="5" t="s">
        <v>47</v>
      </c>
      <c r="F103" s="5" t="s">
        <v>447</v>
      </c>
      <c r="G103" s="5" t="s">
        <v>362</v>
      </c>
      <c r="H103" s="5" t="s">
        <v>1520</v>
      </c>
      <c r="L103" s="5" t="str">
        <f t="shared" ref="L103" si="20">_xlfn.TEXTJOIN("", TRUE, E103:K103)</f>
        <v>01_Textgattung/03_Hymnus/01_dwA/0020_dwA_Pyr_01.png</v>
      </c>
      <c r="N103" s="5" t="s">
        <v>92</v>
      </c>
    </row>
    <row r="104" spans="1:14" s="5" customFormat="1">
      <c r="A104" s="18" t="s">
        <v>1066</v>
      </c>
      <c r="B104" s="5">
        <v>6</v>
      </c>
      <c r="C104" s="5" t="s">
        <v>45</v>
      </c>
      <c r="D104" s="5" t="s">
        <v>1528</v>
      </c>
      <c r="N104" s="5" t="s">
        <v>92</v>
      </c>
    </row>
    <row r="105" spans="1:14" s="5" customFormat="1">
      <c r="A105" s="18" t="s">
        <v>1066</v>
      </c>
      <c r="B105" s="5">
        <v>7</v>
      </c>
      <c r="C105" s="5" t="s">
        <v>47</v>
      </c>
      <c r="F105" s="5" t="s">
        <v>447</v>
      </c>
      <c r="G105" s="5" t="s">
        <v>362</v>
      </c>
      <c r="H105" s="5" t="s">
        <v>1521</v>
      </c>
      <c r="L105" s="5" t="str">
        <f t="shared" ref="L105:L119" si="21">_xlfn.TEXTJOIN("", TRUE, E105:K105)</f>
        <v>01_Textgattung/03_Hymnus/01_dwA/0030_dwA_seit-MR_01.png</v>
      </c>
      <c r="N105" s="5" t="s">
        <v>92</v>
      </c>
    </row>
    <row r="106" spans="1:14" s="5" customFormat="1">
      <c r="A106" s="18" t="s">
        <v>1066</v>
      </c>
      <c r="B106" s="5">
        <v>8</v>
      </c>
      <c r="C106" s="5" t="s">
        <v>45</v>
      </c>
      <c r="D106" s="5" t="s">
        <v>1128</v>
      </c>
      <c r="N106" s="5" t="s">
        <v>92</v>
      </c>
    </row>
    <row r="107" spans="1:14" s="5" customFormat="1">
      <c r="A107" s="18" t="s">
        <v>1066</v>
      </c>
      <c r="B107" s="5">
        <v>9</v>
      </c>
      <c r="C107" s="5" t="s">
        <v>47</v>
      </c>
      <c r="F107" s="5" t="s">
        <v>447</v>
      </c>
      <c r="G107" s="5" t="s">
        <v>362</v>
      </c>
      <c r="H107" s="5" t="s">
        <v>1522</v>
      </c>
      <c r="L107" s="5" t="str">
        <f t="shared" si="21"/>
        <v>01_Textgattung/03_Hymnus/01_dwA/0040_dwA_seit-MR_02.png</v>
      </c>
      <c r="N107" s="5" t="s">
        <v>92</v>
      </c>
    </row>
    <row r="108" spans="1:14" s="5" customFormat="1">
      <c r="A108" s="18" t="s">
        <v>1066</v>
      </c>
      <c r="B108" s="5">
        <v>10</v>
      </c>
      <c r="C108" s="5" t="s">
        <v>45</v>
      </c>
      <c r="D108" s="5" t="s">
        <v>1128</v>
      </c>
      <c r="N108" s="5" t="s">
        <v>92</v>
      </c>
    </row>
    <row r="109" spans="1:14" s="5" customFormat="1">
      <c r="A109" s="18" t="s">
        <v>1066</v>
      </c>
      <c r="B109" s="5">
        <v>11</v>
      </c>
      <c r="C109" s="5" t="s">
        <v>47</v>
      </c>
      <c r="F109" s="5" t="s">
        <v>447</v>
      </c>
      <c r="G109" s="5" t="s">
        <v>362</v>
      </c>
      <c r="H109" s="5" t="s">
        <v>1523</v>
      </c>
      <c r="L109" s="5" t="str">
        <f t="shared" si="21"/>
        <v>01_Textgattung/03_Hymnus/01_dwA/0050_dwA_seit-MR_03.png</v>
      </c>
      <c r="N109" s="5" t="s">
        <v>92</v>
      </c>
    </row>
    <row r="110" spans="1:14" s="5" customFormat="1">
      <c r="A110" s="18" t="s">
        <v>1066</v>
      </c>
      <c r="B110" s="5">
        <v>12</v>
      </c>
      <c r="C110" s="5" t="s">
        <v>45</v>
      </c>
      <c r="D110" s="5" t="s">
        <v>1128</v>
      </c>
      <c r="N110" s="5" t="s">
        <v>92</v>
      </c>
    </row>
    <row r="111" spans="1:14" s="5" customFormat="1">
      <c r="A111" s="18" t="s">
        <v>1066</v>
      </c>
      <c r="B111" s="5">
        <v>13</v>
      </c>
      <c r="C111" s="5" t="s">
        <v>47</v>
      </c>
      <c r="F111" s="5" t="s">
        <v>447</v>
      </c>
      <c r="G111" s="5" t="s">
        <v>362</v>
      </c>
      <c r="H111" s="5" t="s">
        <v>1524</v>
      </c>
      <c r="L111" s="5" t="str">
        <f t="shared" si="21"/>
        <v>01_Textgattung/03_Hymnus/01_dwA/0060_dwA_seit-MR_04.png</v>
      </c>
      <c r="N111" s="5" t="s">
        <v>92</v>
      </c>
    </row>
    <row r="112" spans="1:14" s="5" customFormat="1">
      <c r="A112" s="18" t="s">
        <v>1066</v>
      </c>
      <c r="B112" s="5">
        <v>14</v>
      </c>
      <c r="C112" s="5" t="s">
        <v>45</v>
      </c>
      <c r="D112" s="5" t="s">
        <v>1128</v>
      </c>
      <c r="N112" s="5" t="s">
        <v>92</v>
      </c>
    </row>
    <row r="113" spans="1:14" s="5" customFormat="1">
      <c r="A113" s="18" t="s">
        <v>1066</v>
      </c>
      <c r="B113" s="5">
        <v>15</v>
      </c>
      <c r="C113" s="5" t="s">
        <v>47</v>
      </c>
      <c r="F113" s="5" t="s">
        <v>447</v>
      </c>
      <c r="G113" s="5" t="s">
        <v>362</v>
      </c>
      <c r="H113" s="5" t="s">
        <v>1525</v>
      </c>
      <c r="L113" s="5" t="str">
        <f t="shared" si="21"/>
        <v>01_Textgattung/03_Hymnus/01_dwA/0070_dwA_Ende-NR_01.png</v>
      </c>
      <c r="N113" s="5" t="s">
        <v>92</v>
      </c>
    </row>
    <row r="114" spans="1:14" s="5" customFormat="1">
      <c r="A114" s="18" t="s">
        <v>1066</v>
      </c>
      <c r="B114" s="5">
        <v>16</v>
      </c>
      <c r="C114" s="5" t="s">
        <v>45</v>
      </c>
      <c r="D114" s="5" t="s">
        <v>1126</v>
      </c>
      <c r="N114" s="5" t="s">
        <v>92</v>
      </c>
    </row>
    <row r="115" spans="1:14" s="5" customFormat="1">
      <c r="A115" s="18" t="s">
        <v>1066</v>
      </c>
      <c r="B115" s="5">
        <v>17</v>
      </c>
      <c r="C115" s="5" t="s">
        <v>47</v>
      </c>
      <c r="F115" s="5" t="s">
        <v>447</v>
      </c>
      <c r="G115" s="5" t="s">
        <v>362</v>
      </c>
      <c r="H115" s="5" t="s">
        <v>1526</v>
      </c>
      <c r="L115" s="5" t="str">
        <f t="shared" si="21"/>
        <v>01_Textgattung/03_Hymnus/01_dwA/0080_dwA_Ende-NR_02.png</v>
      </c>
      <c r="N115" s="5" t="s">
        <v>92</v>
      </c>
    </row>
    <row r="116" spans="1:14" s="5" customFormat="1">
      <c r="A116" s="18" t="s">
        <v>1066</v>
      </c>
      <c r="B116" s="5">
        <v>18</v>
      </c>
      <c r="C116" s="5" t="s">
        <v>45</v>
      </c>
      <c r="D116" s="5" t="s">
        <v>1126</v>
      </c>
      <c r="N116" s="5" t="s">
        <v>92</v>
      </c>
    </row>
    <row r="117" spans="1:14" s="5" customFormat="1">
      <c r="A117" s="18" t="s">
        <v>1066</v>
      </c>
      <c r="B117" s="5">
        <v>19</v>
      </c>
      <c r="C117" s="5" t="s">
        <v>47</v>
      </c>
      <c r="F117" s="5" t="s">
        <v>447</v>
      </c>
      <c r="G117" s="5" t="s">
        <v>362</v>
      </c>
      <c r="H117" s="5" t="s">
        <v>1527</v>
      </c>
      <c r="L117" s="5" t="str">
        <f t="shared" si="21"/>
        <v>01_Textgattung/03_Hymnus/01_dwA/0090_dwA_Sp_01.png</v>
      </c>
      <c r="N117" s="5" t="s">
        <v>92</v>
      </c>
    </row>
    <row r="118" spans="1:14" s="5" customFormat="1">
      <c r="A118" s="18" t="s">
        <v>1066</v>
      </c>
      <c r="B118" s="5">
        <v>20</v>
      </c>
      <c r="C118" s="5" t="s">
        <v>45</v>
      </c>
      <c r="D118" s="5" t="s">
        <v>1394</v>
      </c>
      <c r="N118" s="5" t="s">
        <v>92</v>
      </c>
    </row>
    <row r="119" spans="1:14" s="5" customFormat="1">
      <c r="A119" s="18" t="s">
        <v>1066</v>
      </c>
      <c r="B119" s="5">
        <v>21</v>
      </c>
      <c r="C119" s="5" t="s">
        <v>47</v>
      </c>
      <c r="F119" s="5" t="s">
        <v>447</v>
      </c>
      <c r="G119" s="5" t="s">
        <v>362</v>
      </c>
      <c r="H119" s="5" t="s">
        <v>1518</v>
      </c>
      <c r="L119" s="5" t="str">
        <f t="shared" si="21"/>
        <v>01_Textgattung/03_Hymnus/01_dwA/0100_dwA_Sp_02.png</v>
      </c>
      <c r="N119" s="5" t="s">
        <v>92</v>
      </c>
    </row>
    <row r="120" spans="1:14" s="5" customFormat="1">
      <c r="A120" s="18" t="s">
        <v>1066</v>
      </c>
      <c r="B120" s="5">
        <v>22</v>
      </c>
      <c r="C120" s="5" t="s">
        <v>45</v>
      </c>
      <c r="D120" s="5" t="s">
        <v>1394</v>
      </c>
      <c r="N120" s="5" t="s">
        <v>92</v>
      </c>
    </row>
    <row r="121" spans="1:14" s="5" customFormat="1">
      <c r="A121" s="18" t="s">
        <v>1066</v>
      </c>
      <c r="B121" s="5">
        <v>23</v>
      </c>
      <c r="C121" s="5" t="s">
        <v>17</v>
      </c>
      <c r="D121" s="5" t="s">
        <v>365</v>
      </c>
      <c r="N121" s="5" t="s">
        <v>93</v>
      </c>
    </row>
    <row r="122" spans="1:14" s="5" customFormat="1">
      <c r="A122" s="18" t="s">
        <v>1066</v>
      </c>
      <c r="B122" s="5">
        <v>24</v>
      </c>
      <c r="C122" s="5" t="s">
        <v>47</v>
      </c>
      <c r="F122" s="5" t="s">
        <v>447</v>
      </c>
      <c r="G122" s="5" t="s">
        <v>363</v>
      </c>
      <c r="H122" s="5" t="s">
        <v>1069</v>
      </c>
      <c r="L122" s="5" t="str">
        <f t="shared" ref="L122" si="22">_xlfn.TEXTJOIN("", TRUE, E122:K122)</f>
        <v>01_Textgattung/03_Hymnus/02_rDj.t-jAw/0001_rDj.t-jAw_01.png</v>
      </c>
      <c r="N122" s="5" t="s">
        <v>93</v>
      </c>
    </row>
    <row r="123" spans="1:14" s="5" customFormat="1">
      <c r="A123" s="18" t="s">
        <v>1066</v>
      </c>
      <c r="B123" s="5">
        <v>25</v>
      </c>
      <c r="C123" s="5" t="s">
        <v>47</v>
      </c>
      <c r="F123" s="5" t="s">
        <v>447</v>
      </c>
      <c r="G123" s="5" t="s">
        <v>363</v>
      </c>
      <c r="H123" s="5" t="s">
        <v>1529</v>
      </c>
      <c r="L123" s="5" t="str">
        <f t="shared" si="19"/>
        <v>01_Textgattung/03_Hymnus/02_rDj.t-jAw/0010_rDj.t-jAw_02.png</v>
      </c>
      <c r="N123" s="5" t="s">
        <v>93</v>
      </c>
    </row>
    <row r="124" spans="1:14" s="5" customFormat="1">
      <c r="A124" s="18" t="s">
        <v>1066</v>
      </c>
      <c r="B124" s="5">
        <v>26</v>
      </c>
      <c r="C124" s="5" t="s">
        <v>47</v>
      </c>
      <c r="F124" s="5" t="s">
        <v>447</v>
      </c>
      <c r="G124" s="5" t="s">
        <v>363</v>
      </c>
      <c r="H124" s="5" t="s">
        <v>1530</v>
      </c>
      <c r="L124" s="5" t="str">
        <f t="shared" si="19"/>
        <v>01_Textgattung/03_Hymnus/02_rDj.t-jAw/0020_rDj.t-jAw_NR_01.png</v>
      </c>
      <c r="N124" s="5" t="s">
        <v>93</v>
      </c>
    </row>
    <row r="125" spans="1:14" s="5" customFormat="1">
      <c r="A125" s="18" t="s">
        <v>1066</v>
      </c>
      <c r="B125" s="5">
        <v>27</v>
      </c>
      <c r="C125" s="5" t="s">
        <v>45</v>
      </c>
      <c r="D125" s="5" t="s">
        <v>1129</v>
      </c>
      <c r="N125" s="5" t="s">
        <v>93</v>
      </c>
    </row>
    <row r="126" spans="1:14" s="5" customFormat="1">
      <c r="A126" s="18" t="s">
        <v>1066</v>
      </c>
      <c r="B126" s="5">
        <v>28</v>
      </c>
      <c r="C126" s="5" t="s">
        <v>47</v>
      </c>
      <c r="F126" s="5" t="s">
        <v>447</v>
      </c>
      <c r="G126" s="5" t="s">
        <v>363</v>
      </c>
      <c r="H126" s="5" t="s">
        <v>1531</v>
      </c>
      <c r="L126" s="5" t="str">
        <f t="shared" ref="L126" si="23">_xlfn.TEXTJOIN("", TRUE, E126:K126)</f>
        <v>01_Textgattung/03_Hymnus/02_rDj.t-jAw/0030_rDj.t-jAw_NR_02.png</v>
      </c>
      <c r="N126" s="5" t="s">
        <v>93</v>
      </c>
    </row>
    <row r="127" spans="1:14" s="5" customFormat="1">
      <c r="A127" s="18" t="s">
        <v>1066</v>
      </c>
      <c r="B127" s="5">
        <v>29</v>
      </c>
      <c r="C127" s="5" t="s">
        <v>45</v>
      </c>
      <c r="D127" s="5" t="s">
        <v>1129</v>
      </c>
      <c r="N127" s="5" t="s">
        <v>93</v>
      </c>
    </row>
    <row r="128" spans="1:14" s="5" customFormat="1">
      <c r="A128" s="18" t="s">
        <v>1066</v>
      </c>
      <c r="B128" s="5">
        <v>30</v>
      </c>
      <c r="C128" s="5" t="s">
        <v>47</v>
      </c>
      <c r="F128" s="5" t="s">
        <v>447</v>
      </c>
      <c r="G128" s="5" t="s">
        <v>363</v>
      </c>
      <c r="H128" s="5" t="s">
        <v>1532</v>
      </c>
      <c r="L128" s="5" t="str">
        <f t="shared" ref="L128" si="24">_xlfn.TEXTJOIN("", TRUE, E128:K128)</f>
        <v>01_Textgattung/03_Hymnus/02_rDj.t-jAw/0040_rDj.t-jAw_NR_03.png</v>
      </c>
      <c r="N128" s="5" t="s">
        <v>93</v>
      </c>
    </row>
    <row r="129" spans="1:14" s="5" customFormat="1">
      <c r="A129" s="18" t="s">
        <v>1066</v>
      </c>
      <c r="B129" s="5">
        <v>31</v>
      </c>
      <c r="C129" s="5" t="s">
        <v>45</v>
      </c>
      <c r="D129" s="5" t="s">
        <v>1129</v>
      </c>
      <c r="N129" s="5" t="s">
        <v>93</v>
      </c>
    </row>
    <row r="130" spans="1:14" s="5" customFormat="1">
      <c r="A130" s="18" t="s">
        <v>1066</v>
      </c>
      <c r="B130" s="5">
        <v>32</v>
      </c>
      <c r="C130" s="5" t="s">
        <v>47</v>
      </c>
      <c r="F130" s="5" t="s">
        <v>447</v>
      </c>
      <c r="G130" s="5" t="s">
        <v>363</v>
      </c>
      <c r="H130" s="5" t="s">
        <v>1533</v>
      </c>
      <c r="L130" s="5" t="str">
        <f t="shared" ref="L130" si="25">_xlfn.TEXTJOIN("", TRUE, E130:K130)</f>
        <v>01_Textgattung/03_Hymnus/02_rDj.t-jAw/0050_rDj.t-jAw_NR_04.png</v>
      </c>
      <c r="N130" s="5" t="s">
        <v>93</v>
      </c>
    </row>
    <row r="131" spans="1:14" s="5" customFormat="1">
      <c r="A131" s="18" t="s">
        <v>1066</v>
      </c>
      <c r="B131" s="5">
        <v>33</v>
      </c>
      <c r="C131" s="5" t="s">
        <v>45</v>
      </c>
      <c r="D131" s="5" t="s">
        <v>1129</v>
      </c>
      <c r="N131" s="5" t="s">
        <v>93</v>
      </c>
    </row>
    <row r="132" spans="1:14" s="5" customFormat="1">
      <c r="A132" s="18" t="s">
        <v>1066</v>
      </c>
      <c r="B132" s="5">
        <v>34</v>
      </c>
      <c r="C132" s="5" t="s">
        <v>47</v>
      </c>
      <c r="F132" s="5" t="s">
        <v>447</v>
      </c>
      <c r="G132" s="5" t="s">
        <v>363</v>
      </c>
      <c r="H132" s="5" t="s">
        <v>1534</v>
      </c>
      <c r="L132" s="5" t="str">
        <f t="shared" ref="L132:L148" si="26">_xlfn.TEXTJOIN("", TRUE, E132:K132)</f>
        <v>01_Textgattung/03_Hymnus/02_rDj.t-jAw/0060_rDj.t-jAw_NR_05.png</v>
      </c>
      <c r="N132" s="5" t="s">
        <v>93</v>
      </c>
    </row>
    <row r="133" spans="1:14" s="5" customFormat="1">
      <c r="A133" s="18" t="s">
        <v>1066</v>
      </c>
      <c r="B133" s="5">
        <v>35</v>
      </c>
      <c r="C133" s="5" t="s">
        <v>45</v>
      </c>
      <c r="D133" s="5" t="s">
        <v>1129</v>
      </c>
      <c r="N133" s="5" t="s">
        <v>93</v>
      </c>
    </row>
    <row r="134" spans="1:14" s="5" customFormat="1">
      <c r="A134" s="18" t="s">
        <v>1066</v>
      </c>
      <c r="B134" s="5">
        <v>36</v>
      </c>
      <c r="C134" s="5" t="s">
        <v>17</v>
      </c>
      <c r="D134" s="5" t="s">
        <v>1545</v>
      </c>
      <c r="N134" s="5" t="s">
        <v>95</v>
      </c>
    </row>
    <row r="135" spans="1:14" s="5" customFormat="1">
      <c r="A135" s="18" t="s">
        <v>1066</v>
      </c>
      <c r="B135" s="5">
        <v>37</v>
      </c>
      <c r="C135" s="5" t="s">
        <v>47</v>
      </c>
      <c r="F135" s="5" t="s">
        <v>447</v>
      </c>
      <c r="G135" s="5" t="s">
        <v>1543</v>
      </c>
      <c r="H135" s="5" t="s">
        <v>1535</v>
      </c>
      <c r="L135" s="5" t="str">
        <f t="shared" si="26"/>
        <v>01_Textgattung/03_Hymnus/02_rDj.t-jAw/02_jAw/0001_jAw_01.png</v>
      </c>
      <c r="N135" s="5" t="s">
        <v>95</v>
      </c>
    </row>
    <row r="136" spans="1:14" s="5" customFormat="1">
      <c r="A136" s="18" t="s">
        <v>1066</v>
      </c>
      <c r="B136" s="5">
        <v>38</v>
      </c>
      <c r="C136" s="5" t="s">
        <v>47</v>
      </c>
      <c r="F136" s="5" t="s">
        <v>447</v>
      </c>
      <c r="G136" s="5" t="s">
        <v>1543</v>
      </c>
      <c r="H136" s="5" t="s">
        <v>1536</v>
      </c>
      <c r="L136" s="5" t="str">
        <f t="shared" si="26"/>
        <v>01_Textgattung/03_Hymnus/02_rDj.t-jAw/02_jAw/0010_jAw_AR_01.png</v>
      </c>
      <c r="N136" s="5" t="s">
        <v>95</v>
      </c>
    </row>
    <row r="137" spans="1:14" s="5" customFormat="1">
      <c r="A137" s="18" t="s">
        <v>1066</v>
      </c>
      <c r="B137" s="5">
        <v>39</v>
      </c>
      <c r="C137" s="5" t="s">
        <v>45</v>
      </c>
      <c r="D137" s="5" t="s">
        <v>1130</v>
      </c>
      <c r="N137" s="5" t="s">
        <v>95</v>
      </c>
    </row>
    <row r="138" spans="1:14" s="5" customFormat="1">
      <c r="A138" s="18" t="s">
        <v>1066</v>
      </c>
      <c r="B138" s="5">
        <v>40</v>
      </c>
      <c r="C138" s="5" t="s">
        <v>47</v>
      </c>
      <c r="F138" s="5" t="s">
        <v>447</v>
      </c>
      <c r="G138" s="5" t="s">
        <v>1543</v>
      </c>
      <c r="H138" s="5" t="s">
        <v>1537</v>
      </c>
      <c r="L138" s="5" t="str">
        <f t="shared" si="26"/>
        <v>01_Textgattung/03_Hymnus/02_rDj.t-jAw/02_jAw/0020_jAw_AR_02.png</v>
      </c>
      <c r="N138" s="5" t="s">
        <v>95</v>
      </c>
    </row>
    <row r="139" spans="1:14" s="5" customFormat="1">
      <c r="A139" s="18" t="s">
        <v>1066</v>
      </c>
      <c r="B139" s="5">
        <v>41</v>
      </c>
      <c r="C139" s="5" t="s">
        <v>45</v>
      </c>
      <c r="D139" s="5" t="s">
        <v>1130</v>
      </c>
      <c r="N139" s="5" t="s">
        <v>95</v>
      </c>
    </row>
    <row r="140" spans="1:14" s="5" customFormat="1">
      <c r="A140" s="18" t="s">
        <v>1066</v>
      </c>
      <c r="B140" s="5">
        <v>42</v>
      </c>
      <c r="C140" s="5" t="s">
        <v>47</v>
      </c>
      <c r="F140" s="5" t="s">
        <v>447</v>
      </c>
      <c r="G140" s="5" t="s">
        <v>1543</v>
      </c>
      <c r="H140" s="5" t="s">
        <v>1538</v>
      </c>
      <c r="L140" s="5" t="str">
        <f t="shared" si="26"/>
        <v>01_Textgattung/03_Hymnus/02_rDj.t-jAw/02_jAw/0030_jAw_NR_01.png</v>
      </c>
      <c r="N140" s="5" t="s">
        <v>95</v>
      </c>
    </row>
    <row r="141" spans="1:14" s="5" customFormat="1">
      <c r="A141" s="18" t="s">
        <v>1066</v>
      </c>
      <c r="B141" s="5">
        <v>43</v>
      </c>
      <c r="C141" s="5" t="s">
        <v>45</v>
      </c>
      <c r="D141" s="5" t="s">
        <v>1129</v>
      </c>
      <c r="N141" s="5" t="s">
        <v>95</v>
      </c>
    </row>
    <row r="142" spans="1:14" s="5" customFormat="1">
      <c r="A142" s="18" t="s">
        <v>1066</v>
      </c>
      <c r="B142" s="5">
        <v>44</v>
      </c>
      <c r="C142" s="5" t="s">
        <v>47</v>
      </c>
      <c r="F142" s="5" t="s">
        <v>447</v>
      </c>
      <c r="G142" s="5" t="s">
        <v>1543</v>
      </c>
      <c r="H142" s="5" t="s">
        <v>1539</v>
      </c>
      <c r="L142" s="5" t="str">
        <f t="shared" si="26"/>
        <v>01_Textgattung/03_Hymnus/02_rDj.t-jAw/02_jAw/0040_jAw_D.18_01.png</v>
      </c>
      <c r="N142" s="5" t="s">
        <v>95</v>
      </c>
    </row>
    <row r="143" spans="1:14" s="5" customFormat="1">
      <c r="A143" s="18" t="s">
        <v>1066</v>
      </c>
      <c r="B143" s="5">
        <v>45</v>
      </c>
      <c r="C143" s="5" t="s">
        <v>45</v>
      </c>
      <c r="D143" s="5" t="s">
        <v>1413</v>
      </c>
      <c r="N143" s="5" t="s">
        <v>95</v>
      </c>
    </row>
    <row r="144" spans="1:14" s="5" customFormat="1">
      <c r="A144" s="18" t="s">
        <v>1066</v>
      </c>
      <c r="B144" s="5">
        <v>46</v>
      </c>
      <c r="C144" s="5" t="s">
        <v>47</v>
      </c>
      <c r="F144" s="5" t="s">
        <v>447</v>
      </c>
      <c r="G144" s="5" t="s">
        <v>1543</v>
      </c>
      <c r="H144" s="5" t="s">
        <v>1540</v>
      </c>
      <c r="L144" s="5" t="str">
        <f t="shared" si="26"/>
        <v>01_Textgattung/03_Hymnus/02_rDj.t-jAw/02_jAw/0050_jAw_Gr_01.png</v>
      </c>
      <c r="N144" s="5" t="s">
        <v>95</v>
      </c>
    </row>
    <row r="145" spans="1:14" s="5" customFormat="1">
      <c r="A145" s="18" t="s">
        <v>1066</v>
      </c>
      <c r="B145" s="5">
        <v>47</v>
      </c>
      <c r="C145" s="5" t="s">
        <v>45</v>
      </c>
      <c r="D145" s="5" t="s">
        <v>1131</v>
      </c>
      <c r="N145" s="5" t="s">
        <v>95</v>
      </c>
    </row>
    <row r="146" spans="1:14" s="5" customFormat="1">
      <c r="A146" s="18" t="s">
        <v>1066</v>
      </c>
      <c r="B146" s="5">
        <v>48</v>
      </c>
      <c r="C146" s="5" t="s">
        <v>47</v>
      </c>
      <c r="F146" s="5" t="s">
        <v>447</v>
      </c>
      <c r="G146" s="5" t="s">
        <v>1543</v>
      </c>
      <c r="H146" s="5" t="s">
        <v>1541</v>
      </c>
      <c r="L146" s="5" t="str">
        <f t="shared" si="26"/>
        <v>01_Textgattung/03_Hymnus/02_rDj.t-jAw/02_jAw/0060_jAw_Gr_02.png</v>
      </c>
      <c r="N146" s="5" t="s">
        <v>95</v>
      </c>
    </row>
    <row r="147" spans="1:14" s="5" customFormat="1">
      <c r="A147" s="18" t="s">
        <v>1066</v>
      </c>
      <c r="B147" s="5">
        <v>49</v>
      </c>
      <c r="C147" s="5" t="s">
        <v>45</v>
      </c>
      <c r="D147" s="5" t="s">
        <v>1131</v>
      </c>
      <c r="N147" s="5" t="s">
        <v>95</v>
      </c>
    </row>
    <row r="148" spans="1:14" s="5" customFormat="1">
      <c r="A148" s="18" t="s">
        <v>1066</v>
      </c>
      <c r="B148" s="5">
        <v>50</v>
      </c>
      <c r="C148" s="5" t="s">
        <v>47</v>
      </c>
      <c r="F148" s="5" t="s">
        <v>447</v>
      </c>
      <c r="G148" s="5" t="s">
        <v>1543</v>
      </c>
      <c r="H148" s="5" t="s">
        <v>1542</v>
      </c>
      <c r="L148" s="5" t="str">
        <f t="shared" si="26"/>
        <v>01_Textgattung/03_Hymnus/02_rDj.t-jAw/02_jAw/0070_jAw_Abk_01.png</v>
      </c>
      <c r="N148" s="5" t="s">
        <v>95</v>
      </c>
    </row>
    <row r="149" spans="1:14" s="5" customFormat="1">
      <c r="A149" s="18" t="s">
        <v>1066</v>
      </c>
      <c r="B149" s="5">
        <v>51</v>
      </c>
      <c r="C149" s="5" t="s">
        <v>45</v>
      </c>
      <c r="D149" s="5" t="s">
        <v>1544</v>
      </c>
      <c r="N149" s="5" t="s">
        <v>95</v>
      </c>
    </row>
    <row r="150" spans="1:14" s="5" customFormat="1">
      <c r="A150" s="18" t="s">
        <v>1066</v>
      </c>
      <c r="B150" s="5">
        <v>52</v>
      </c>
      <c r="C150" s="5" t="s">
        <v>17</v>
      </c>
      <c r="D150" s="5" t="s">
        <v>1546</v>
      </c>
      <c r="N150" s="5" t="s">
        <v>1395</v>
      </c>
    </row>
    <row r="151" spans="1:14" s="5" customFormat="1">
      <c r="A151" s="18" t="s">
        <v>1066</v>
      </c>
      <c r="B151" s="5">
        <v>53</v>
      </c>
      <c r="C151" s="5" t="s">
        <v>47</v>
      </c>
      <c r="F151" s="5" t="s">
        <v>447</v>
      </c>
      <c r="G151" s="5" t="s">
        <v>366</v>
      </c>
      <c r="H151" s="5" t="s">
        <v>1547</v>
      </c>
      <c r="L151" s="5" t="str">
        <f t="shared" si="19"/>
        <v>01_Textgattung/03_Hymnus/03_sn-tA-n/0010_sn-tA_01.png</v>
      </c>
      <c r="N151" s="5" t="s">
        <v>1395</v>
      </c>
    </row>
    <row r="152" spans="1:14" s="5" customFormat="1">
      <c r="A152" s="18" t="s">
        <v>1066</v>
      </c>
      <c r="B152" s="5">
        <v>54</v>
      </c>
      <c r="C152" s="5" t="s">
        <v>47</v>
      </c>
      <c r="F152" s="5" t="s">
        <v>447</v>
      </c>
      <c r="G152" s="5" t="s">
        <v>366</v>
      </c>
      <c r="H152" s="5" t="s">
        <v>1548</v>
      </c>
      <c r="L152" s="5" t="str">
        <f t="shared" ref="L152" si="27">_xlfn.TEXTJOIN("", TRUE, E152:K152)</f>
        <v>01_Textgattung/03_Hymnus/03_sn-tA-n/0020_sn-tA_NR_01.png</v>
      </c>
      <c r="N152" s="5" t="s">
        <v>1395</v>
      </c>
    </row>
    <row r="153" spans="1:14" s="5" customFormat="1">
      <c r="A153" s="18" t="s">
        <v>1066</v>
      </c>
      <c r="B153" s="5">
        <v>55</v>
      </c>
      <c r="C153" s="5" t="s">
        <v>45</v>
      </c>
      <c r="D153" s="5" t="s">
        <v>1129</v>
      </c>
      <c r="N153" s="5" t="s">
        <v>1395</v>
      </c>
    </row>
    <row r="154" spans="1:14" s="5" customFormat="1">
      <c r="A154" s="18" t="s">
        <v>1066</v>
      </c>
      <c r="B154" s="5">
        <v>56</v>
      </c>
      <c r="C154" s="5" t="s">
        <v>47</v>
      </c>
      <c r="F154" s="5" t="s">
        <v>447</v>
      </c>
      <c r="G154" s="5" t="s">
        <v>366</v>
      </c>
      <c r="H154" s="5" t="s">
        <v>1549</v>
      </c>
      <c r="L154" s="5" t="str">
        <f t="shared" ref="L154" si="28">_xlfn.TEXTJOIN("", TRUE, E154:K154)</f>
        <v>01_Textgattung/03_Hymnus/03_sn-tA-n/0030_sn-tA_NR_02.png</v>
      </c>
      <c r="N154" s="5" t="s">
        <v>1395</v>
      </c>
    </row>
    <row r="155" spans="1:14" s="5" customFormat="1">
      <c r="A155" s="18" t="s">
        <v>1066</v>
      </c>
      <c r="B155" s="5">
        <v>57</v>
      </c>
      <c r="C155" s="5" t="s">
        <v>45</v>
      </c>
      <c r="D155" s="5" t="s">
        <v>1129</v>
      </c>
      <c r="N155" s="5" t="s">
        <v>1395</v>
      </c>
    </row>
    <row r="156" spans="1:14" s="5" customFormat="1">
      <c r="A156" s="18" t="s">
        <v>1066</v>
      </c>
      <c r="B156" s="5">
        <v>58</v>
      </c>
      <c r="C156" s="5" t="s">
        <v>47</v>
      </c>
      <c r="F156" s="5" t="s">
        <v>447</v>
      </c>
      <c r="G156" s="5" t="s">
        <v>366</v>
      </c>
      <c r="H156" s="5" t="s">
        <v>1550</v>
      </c>
      <c r="L156" s="5" t="str">
        <f t="shared" ref="L156" si="29">_xlfn.TEXTJOIN("", TRUE, E156:K156)</f>
        <v>01_Textgattung/03_Hymnus/03_sn-tA-n/0040_sn-tA_NR_03.png</v>
      </c>
      <c r="N156" s="5" t="s">
        <v>1395</v>
      </c>
    </row>
    <row r="157" spans="1:14" s="5" customFormat="1">
      <c r="A157" s="18" t="s">
        <v>1066</v>
      </c>
      <c r="B157" s="5">
        <v>59</v>
      </c>
      <c r="C157" s="5" t="s">
        <v>45</v>
      </c>
      <c r="D157" s="5" t="s">
        <v>1129</v>
      </c>
      <c r="N157" s="5" t="s">
        <v>1395</v>
      </c>
    </row>
    <row r="158" spans="1:14" s="5" customFormat="1">
      <c r="A158" s="18" t="s">
        <v>1066</v>
      </c>
      <c r="B158" s="5">
        <v>60</v>
      </c>
      <c r="C158" s="5" t="s">
        <v>47</v>
      </c>
      <c r="F158" s="5" t="s">
        <v>447</v>
      </c>
      <c r="G158" s="5" t="s">
        <v>366</v>
      </c>
      <c r="H158" s="5" t="s">
        <v>1551</v>
      </c>
      <c r="L158" s="5" t="str">
        <f>_xlfn.TEXTJOIN("", TRUE, E158:K158)</f>
        <v>01_Textgattung/03_Hymnus/03_sn-tA-n/0050_sn-tA_D.18_01.png</v>
      </c>
      <c r="N158" s="5" t="s">
        <v>1395</v>
      </c>
    </row>
    <row r="159" spans="1:14" s="5" customFormat="1">
      <c r="A159" s="18" t="s">
        <v>1066</v>
      </c>
      <c r="B159" s="5">
        <v>61</v>
      </c>
      <c r="C159" s="5" t="s">
        <v>45</v>
      </c>
      <c r="D159" s="5" t="s">
        <v>1413</v>
      </c>
      <c r="N159" s="5" t="s">
        <v>1395</v>
      </c>
    </row>
    <row r="160" spans="1:14" s="5" customFormat="1">
      <c r="A160" s="18" t="s">
        <v>1066</v>
      </c>
      <c r="B160" s="5">
        <v>62</v>
      </c>
      <c r="C160" s="5" t="s">
        <v>47</v>
      </c>
      <c r="F160" s="5" t="s">
        <v>447</v>
      </c>
      <c r="G160" s="5" t="s">
        <v>366</v>
      </c>
      <c r="H160" s="5" t="s">
        <v>1552</v>
      </c>
      <c r="L160" s="5" t="str">
        <f>_xlfn.TEXTJOIN("", TRUE, E160:K160)</f>
        <v>01_Textgattung/03_Hymnus/03_sn-tA-n/0060_sn-tA_Abk-MR-NR_01.png</v>
      </c>
      <c r="N160" s="5" t="s">
        <v>1395</v>
      </c>
    </row>
    <row r="161" spans="1:14" s="5" customFormat="1">
      <c r="A161" s="18" t="s">
        <v>1066</v>
      </c>
      <c r="B161" s="5">
        <v>63</v>
      </c>
      <c r="C161" s="5" t="s">
        <v>45</v>
      </c>
      <c r="D161" s="5" t="s">
        <v>1554</v>
      </c>
      <c r="N161" s="5" t="s">
        <v>1395</v>
      </c>
    </row>
    <row r="162" spans="1:14" s="5" customFormat="1">
      <c r="A162" s="18" t="s">
        <v>1066</v>
      </c>
      <c r="B162" s="5">
        <v>64</v>
      </c>
      <c r="C162" s="5" t="s">
        <v>47</v>
      </c>
      <c r="F162" s="5" t="s">
        <v>447</v>
      </c>
      <c r="G162" s="5" t="s">
        <v>366</v>
      </c>
      <c r="H162" s="5" t="s">
        <v>1553</v>
      </c>
      <c r="L162" s="5" t="str">
        <f>_xlfn.TEXTJOIN("", TRUE, E162:K162)</f>
        <v>01_Textgattung/03_Hymnus/03_sn-tA-n/0070_sn-tA_Abk-Gr_01.png</v>
      </c>
      <c r="N162" s="5" t="s">
        <v>1395</v>
      </c>
    </row>
    <row r="163" spans="1:14" s="5" customFormat="1">
      <c r="A163" s="18" t="s">
        <v>1066</v>
      </c>
      <c r="B163" s="5">
        <v>65</v>
      </c>
      <c r="C163" s="5" t="s">
        <v>45</v>
      </c>
      <c r="D163" s="5" t="s">
        <v>1555</v>
      </c>
      <c r="N163" s="5" t="s">
        <v>1395</v>
      </c>
    </row>
    <row r="164" spans="1:14" s="5" customFormat="1">
      <c r="A164" s="18" t="s">
        <v>1066</v>
      </c>
      <c r="B164" s="5">
        <v>66</v>
      </c>
      <c r="C164" s="5" t="s">
        <v>91</v>
      </c>
      <c r="N164" s="5" t="s">
        <v>1395</v>
      </c>
    </row>
    <row r="165" spans="1:14" s="5" customFormat="1">
      <c r="A165" s="18"/>
    </row>
    <row r="166" spans="1:14" s="5" customFormat="1">
      <c r="A166" s="18" t="s">
        <v>1068</v>
      </c>
      <c r="B166" s="5">
        <v>1</v>
      </c>
      <c r="C166" s="5" t="s">
        <v>17</v>
      </c>
      <c r="D166" s="5" t="s">
        <v>369</v>
      </c>
      <c r="N166" s="5" t="s">
        <v>92</v>
      </c>
    </row>
    <row r="167" spans="1:14" s="5" customFormat="1">
      <c r="A167" s="18" t="s">
        <v>1068</v>
      </c>
      <c r="B167" s="5">
        <v>2</v>
      </c>
      <c r="C167" s="5" t="s">
        <v>47</v>
      </c>
      <c r="F167" s="5" t="s">
        <v>447</v>
      </c>
      <c r="G167" s="5" t="s">
        <v>370</v>
      </c>
      <c r="H167" s="5" t="s">
        <v>1071</v>
      </c>
      <c r="L167" s="5" t="str">
        <f t="shared" ref="L167:L168" si="30">_xlfn.TEXTJOIN("", TRUE, E167:K167)</f>
        <v>01_Textgattung/03_Hymnus/04_jn/0001_jn_01.png</v>
      </c>
      <c r="N167" s="5" t="s">
        <v>92</v>
      </c>
    </row>
    <row r="168" spans="1:14" s="5" customFormat="1">
      <c r="A168" s="18" t="s">
        <v>1068</v>
      </c>
      <c r="B168" s="5">
        <v>3</v>
      </c>
      <c r="C168" s="5" t="s">
        <v>47</v>
      </c>
      <c r="F168" s="5" t="s">
        <v>447</v>
      </c>
      <c r="G168" s="5" t="s">
        <v>370</v>
      </c>
      <c r="H168" s="5" t="s">
        <v>1505</v>
      </c>
      <c r="L168" s="5" t="str">
        <f t="shared" si="30"/>
        <v>01_Textgattung/03_Hymnus/04_jn/0010_jn_01.png</v>
      </c>
      <c r="N168" s="5" t="s">
        <v>92</v>
      </c>
    </row>
    <row r="169" spans="1:14" s="5" customFormat="1">
      <c r="A169" s="18" t="s">
        <v>1068</v>
      </c>
      <c r="B169" s="5">
        <v>4</v>
      </c>
      <c r="C169" s="5" t="s">
        <v>47</v>
      </c>
      <c r="F169" s="5" t="s">
        <v>447</v>
      </c>
      <c r="G169" s="5" t="s">
        <v>370</v>
      </c>
      <c r="H169" s="5" t="s">
        <v>1506</v>
      </c>
      <c r="L169" s="5" t="str">
        <f t="shared" ref="L169:L173" si="31">_xlfn.TEXTJOIN("", TRUE, E169:K169)</f>
        <v>01_Textgattung/03_Hymnus/04_jn/0020_jn_AR_01.png</v>
      </c>
      <c r="N169" s="5" t="s">
        <v>92</v>
      </c>
    </row>
    <row r="170" spans="1:14" s="5" customFormat="1">
      <c r="A170" s="18" t="s">
        <v>1068</v>
      </c>
      <c r="B170" s="5">
        <v>5</v>
      </c>
      <c r="C170" s="5" t="s">
        <v>45</v>
      </c>
      <c r="D170" s="5" t="s">
        <v>1130</v>
      </c>
      <c r="N170" s="5" t="s">
        <v>92</v>
      </c>
    </row>
    <row r="171" spans="1:14" s="5" customFormat="1">
      <c r="A171" s="18" t="s">
        <v>1068</v>
      </c>
      <c r="B171" s="5">
        <v>6</v>
      </c>
      <c r="C171" s="5" t="s">
        <v>47</v>
      </c>
      <c r="F171" s="5" t="s">
        <v>447</v>
      </c>
      <c r="G171" s="5" t="s">
        <v>370</v>
      </c>
      <c r="H171" s="5" t="s">
        <v>1507</v>
      </c>
      <c r="L171" s="5" t="str">
        <f t="shared" ref="L171" si="32">_xlfn.TEXTJOIN("", TRUE, E171:K171)</f>
        <v>01_Textgattung/03_Hymnus/04_jn/0030_jn_AR_02.png</v>
      </c>
      <c r="N171" s="5" t="s">
        <v>92</v>
      </c>
    </row>
    <row r="172" spans="1:14" s="5" customFormat="1">
      <c r="A172" s="18" t="s">
        <v>1068</v>
      </c>
      <c r="B172" s="5">
        <v>7</v>
      </c>
      <c r="C172" s="5" t="s">
        <v>45</v>
      </c>
      <c r="D172" s="5" t="s">
        <v>1130</v>
      </c>
      <c r="N172" s="5" t="s">
        <v>92</v>
      </c>
    </row>
    <row r="173" spans="1:14" s="5" customFormat="1">
      <c r="A173" s="18" t="s">
        <v>1068</v>
      </c>
      <c r="B173" s="5">
        <v>8</v>
      </c>
      <c r="C173" s="5" t="s">
        <v>47</v>
      </c>
      <c r="F173" s="5" t="s">
        <v>447</v>
      </c>
      <c r="G173" s="5" t="s">
        <v>370</v>
      </c>
      <c r="H173" s="5" t="s">
        <v>1504</v>
      </c>
      <c r="L173" s="5" t="str">
        <f t="shared" si="31"/>
        <v>01_Textgattung/03_Hymnus/04_jn/0040_jn_NR_01.png</v>
      </c>
      <c r="N173" s="5" t="s">
        <v>92</v>
      </c>
    </row>
    <row r="174" spans="1:14" s="5" customFormat="1">
      <c r="A174" s="18" t="s">
        <v>1068</v>
      </c>
      <c r="B174" s="5">
        <v>9</v>
      </c>
      <c r="C174" s="5" t="s">
        <v>45</v>
      </c>
      <c r="D174" s="5" t="s">
        <v>1129</v>
      </c>
      <c r="N174" s="5" t="s">
        <v>92</v>
      </c>
    </row>
    <row r="175" spans="1:14" s="5" customFormat="1">
      <c r="A175" s="18" t="s">
        <v>1068</v>
      </c>
      <c r="B175" s="5">
        <v>10</v>
      </c>
      <c r="C175" s="5" t="s">
        <v>17</v>
      </c>
      <c r="D175" s="38" t="s">
        <v>1497</v>
      </c>
      <c r="N175" s="5" t="s">
        <v>93</v>
      </c>
    </row>
    <row r="176" spans="1:14" s="5" customFormat="1">
      <c r="A176" s="18" t="s">
        <v>1068</v>
      </c>
      <c r="B176" s="5">
        <v>11</v>
      </c>
      <c r="C176" s="5" t="s">
        <v>47</v>
      </c>
      <c r="F176" s="5" t="s">
        <v>447</v>
      </c>
      <c r="G176" s="5" t="s">
        <v>373</v>
      </c>
      <c r="H176" s="5" t="s">
        <v>1498</v>
      </c>
      <c r="L176" s="5" t="str">
        <f t="shared" ref="L176:L179" si="33">_xlfn.TEXTJOIN("", TRUE, E176:K176)</f>
        <v>01_Textgattung/03_Hymnus/05_Dd=f/0010_Dd_01.png</v>
      </c>
      <c r="N176" s="5" t="s">
        <v>93</v>
      </c>
    </row>
    <row r="177" spans="1:14" s="5" customFormat="1">
      <c r="A177" s="18" t="s">
        <v>1068</v>
      </c>
      <c r="B177" s="5">
        <v>12</v>
      </c>
      <c r="C177" s="5" t="s">
        <v>47</v>
      </c>
      <c r="F177" s="5" t="s">
        <v>447</v>
      </c>
      <c r="G177" s="5" t="s">
        <v>373</v>
      </c>
      <c r="H177" s="5" t="s">
        <v>1499</v>
      </c>
      <c r="L177" s="5" t="str">
        <f t="shared" si="33"/>
        <v>01_Textgattung/03_Hymnus/05_Dd=f/0020_Dd_seitMR_01.png</v>
      </c>
      <c r="N177" s="5" t="s">
        <v>93</v>
      </c>
    </row>
    <row r="178" spans="1:14" s="5" customFormat="1">
      <c r="A178" s="18" t="s">
        <v>1068</v>
      </c>
      <c r="B178" s="5">
        <v>13</v>
      </c>
      <c r="C178" s="5" t="s">
        <v>45</v>
      </c>
      <c r="D178" s="5" t="s">
        <v>1128</v>
      </c>
      <c r="N178" s="5" t="s">
        <v>93</v>
      </c>
    </row>
    <row r="179" spans="1:14" s="5" customFormat="1">
      <c r="A179" s="18" t="s">
        <v>1068</v>
      </c>
      <c r="B179" s="5">
        <v>14</v>
      </c>
      <c r="C179" s="5" t="s">
        <v>47</v>
      </c>
      <c r="F179" s="5" t="s">
        <v>447</v>
      </c>
      <c r="G179" s="5" t="s">
        <v>373</v>
      </c>
      <c r="H179" s="5" t="s">
        <v>1500</v>
      </c>
      <c r="L179" s="5" t="str">
        <f t="shared" si="33"/>
        <v>01_Textgattung/03_Hymnus/05_Dd=f/0030_Dd_Sp_Gr_01.png</v>
      </c>
      <c r="N179" s="5" t="s">
        <v>93</v>
      </c>
    </row>
    <row r="180" spans="1:14" s="5" customFormat="1">
      <c r="A180" s="18" t="s">
        <v>1068</v>
      </c>
      <c r="B180" s="5">
        <v>15</v>
      </c>
      <c r="C180" s="5" t="s">
        <v>45</v>
      </c>
      <c r="D180" s="5" t="s">
        <v>1503</v>
      </c>
      <c r="N180" s="5" t="s">
        <v>93</v>
      </c>
    </row>
    <row r="181" spans="1:14" s="5" customFormat="1">
      <c r="A181" s="18" t="s">
        <v>1068</v>
      </c>
      <c r="B181" s="5">
        <v>16</v>
      </c>
      <c r="C181" s="5" t="s">
        <v>47</v>
      </c>
      <c r="F181" s="5" t="s">
        <v>447</v>
      </c>
      <c r="G181" s="5" t="s">
        <v>373</v>
      </c>
      <c r="H181" s="5" t="s">
        <v>1501</v>
      </c>
      <c r="L181" s="5" t="str">
        <f t="shared" ref="L181" si="34">_xlfn.TEXTJOIN("", TRUE, E181:K181)</f>
        <v>01_Textgattung/03_Hymnus/05_Dd=f/0040_Dd_Gr_01.png</v>
      </c>
      <c r="N181" s="5" t="s">
        <v>93</v>
      </c>
    </row>
    <row r="182" spans="1:14" s="5" customFormat="1">
      <c r="A182" s="18" t="s">
        <v>1068</v>
      </c>
      <c r="B182" s="5">
        <v>17</v>
      </c>
      <c r="C182" s="5" t="s">
        <v>45</v>
      </c>
      <c r="D182" s="5" t="s">
        <v>1131</v>
      </c>
      <c r="N182" s="5" t="s">
        <v>93</v>
      </c>
    </row>
    <row r="183" spans="1:14" s="5" customFormat="1">
      <c r="A183" s="18" t="s">
        <v>1068</v>
      </c>
      <c r="B183" s="5">
        <v>18</v>
      </c>
      <c r="C183" s="5" t="s">
        <v>47</v>
      </c>
      <c r="F183" s="5" t="s">
        <v>447</v>
      </c>
      <c r="G183" s="5" t="s">
        <v>373</v>
      </c>
      <c r="H183" s="5" t="s">
        <v>1502</v>
      </c>
      <c r="L183" s="5" t="str">
        <f t="shared" ref="L183" si="35">_xlfn.TEXTJOIN("", TRUE, E183:K183)</f>
        <v>01_Textgattung/03_Hymnus/05_Dd=f/0050_Dd_Gr_02.png</v>
      </c>
      <c r="N183" s="5" t="s">
        <v>93</v>
      </c>
    </row>
    <row r="184" spans="1:14" s="5" customFormat="1">
      <c r="A184" s="18" t="s">
        <v>1068</v>
      </c>
      <c r="B184" s="5">
        <v>19</v>
      </c>
      <c r="C184" s="5" t="s">
        <v>45</v>
      </c>
      <c r="D184" s="5" t="s">
        <v>1131</v>
      </c>
      <c r="N184" s="5" t="s">
        <v>93</v>
      </c>
    </row>
    <row r="185" spans="1:14" s="5" customFormat="1">
      <c r="A185" s="18" t="s">
        <v>1068</v>
      </c>
      <c r="B185" s="5">
        <v>20</v>
      </c>
      <c r="C185" s="5" t="s">
        <v>91</v>
      </c>
      <c r="N185" s="5" t="s">
        <v>93</v>
      </c>
    </row>
    <row r="186" spans="1:14" s="5" customFormat="1">
      <c r="A186" s="18"/>
    </row>
    <row r="187" spans="1:14" s="5" customFormat="1">
      <c r="A187" s="18" t="s">
        <v>1067</v>
      </c>
      <c r="B187" s="5">
        <v>1</v>
      </c>
      <c r="C187" s="5" t="s">
        <v>17</v>
      </c>
      <c r="D187" s="5" t="s">
        <v>1072</v>
      </c>
      <c r="N187" s="5" t="s">
        <v>92</v>
      </c>
    </row>
    <row r="188" spans="1:14" s="5" customFormat="1">
      <c r="A188" s="18" t="s">
        <v>1067</v>
      </c>
      <c r="B188" s="5">
        <v>2</v>
      </c>
      <c r="C188" s="5" t="s">
        <v>47</v>
      </c>
      <c r="F188" s="5" t="s">
        <v>447</v>
      </c>
      <c r="G188" s="5" t="s">
        <v>375</v>
      </c>
      <c r="H188" s="5" t="s">
        <v>1508</v>
      </c>
      <c r="L188" s="5" t="str">
        <f t="shared" ref="L188" si="36">_xlfn.TEXTJOIN("", TRUE, E188:K188)</f>
        <v>01_Textgattung/03_Hymnus/06_jnD-Hr/0001_jnD-Hr_01.png</v>
      </c>
      <c r="N188" s="5" t="s">
        <v>92</v>
      </c>
    </row>
    <row r="189" spans="1:14" s="5" customFormat="1">
      <c r="A189" s="18" t="s">
        <v>1067</v>
      </c>
      <c r="B189" s="5">
        <v>3</v>
      </c>
      <c r="C189" s="5" t="s">
        <v>47</v>
      </c>
      <c r="F189" s="5" t="s">
        <v>447</v>
      </c>
      <c r="G189" s="5" t="s">
        <v>375</v>
      </c>
      <c r="H189" s="5" t="s">
        <v>1509</v>
      </c>
      <c r="L189" s="5" t="str">
        <f t="shared" ref="L189:L203" si="37">_xlfn.TEXTJOIN("", TRUE, E189:K189)</f>
        <v>01_Textgattung/03_Hymnus/06_jnD-Hr/0010_jnD-Hr_01.png</v>
      </c>
      <c r="N189" s="5" t="s">
        <v>92</v>
      </c>
    </row>
    <row r="190" spans="1:14" s="5" customFormat="1">
      <c r="A190" s="18" t="s">
        <v>1067</v>
      </c>
      <c r="B190" s="5">
        <v>4</v>
      </c>
      <c r="C190" s="5" t="s">
        <v>47</v>
      </c>
      <c r="F190" s="5" t="s">
        <v>447</v>
      </c>
      <c r="G190" s="5" t="s">
        <v>375</v>
      </c>
      <c r="H190" s="5" t="s">
        <v>1510</v>
      </c>
      <c r="L190" s="5" t="str">
        <f t="shared" si="37"/>
        <v>01_Textgattung/03_Hymnus/06_jnD-Hr/0020_jnD-Hr_02.png</v>
      </c>
      <c r="N190" s="5" t="s">
        <v>92</v>
      </c>
    </row>
    <row r="191" spans="1:14" s="5" customFormat="1">
      <c r="A191" s="18" t="s">
        <v>1067</v>
      </c>
      <c r="B191" s="5">
        <v>5</v>
      </c>
      <c r="C191" s="5" t="s">
        <v>47</v>
      </c>
      <c r="F191" s="5" t="s">
        <v>447</v>
      </c>
      <c r="G191" s="5" t="s">
        <v>375</v>
      </c>
      <c r="H191" s="5" t="s">
        <v>1511</v>
      </c>
      <c r="L191" s="5" t="str">
        <f t="shared" si="37"/>
        <v>01_Textgattung/03_Hymnus/06_jnD-Hr/0030_jnD-Hr_AR_01.png</v>
      </c>
      <c r="N191" s="5" t="s">
        <v>92</v>
      </c>
    </row>
    <row r="192" spans="1:14" s="5" customFormat="1">
      <c r="A192" s="18" t="s">
        <v>1067</v>
      </c>
      <c r="B192" s="5">
        <v>6</v>
      </c>
      <c r="C192" s="5" t="s">
        <v>45</v>
      </c>
      <c r="D192" s="5" t="s">
        <v>1130</v>
      </c>
      <c r="N192" s="5" t="s">
        <v>92</v>
      </c>
    </row>
    <row r="193" spans="1:14" s="5" customFormat="1">
      <c r="A193" s="18" t="s">
        <v>1067</v>
      </c>
      <c r="B193" s="5">
        <v>7</v>
      </c>
      <c r="C193" s="5" t="s">
        <v>47</v>
      </c>
      <c r="F193" s="5" t="s">
        <v>447</v>
      </c>
      <c r="G193" s="5" t="s">
        <v>375</v>
      </c>
      <c r="H193" s="5" t="s">
        <v>1512</v>
      </c>
      <c r="L193" s="5" t="str">
        <f t="shared" si="37"/>
        <v>01_Textgattung/03_Hymnus/06_jnD-Hr/0040_jnD-Hr_AR_MR_01.png</v>
      </c>
      <c r="N193" s="5" t="s">
        <v>92</v>
      </c>
    </row>
    <row r="194" spans="1:14" s="5" customFormat="1">
      <c r="A194" s="18" t="s">
        <v>1067</v>
      </c>
      <c r="B194" s="5">
        <v>8</v>
      </c>
      <c r="C194" s="5" t="s">
        <v>45</v>
      </c>
      <c r="D194" s="5" t="s">
        <v>1125</v>
      </c>
      <c r="N194" s="5" t="s">
        <v>92</v>
      </c>
    </row>
    <row r="195" spans="1:14" s="5" customFormat="1">
      <c r="A195" s="18" t="s">
        <v>1067</v>
      </c>
      <c r="B195" s="5">
        <v>9</v>
      </c>
      <c r="C195" s="5" t="s">
        <v>47</v>
      </c>
      <c r="F195" s="5" t="s">
        <v>447</v>
      </c>
      <c r="G195" s="5" t="s">
        <v>375</v>
      </c>
      <c r="H195" s="5" t="s">
        <v>1513</v>
      </c>
      <c r="L195" s="5" t="str">
        <f t="shared" si="37"/>
        <v>01_Textgattung/03_Hymnus/06_jnD-Hr/0050_jnD-Hr_AR_MR_02.png</v>
      </c>
      <c r="N195" s="5" t="s">
        <v>92</v>
      </c>
    </row>
    <row r="196" spans="1:14" s="5" customFormat="1">
      <c r="A196" s="18" t="s">
        <v>1067</v>
      </c>
      <c r="B196" s="5">
        <v>10</v>
      </c>
      <c r="C196" s="5" t="s">
        <v>45</v>
      </c>
      <c r="D196" s="5" t="s">
        <v>1125</v>
      </c>
      <c r="N196" s="5" t="s">
        <v>92</v>
      </c>
    </row>
    <row r="197" spans="1:14" s="5" customFormat="1">
      <c r="A197" s="18" t="s">
        <v>1067</v>
      </c>
      <c r="B197" s="5">
        <v>11</v>
      </c>
      <c r="C197" s="5" t="s">
        <v>47</v>
      </c>
      <c r="F197" s="5" t="s">
        <v>447</v>
      </c>
      <c r="G197" s="5" t="s">
        <v>375</v>
      </c>
      <c r="H197" s="5" t="s">
        <v>1514</v>
      </c>
      <c r="L197" s="5" t="str">
        <f t="shared" si="37"/>
        <v>01_Textgattung/03_Hymnus/06_jnD-Hr/0060_jnD-Hr_NR_01.png</v>
      </c>
      <c r="N197" s="5" t="s">
        <v>92</v>
      </c>
    </row>
    <row r="198" spans="1:14" s="5" customFormat="1">
      <c r="A198" s="18" t="s">
        <v>1067</v>
      </c>
      <c r="B198" s="5">
        <v>12</v>
      </c>
      <c r="C198" s="5" t="s">
        <v>45</v>
      </c>
      <c r="D198" s="5" t="s">
        <v>1129</v>
      </c>
      <c r="N198" s="5" t="s">
        <v>92</v>
      </c>
    </row>
    <row r="199" spans="1:14" s="5" customFormat="1">
      <c r="A199" s="18" t="s">
        <v>1067</v>
      </c>
      <c r="B199" s="5">
        <v>13</v>
      </c>
      <c r="C199" s="5" t="s">
        <v>47</v>
      </c>
      <c r="F199" s="5" t="s">
        <v>447</v>
      </c>
      <c r="G199" s="5" t="s">
        <v>375</v>
      </c>
      <c r="H199" s="5" t="s">
        <v>1515</v>
      </c>
      <c r="L199" s="5" t="str">
        <f t="shared" si="37"/>
        <v>01_Textgattung/03_Hymnus/06_jnD-Hr/0070_jnD-Hr_D18_01.png</v>
      </c>
      <c r="N199" s="5" t="s">
        <v>92</v>
      </c>
    </row>
    <row r="200" spans="1:14" s="5" customFormat="1">
      <c r="A200" s="18" t="s">
        <v>1067</v>
      </c>
      <c r="B200" s="5">
        <v>14</v>
      </c>
      <c r="C200" s="5" t="s">
        <v>45</v>
      </c>
      <c r="D200" s="5" t="s">
        <v>1413</v>
      </c>
      <c r="N200" s="5" t="s">
        <v>92</v>
      </c>
    </row>
    <row r="201" spans="1:14" s="5" customFormat="1">
      <c r="A201" s="18" t="s">
        <v>1067</v>
      </c>
      <c r="B201" s="5">
        <v>15</v>
      </c>
      <c r="C201" s="5" t="s">
        <v>47</v>
      </c>
      <c r="F201" s="5" t="s">
        <v>447</v>
      </c>
      <c r="G201" s="5" t="s">
        <v>375</v>
      </c>
      <c r="H201" s="5" t="s">
        <v>1516</v>
      </c>
      <c r="L201" s="5" t="str">
        <f t="shared" si="37"/>
        <v>01_Textgattung/03_Hymnus/06_jnD-Hr/0080_jnD-Hr_Gr_01.png</v>
      </c>
      <c r="N201" s="5" t="s">
        <v>92</v>
      </c>
    </row>
    <row r="202" spans="1:14" s="5" customFormat="1">
      <c r="A202" s="18" t="s">
        <v>1067</v>
      </c>
      <c r="B202" s="5">
        <v>16</v>
      </c>
      <c r="C202" s="5" t="s">
        <v>45</v>
      </c>
      <c r="D202" s="5" t="s">
        <v>1131</v>
      </c>
      <c r="N202" s="5" t="s">
        <v>92</v>
      </c>
    </row>
    <row r="203" spans="1:14" s="5" customFormat="1">
      <c r="A203" s="18" t="s">
        <v>1067</v>
      </c>
      <c r="B203" s="5">
        <v>17</v>
      </c>
      <c r="C203" s="5" t="s">
        <v>47</v>
      </c>
      <c r="F203" s="5" t="s">
        <v>447</v>
      </c>
      <c r="G203" s="5" t="s">
        <v>375</v>
      </c>
      <c r="H203" s="5" t="s">
        <v>1517</v>
      </c>
      <c r="L203" s="5" t="str">
        <f t="shared" si="37"/>
        <v>01_Textgattung/03_Hymnus/06_jnD-Hr/0090_jnD-Hr_Gr_02.png</v>
      </c>
      <c r="N203" s="5" t="s">
        <v>92</v>
      </c>
    </row>
    <row r="204" spans="1:14" s="5" customFormat="1">
      <c r="A204" s="18" t="s">
        <v>1067</v>
      </c>
      <c r="B204" s="5">
        <v>18</v>
      </c>
      <c r="C204" s="5" t="s">
        <v>45</v>
      </c>
      <c r="D204" s="5" t="s">
        <v>1131</v>
      </c>
      <c r="N204" s="5" t="s">
        <v>92</v>
      </c>
    </row>
    <row r="205" spans="1:14" s="5" customFormat="1">
      <c r="A205" s="18" t="s">
        <v>1067</v>
      </c>
      <c r="B205" s="5">
        <v>19</v>
      </c>
      <c r="C205" s="5" t="s">
        <v>91</v>
      </c>
      <c r="N205" s="5" t="s">
        <v>92</v>
      </c>
    </row>
    <row r="213" spans="1:14" s="6" customFormat="1">
      <c r="A213" s="20" t="s">
        <v>445</v>
      </c>
      <c r="B213" s="6">
        <v>1</v>
      </c>
      <c r="C213" s="6" t="s">
        <v>46</v>
      </c>
      <c r="D213" s="6" t="s">
        <v>324</v>
      </c>
      <c r="M213" s="6" t="s">
        <v>325</v>
      </c>
      <c r="N213" s="6" t="s">
        <v>90</v>
      </c>
    </row>
    <row r="214" spans="1:14" s="6" customFormat="1">
      <c r="A214" s="20" t="s">
        <v>445</v>
      </c>
      <c r="B214" s="6">
        <v>2</v>
      </c>
      <c r="C214" s="6" t="s">
        <v>46</v>
      </c>
      <c r="D214" s="6" t="s">
        <v>48</v>
      </c>
      <c r="M214" s="6" t="s">
        <v>97</v>
      </c>
      <c r="N214" s="6" t="s">
        <v>90</v>
      </c>
    </row>
    <row r="215" spans="1:14" s="6" customFormat="1">
      <c r="A215" s="20" t="s">
        <v>445</v>
      </c>
      <c r="B215" s="6">
        <v>3</v>
      </c>
      <c r="C215" s="6" t="s">
        <v>47</v>
      </c>
      <c r="F215" s="6" t="s">
        <v>456</v>
      </c>
      <c r="G215" s="6" t="s">
        <v>449</v>
      </c>
      <c r="H215" s="6" t="s">
        <v>448</v>
      </c>
      <c r="I215" s="6" t="s">
        <v>112</v>
      </c>
      <c r="L215" s="6" t="str">
        <f t="shared" ref="L215" si="38">_xlfn.TEXTJOIN("", TRUE, E215:K215)</f>
        <v>01_Textgattung/04_Koenig-geliebt-von-Gottheit-Formel/01_mry/0001_mry_01.png</v>
      </c>
      <c r="N215" s="6" t="s">
        <v>90</v>
      </c>
    </row>
    <row r="216" spans="1:14" s="6" customFormat="1">
      <c r="A216" s="20" t="s">
        <v>445</v>
      </c>
      <c r="B216" s="6">
        <v>4</v>
      </c>
      <c r="C216" s="6" t="s">
        <v>45</v>
      </c>
      <c r="D216" s="6" t="s">
        <v>446</v>
      </c>
      <c r="N216" s="6" t="s">
        <v>90</v>
      </c>
    </row>
    <row r="217" spans="1:14" s="6" customFormat="1">
      <c r="A217" s="20" t="s">
        <v>445</v>
      </c>
      <c r="B217" s="6">
        <v>5</v>
      </c>
      <c r="C217" s="6" t="s">
        <v>91</v>
      </c>
      <c r="N217" s="6" t="s">
        <v>90</v>
      </c>
    </row>
    <row r="218" spans="1:14" s="6" customFormat="1">
      <c r="A218" s="20" t="s">
        <v>450</v>
      </c>
      <c r="B218" s="6">
        <v>6</v>
      </c>
      <c r="C218" s="6" t="s">
        <v>17</v>
      </c>
      <c r="D218" s="6" t="s">
        <v>446</v>
      </c>
      <c r="N218" s="6" t="s">
        <v>92</v>
      </c>
    </row>
    <row r="219" spans="1:14" s="6" customFormat="1">
      <c r="A219" s="20" t="s">
        <v>450</v>
      </c>
      <c r="B219" s="6">
        <v>7</v>
      </c>
      <c r="C219" s="6" t="s">
        <v>47</v>
      </c>
      <c r="F219" s="6" t="s">
        <v>456</v>
      </c>
      <c r="G219" s="6" t="s">
        <v>449</v>
      </c>
      <c r="H219" s="6" t="s">
        <v>448</v>
      </c>
      <c r="I219" s="6" t="s">
        <v>112</v>
      </c>
      <c r="L219" s="6" t="str">
        <f t="shared" ref="L219" si="39">_xlfn.TEXTJOIN("", TRUE, E219:K219)</f>
        <v>01_Textgattung/04_Koenig-geliebt-von-Gottheit-Formel/01_mry/0001_mry_01.png</v>
      </c>
      <c r="N219" s="6" t="s">
        <v>92</v>
      </c>
    </row>
    <row r="220" spans="1:14" s="6" customFormat="1">
      <c r="A220" s="20" t="s">
        <v>450</v>
      </c>
      <c r="B220" s="6">
        <v>8</v>
      </c>
      <c r="C220" s="6" t="s">
        <v>47</v>
      </c>
      <c r="F220" s="6" t="s">
        <v>456</v>
      </c>
      <c r="G220" s="6" t="s">
        <v>449</v>
      </c>
      <c r="H220" s="6" t="s">
        <v>451</v>
      </c>
      <c r="I220" s="6" t="s">
        <v>112</v>
      </c>
      <c r="L220" s="6" t="str">
        <f t="shared" ref="L220:L223" si="40">_xlfn.TEXTJOIN("", TRUE, E220:K220)</f>
        <v>01_Textgattung/04_Koenig-geliebt-von-Gottheit-Formel/01_mry/0010_mry_02.png</v>
      </c>
      <c r="N220" s="6" t="s">
        <v>92</v>
      </c>
    </row>
    <row r="221" spans="1:14" s="6" customFormat="1">
      <c r="A221" s="20" t="s">
        <v>450</v>
      </c>
      <c r="B221" s="6">
        <v>9</v>
      </c>
      <c r="C221" s="6" t="s">
        <v>47</v>
      </c>
      <c r="F221" s="6" t="s">
        <v>456</v>
      </c>
      <c r="G221" s="6" t="s">
        <v>449</v>
      </c>
      <c r="H221" s="6" t="s">
        <v>452</v>
      </c>
      <c r="I221" s="6" t="s">
        <v>112</v>
      </c>
      <c r="L221" s="6" t="str">
        <f t="shared" si="40"/>
        <v>01_Textgattung/04_Koenig-geliebt-von-Gottheit-Formel/01_mry/0020_mry_03.png</v>
      </c>
      <c r="N221" s="6" t="s">
        <v>92</v>
      </c>
    </row>
    <row r="222" spans="1:14" s="6" customFormat="1">
      <c r="A222" s="20" t="s">
        <v>450</v>
      </c>
      <c r="B222" s="6">
        <v>10</v>
      </c>
      <c r="C222" s="6" t="s">
        <v>47</v>
      </c>
      <c r="F222" s="6" t="s">
        <v>456</v>
      </c>
      <c r="G222" s="6" t="s">
        <v>449</v>
      </c>
      <c r="H222" s="6" t="s">
        <v>453</v>
      </c>
      <c r="I222" s="6" t="s">
        <v>112</v>
      </c>
      <c r="L222" s="6" t="str">
        <f t="shared" si="40"/>
        <v>01_Textgattung/04_Koenig-geliebt-von-Gottheit-Formel/01_mry/0030_mry_04.png</v>
      </c>
      <c r="N222" s="6" t="s">
        <v>92</v>
      </c>
    </row>
    <row r="223" spans="1:14" s="6" customFormat="1">
      <c r="A223" s="20" t="s">
        <v>450</v>
      </c>
      <c r="B223" s="6">
        <v>11</v>
      </c>
      <c r="C223" s="6" t="s">
        <v>47</v>
      </c>
      <c r="F223" s="6" t="s">
        <v>456</v>
      </c>
      <c r="G223" s="6" t="s">
        <v>449</v>
      </c>
      <c r="H223" s="6" t="s">
        <v>454</v>
      </c>
      <c r="I223" s="6" t="s">
        <v>112</v>
      </c>
      <c r="L223" s="6" t="str">
        <f t="shared" si="40"/>
        <v>01_Textgattung/04_Koenig-geliebt-von-Gottheit-Formel/01_mry/0040_mry_05.png</v>
      </c>
      <c r="N223" s="6" t="s">
        <v>92</v>
      </c>
    </row>
    <row r="224" spans="1:14" s="6" customFormat="1">
      <c r="A224" s="20" t="s">
        <v>450</v>
      </c>
      <c r="B224" s="6">
        <v>12</v>
      </c>
      <c r="C224" s="6" t="s">
        <v>47</v>
      </c>
      <c r="F224" s="6" t="s">
        <v>456</v>
      </c>
      <c r="G224" s="6" t="s">
        <v>449</v>
      </c>
      <c r="H224" s="6" t="s">
        <v>455</v>
      </c>
      <c r="I224" s="6" t="s">
        <v>112</v>
      </c>
      <c r="L224" s="6" t="str">
        <f t="shared" ref="L224" si="41">_xlfn.TEXTJOIN("", TRUE, E224:K224)</f>
        <v>01_Textgattung/04_Koenig-geliebt-von-Gottheit-Formel/01_mry/0050_mry_AR_02.png</v>
      </c>
      <c r="N224" s="6" t="s">
        <v>92</v>
      </c>
    </row>
    <row r="225" spans="1:14" s="6" customFormat="1">
      <c r="A225" s="20" t="s">
        <v>450</v>
      </c>
      <c r="B225" s="6">
        <v>13</v>
      </c>
      <c r="C225" s="6" t="s">
        <v>45</v>
      </c>
      <c r="D225" s="6" t="s">
        <v>1130</v>
      </c>
      <c r="N225" s="6" t="s">
        <v>92</v>
      </c>
    </row>
    <row r="227" spans="1:14" s="7" customFormat="1">
      <c r="A227" s="7" t="s">
        <v>458</v>
      </c>
      <c r="B227" s="7">
        <v>1</v>
      </c>
      <c r="C227" s="7" t="s">
        <v>46</v>
      </c>
      <c r="D227" s="7" t="s">
        <v>476</v>
      </c>
      <c r="M227" s="7" t="s">
        <v>461</v>
      </c>
      <c r="N227" s="7" t="s">
        <v>90</v>
      </c>
    </row>
    <row r="228" spans="1:14" s="7" customFormat="1">
      <c r="A228" s="7" t="s">
        <v>458</v>
      </c>
      <c r="B228" s="7">
        <v>2</v>
      </c>
      <c r="C228" s="7" t="s">
        <v>47</v>
      </c>
      <c r="F228" s="7" t="s">
        <v>464</v>
      </c>
      <c r="G228" s="7" t="s">
        <v>465</v>
      </c>
      <c r="H228" s="7" t="s">
        <v>467</v>
      </c>
      <c r="I228" s="7" t="s">
        <v>112</v>
      </c>
      <c r="L228" s="7" t="str">
        <f t="shared" ref="L228" si="42">_xlfn.TEXTJOIN("", TRUE, E228:K228)</f>
        <v>01_Textgattung/05_Historische-Koenigsinschrift/01_xr-Hm-n/0001_xr Hm n_01.png</v>
      </c>
      <c r="N228" s="7" t="s">
        <v>90</v>
      </c>
    </row>
    <row r="229" spans="1:14" s="7" customFormat="1">
      <c r="A229" s="7" t="s">
        <v>458</v>
      </c>
      <c r="B229" s="7">
        <v>3</v>
      </c>
      <c r="C229" s="7" t="s">
        <v>45</v>
      </c>
      <c r="D229" s="7" t="s">
        <v>466</v>
      </c>
      <c r="N229" s="7" t="s">
        <v>90</v>
      </c>
    </row>
    <row r="230" spans="1:14" s="7" customFormat="1">
      <c r="A230" s="7" t="s">
        <v>458</v>
      </c>
      <c r="B230" s="7">
        <v>4</v>
      </c>
      <c r="C230" s="7" t="s">
        <v>46</v>
      </c>
      <c r="D230" s="7" t="s">
        <v>324</v>
      </c>
      <c r="M230" s="7" t="s">
        <v>325</v>
      </c>
      <c r="N230" s="7" t="s">
        <v>90</v>
      </c>
    </row>
    <row r="231" spans="1:14" s="7" customFormat="1">
      <c r="A231" s="7" t="s">
        <v>458</v>
      </c>
      <c r="B231" s="7">
        <v>5</v>
      </c>
      <c r="C231" s="7" t="s">
        <v>45</v>
      </c>
      <c r="D231" s="7" t="s">
        <v>1586</v>
      </c>
      <c r="N231" s="7" t="s">
        <v>90</v>
      </c>
    </row>
    <row r="232" spans="1:14" s="7" customFormat="1">
      <c r="A232" s="7" t="s">
        <v>458</v>
      </c>
      <c r="B232" s="7">
        <v>6</v>
      </c>
      <c r="C232" s="7" t="s">
        <v>91</v>
      </c>
      <c r="N232" s="7" t="s">
        <v>90</v>
      </c>
    </row>
    <row r="233" spans="1:14" s="7" customFormat="1">
      <c r="A233" s="7" t="s">
        <v>459</v>
      </c>
      <c r="B233" s="7">
        <v>7</v>
      </c>
      <c r="C233" s="7" t="s">
        <v>17</v>
      </c>
      <c r="D233" s="7" t="s">
        <v>471</v>
      </c>
      <c r="N233" s="7" t="s">
        <v>92</v>
      </c>
    </row>
    <row r="234" spans="1:14" s="7" customFormat="1">
      <c r="A234" s="7" t="s">
        <v>459</v>
      </c>
      <c r="B234" s="7">
        <v>8</v>
      </c>
      <c r="C234" s="7" t="s">
        <v>47</v>
      </c>
      <c r="F234" s="7" t="s">
        <v>464</v>
      </c>
      <c r="G234" s="7" t="s">
        <v>465</v>
      </c>
      <c r="H234" s="7" t="s">
        <v>467</v>
      </c>
      <c r="I234" s="7" t="s">
        <v>112</v>
      </c>
      <c r="L234" s="7" t="str">
        <f t="shared" ref="L234" si="43">_xlfn.TEXTJOIN("", TRUE, E234:K234)</f>
        <v>01_Textgattung/05_Historische-Koenigsinschrift/01_xr-Hm-n/0001_xr Hm n_01.png</v>
      </c>
      <c r="N234" s="7" t="s">
        <v>92</v>
      </c>
    </row>
    <row r="235" spans="1:14" s="7" customFormat="1">
      <c r="A235" s="7" t="s">
        <v>459</v>
      </c>
      <c r="B235" s="7">
        <v>9</v>
      </c>
      <c r="C235" s="7" t="s">
        <v>47</v>
      </c>
      <c r="F235" s="7" t="s">
        <v>464</v>
      </c>
      <c r="G235" s="7" t="s">
        <v>465</v>
      </c>
      <c r="H235" s="7" t="s">
        <v>473</v>
      </c>
      <c r="I235" s="7" t="s">
        <v>112</v>
      </c>
      <c r="L235" s="7" t="str">
        <f t="shared" ref="L235:L237" si="44">_xlfn.TEXTJOIN("", TRUE, E235:K235)</f>
        <v>01_Textgattung/05_Historische-Koenigsinschrift/01_xr-Hm-n/0010_xr Hm n_02.png</v>
      </c>
      <c r="N235" s="7" t="s">
        <v>92</v>
      </c>
    </row>
    <row r="236" spans="1:14" s="7" customFormat="1">
      <c r="A236" s="7" t="s">
        <v>459</v>
      </c>
      <c r="B236" s="7">
        <v>10</v>
      </c>
      <c r="C236" s="7" t="s">
        <v>47</v>
      </c>
      <c r="F236" s="7" t="s">
        <v>464</v>
      </c>
      <c r="G236" s="7" t="s">
        <v>465</v>
      </c>
      <c r="H236" s="7" t="s">
        <v>474</v>
      </c>
      <c r="I236" s="7" t="s">
        <v>112</v>
      </c>
      <c r="L236" s="7" t="str">
        <f t="shared" si="44"/>
        <v>01_Textgattung/05_Historische-Koenigsinschrift/01_xr-Hm-n/0020_Hm n_01.png</v>
      </c>
      <c r="N236" s="7" t="s">
        <v>92</v>
      </c>
    </row>
    <row r="237" spans="1:14" s="7" customFormat="1">
      <c r="A237" s="7" t="s">
        <v>459</v>
      </c>
      <c r="B237" s="7">
        <v>11</v>
      </c>
      <c r="C237" s="7" t="s">
        <v>47</v>
      </c>
      <c r="F237" s="7" t="s">
        <v>464</v>
      </c>
      <c r="G237" s="7" t="s">
        <v>465</v>
      </c>
      <c r="H237" s="7" t="s">
        <v>475</v>
      </c>
      <c r="I237" s="7" t="s">
        <v>112</v>
      </c>
      <c r="L237" s="7" t="str">
        <f t="shared" si="44"/>
        <v>01_Textgattung/05_Historische-Koenigsinschrift/01_xr-Hm-n/0030_Hm n_02.png</v>
      </c>
      <c r="N237" s="7" t="s">
        <v>92</v>
      </c>
    </row>
    <row r="238" spans="1:14" s="7" customFormat="1">
      <c r="A238" s="7" t="s">
        <v>459</v>
      </c>
      <c r="B238" s="7">
        <v>12</v>
      </c>
      <c r="C238" s="7" t="s">
        <v>17</v>
      </c>
      <c r="D238" s="7" t="s">
        <v>470</v>
      </c>
      <c r="N238" s="7" t="s">
        <v>93</v>
      </c>
    </row>
    <row r="239" spans="1:14" s="7" customFormat="1">
      <c r="A239" s="7" t="s">
        <v>459</v>
      </c>
      <c r="B239" s="7">
        <v>13</v>
      </c>
      <c r="C239" s="7" t="s">
        <v>47</v>
      </c>
      <c r="F239" s="7" t="s">
        <v>468</v>
      </c>
      <c r="H239" s="7" t="s">
        <v>469</v>
      </c>
      <c r="I239" s="7" t="s">
        <v>112</v>
      </c>
      <c r="L239" s="7" t="str">
        <f t="shared" ref="L239" si="45">_xlfn.TEXTJOIN("", TRUE, E239:K239)</f>
        <v>02_Slots/Koenig/04_Thronname_01.png</v>
      </c>
      <c r="N239" s="7" t="s">
        <v>93</v>
      </c>
    </row>
    <row r="240" spans="1:14" s="7" customFormat="1">
      <c r="A240" s="7" t="s">
        <v>459</v>
      </c>
      <c r="B240" s="7">
        <v>14</v>
      </c>
      <c r="C240" s="7" t="s">
        <v>47</v>
      </c>
      <c r="F240" s="7" t="s">
        <v>468</v>
      </c>
      <c r="H240" s="7" t="s">
        <v>472</v>
      </c>
      <c r="I240" s="7" t="s">
        <v>112</v>
      </c>
      <c r="L240" s="7" t="str">
        <f t="shared" ref="L240" si="46">_xlfn.TEXTJOIN("", TRUE, E240:K240)</f>
        <v>02_Slots/Koenig/04_Thronname_Gr._02.png</v>
      </c>
      <c r="N240" s="7" t="s">
        <v>93</v>
      </c>
    </row>
    <row r="241" spans="1:14" s="7" customFormat="1">
      <c r="A241" s="7" t="s">
        <v>459</v>
      </c>
      <c r="B241" s="7">
        <v>15</v>
      </c>
      <c r="C241" s="7" t="s">
        <v>45</v>
      </c>
      <c r="D241" s="7" t="s">
        <v>1131</v>
      </c>
      <c r="N241" s="7" t="s">
        <v>93</v>
      </c>
    </row>
    <row r="243" spans="1:14" s="8" customFormat="1">
      <c r="A243" s="8" t="s">
        <v>536</v>
      </c>
      <c r="B243" s="8">
        <v>1</v>
      </c>
      <c r="C243" s="8" t="s">
        <v>45</v>
      </c>
      <c r="D243" s="8" t="s">
        <v>535</v>
      </c>
      <c r="N243" s="8" t="s">
        <v>90</v>
      </c>
    </row>
    <row r="244" spans="1:14" s="8" customFormat="1">
      <c r="A244" s="8" t="s">
        <v>536</v>
      </c>
      <c r="B244" s="8">
        <v>2</v>
      </c>
      <c r="C244" s="8" t="s">
        <v>45</v>
      </c>
      <c r="D244" s="8" t="s">
        <v>555</v>
      </c>
      <c r="N244" s="8" t="s">
        <v>90</v>
      </c>
    </row>
    <row r="245" spans="1:14" s="8" customFormat="1">
      <c r="A245" s="8" t="s">
        <v>536</v>
      </c>
      <c r="B245" s="8">
        <v>3</v>
      </c>
      <c r="C245" s="8" t="s">
        <v>46</v>
      </c>
      <c r="D245" s="8" t="s">
        <v>537</v>
      </c>
      <c r="M245" s="8" t="s">
        <v>540</v>
      </c>
      <c r="N245" s="8" t="s">
        <v>90</v>
      </c>
    </row>
    <row r="246" spans="1:14" s="8" customFormat="1">
      <c r="A246" s="8" t="s">
        <v>536</v>
      </c>
      <c r="B246" s="8">
        <v>4</v>
      </c>
      <c r="C246" s="8" t="s">
        <v>46</v>
      </c>
      <c r="D246" s="8" t="s">
        <v>541</v>
      </c>
      <c r="M246" s="8" t="s">
        <v>1376</v>
      </c>
      <c r="N246" s="8" t="s">
        <v>90</v>
      </c>
    </row>
    <row r="247" spans="1:14" s="8" customFormat="1">
      <c r="A247" s="8" t="s">
        <v>536</v>
      </c>
      <c r="B247" s="8">
        <v>5</v>
      </c>
      <c r="C247" s="8" t="s">
        <v>91</v>
      </c>
      <c r="N247" s="8" t="s">
        <v>90</v>
      </c>
    </row>
    <row r="248" spans="1:14" s="8" customFormat="1">
      <c r="A248" s="24" t="s">
        <v>1351</v>
      </c>
      <c r="B248" s="8">
        <v>6</v>
      </c>
      <c r="C248" s="8" t="s">
        <v>45</v>
      </c>
      <c r="D248" s="8" t="s">
        <v>542</v>
      </c>
      <c r="N248" s="8" t="s">
        <v>90</v>
      </c>
    </row>
    <row r="249" spans="1:14" s="8" customFormat="1">
      <c r="A249" s="24" t="s">
        <v>1351</v>
      </c>
      <c r="B249" s="8">
        <v>7</v>
      </c>
      <c r="C249" s="8" t="s">
        <v>46</v>
      </c>
      <c r="D249" s="8" t="s">
        <v>48</v>
      </c>
      <c r="M249" s="8" t="s">
        <v>97</v>
      </c>
      <c r="N249" s="8" t="s">
        <v>90</v>
      </c>
    </row>
    <row r="250" spans="1:14" s="8" customFormat="1">
      <c r="A250" s="24" t="s">
        <v>1351</v>
      </c>
      <c r="B250" s="8">
        <v>8</v>
      </c>
      <c r="C250" s="8" t="s">
        <v>45</v>
      </c>
      <c r="D250" s="8" t="s">
        <v>326</v>
      </c>
      <c r="N250" s="8" t="s">
        <v>90</v>
      </c>
    </row>
    <row r="251" spans="1:14" s="8" customFormat="1">
      <c r="A251" s="24" t="s">
        <v>1351</v>
      </c>
      <c r="B251" s="8">
        <v>9</v>
      </c>
      <c r="C251" s="8" t="s">
        <v>46</v>
      </c>
      <c r="D251" s="8" t="s">
        <v>324</v>
      </c>
      <c r="M251" s="8" t="s">
        <v>325</v>
      </c>
      <c r="N251" s="8" t="s">
        <v>90</v>
      </c>
    </row>
    <row r="252" spans="1:14" s="8" customFormat="1">
      <c r="A252" s="24" t="s">
        <v>1351</v>
      </c>
      <c r="B252" s="8">
        <v>10</v>
      </c>
      <c r="C252" s="8" t="s">
        <v>45</v>
      </c>
      <c r="D252" s="8" t="s">
        <v>326</v>
      </c>
      <c r="N252" s="8" t="s">
        <v>90</v>
      </c>
    </row>
    <row r="253" spans="1:14" s="8" customFormat="1">
      <c r="A253" s="24" t="s">
        <v>1351</v>
      </c>
      <c r="B253" s="8">
        <v>11</v>
      </c>
      <c r="C253" s="8" t="s">
        <v>46</v>
      </c>
      <c r="D253" s="8" t="s">
        <v>50</v>
      </c>
      <c r="M253" s="8" t="s">
        <v>99</v>
      </c>
      <c r="N253" s="8" t="s">
        <v>90</v>
      </c>
    </row>
    <row r="254" spans="1:14" s="8" customFormat="1">
      <c r="A254" s="24" t="s">
        <v>1351</v>
      </c>
      <c r="B254" s="8">
        <v>12</v>
      </c>
      <c r="C254" s="8" t="s">
        <v>45</v>
      </c>
      <c r="D254" s="8" t="s">
        <v>326</v>
      </c>
      <c r="N254" s="8" t="s">
        <v>90</v>
      </c>
    </row>
    <row r="255" spans="1:14" s="8" customFormat="1">
      <c r="A255" s="24" t="s">
        <v>1351</v>
      </c>
      <c r="B255" s="8">
        <v>13</v>
      </c>
      <c r="C255" s="8" t="s">
        <v>45</v>
      </c>
      <c r="D255" s="8" t="s">
        <v>543</v>
      </c>
      <c r="N255" s="8" t="s">
        <v>90</v>
      </c>
    </row>
    <row r="257" spans="1:14" ht="17">
      <c r="A257" s="39" t="s">
        <v>1076</v>
      </c>
      <c r="B257" s="2">
        <v>1</v>
      </c>
      <c r="C257" s="2" t="s">
        <v>47</v>
      </c>
      <c r="F257" s="2" t="s">
        <v>1364</v>
      </c>
      <c r="G257" s="2" t="s">
        <v>1365</v>
      </c>
      <c r="H257" s="2" t="s">
        <v>1077</v>
      </c>
      <c r="I257" s="2" t="s">
        <v>112</v>
      </c>
      <c r="L257" s="2" t="str">
        <f t="shared" ref="L257" si="47">_xlfn.TEXTJOIN("", TRUE, E257:K257)</f>
        <v>01_Textgattung/07_Beischriften/03_Woertliche-Rede/01_Dd-mdw-jn/01_Dd-mdw/0001_Dd-mdw_01.png</v>
      </c>
      <c r="N257" s="2" t="s">
        <v>90</v>
      </c>
    </row>
    <row r="258" spans="1:14" ht="17">
      <c r="A258" s="39" t="s">
        <v>1076</v>
      </c>
      <c r="B258" s="2">
        <v>2</v>
      </c>
      <c r="C258" s="2" t="s">
        <v>45</v>
      </c>
      <c r="D258" s="2" t="s">
        <v>1078</v>
      </c>
      <c r="N258" s="2" t="s">
        <v>90</v>
      </c>
    </row>
    <row r="259" spans="1:14" ht="17">
      <c r="A259" s="39" t="s">
        <v>1076</v>
      </c>
      <c r="B259" s="2">
        <v>3</v>
      </c>
      <c r="C259" s="2" t="s">
        <v>47</v>
      </c>
      <c r="F259" s="2" t="s">
        <v>1364</v>
      </c>
      <c r="G259" s="2" t="s">
        <v>1415</v>
      </c>
      <c r="H259" s="2" t="s">
        <v>371</v>
      </c>
      <c r="I259" s="2" t="s">
        <v>112</v>
      </c>
      <c r="L259" s="2" t="str">
        <f t="shared" ref="L259" si="48">_xlfn.TEXTJOIN("", TRUE, E259:K259)</f>
        <v>01_Textgattung/07_Beischriften/03_Woertliche-Rede/01_Dd-mdw-jn/02_jn/0001_jn_01.png</v>
      </c>
      <c r="N259" s="2" t="s">
        <v>90</v>
      </c>
    </row>
    <row r="260" spans="1:14" ht="17">
      <c r="A260" s="39" t="s">
        <v>1076</v>
      </c>
      <c r="B260" s="2">
        <v>4</v>
      </c>
      <c r="C260" s="2" t="s">
        <v>45</v>
      </c>
      <c r="D260" s="2" t="s">
        <v>369</v>
      </c>
      <c r="N260" s="2" t="s">
        <v>90</v>
      </c>
    </row>
    <row r="261" spans="1:14" ht="17">
      <c r="A261" s="39" t="s">
        <v>1076</v>
      </c>
      <c r="B261" s="2">
        <v>5</v>
      </c>
      <c r="C261" s="2" t="s">
        <v>46</v>
      </c>
      <c r="D261" s="2" t="s">
        <v>48</v>
      </c>
      <c r="M261" s="2" t="s">
        <v>97</v>
      </c>
      <c r="N261" s="2" t="s">
        <v>90</v>
      </c>
    </row>
    <row r="262" spans="1:14" ht="17">
      <c r="A262" s="39" t="s">
        <v>1076</v>
      </c>
      <c r="B262" s="2">
        <v>6</v>
      </c>
      <c r="C262" s="2" t="s">
        <v>45</v>
      </c>
      <c r="D262" s="2" t="s">
        <v>326</v>
      </c>
      <c r="N262" s="2" t="s">
        <v>90</v>
      </c>
    </row>
    <row r="263" spans="1:14" ht="17">
      <c r="A263" s="39" t="s">
        <v>1076</v>
      </c>
      <c r="B263" s="2">
        <v>7</v>
      </c>
      <c r="C263" s="2" t="s">
        <v>46</v>
      </c>
      <c r="D263" s="2" t="s">
        <v>324</v>
      </c>
      <c r="M263" s="2" t="s">
        <v>325</v>
      </c>
      <c r="N263" s="2" t="s">
        <v>90</v>
      </c>
    </row>
    <row r="264" spans="1:14" ht="17">
      <c r="A264" s="39" t="s">
        <v>1076</v>
      </c>
      <c r="B264" s="2">
        <v>8</v>
      </c>
      <c r="C264" s="2" t="s">
        <v>45</v>
      </c>
      <c r="D264" s="2" t="s">
        <v>326</v>
      </c>
      <c r="N264" s="2" t="s">
        <v>90</v>
      </c>
    </row>
    <row r="265" spans="1:14" ht="17">
      <c r="A265" s="39" t="s">
        <v>1076</v>
      </c>
      <c r="B265" s="2">
        <v>9</v>
      </c>
      <c r="C265" s="2" t="s">
        <v>46</v>
      </c>
      <c r="D265" s="2" t="s">
        <v>50</v>
      </c>
      <c r="M265" s="2" t="s">
        <v>99</v>
      </c>
      <c r="N265" s="2" t="s">
        <v>90</v>
      </c>
    </row>
    <row r="266" spans="1:14" ht="17">
      <c r="A266" s="39" t="s">
        <v>1076</v>
      </c>
      <c r="B266" s="2">
        <v>10</v>
      </c>
      <c r="C266" s="2" t="s">
        <v>47</v>
      </c>
      <c r="F266" s="2" t="s">
        <v>1083</v>
      </c>
      <c r="H266" s="2" t="s">
        <v>1084</v>
      </c>
      <c r="I266" s="2" t="s">
        <v>112</v>
      </c>
      <c r="L266" s="2" t="str">
        <f t="shared" ref="L266" si="49">_xlfn.TEXTJOIN("", TRUE, E266:K266)</f>
        <v>01_Textgattung/07_Beischriften/03_Woertliche-Rede/02_dj.n(=j)-n=k/0001_dj.n(=j)-n=k_01.png</v>
      </c>
      <c r="N266" s="2" t="s">
        <v>90</v>
      </c>
    </row>
    <row r="267" spans="1:14" ht="17">
      <c r="A267" s="39" t="s">
        <v>1076</v>
      </c>
      <c r="B267" s="2">
        <v>11</v>
      </c>
      <c r="C267" s="2" t="s">
        <v>45</v>
      </c>
      <c r="D267" s="2" t="s">
        <v>1082</v>
      </c>
      <c r="N267" s="2" t="s">
        <v>90</v>
      </c>
    </row>
    <row r="268" spans="1:14" ht="17">
      <c r="A268" s="39" t="s">
        <v>1076</v>
      </c>
      <c r="B268" s="2">
        <v>12</v>
      </c>
      <c r="C268" s="2" t="s">
        <v>46</v>
      </c>
      <c r="D268" s="2" t="s">
        <v>49</v>
      </c>
      <c r="M268" s="2" t="s">
        <v>98</v>
      </c>
      <c r="N268" s="2" t="s">
        <v>90</v>
      </c>
    </row>
    <row r="269" spans="1:14" ht="17">
      <c r="A269" s="39" t="s">
        <v>1076</v>
      </c>
      <c r="B269" s="2">
        <v>13</v>
      </c>
      <c r="C269" s="2" t="s">
        <v>47</v>
      </c>
      <c r="F269" s="2" t="s">
        <v>1079</v>
      </c>
      <c r="H269" s="2" t="s">
        <v>1080</v>
      </c>
      <c r="I269" s="2" t="s">
        <v>112</v>
      </c>
      <c r="L269" s="2" t="str">
        <f t="shared" ref="L269" si="50">_xlfn.TEXTJOIN("", TRUE, E269:K269)</f>
        <v>01_Textgattung/07_Beischriften/03_Woertliche-Rede/03_xrj/04_xrj_01.png</v>
      </c>
      <c r="N269" s="2" t="s">
        <v>90</v>
      </c>
    </row>
    <row r="270" spans="1:14" ht="17">
      <c r="A270" s="39" t="s">
        <v>1076</v>
      </c>
      <c r="B270" s="2">
        <v>14</v>
      </c>
      <c r="C270" s="2" t="s">
        <v>45</v>
      </c>
      <c r="D270" s="2" t="s">
        <v>1121</v>
      </c>
      <c r="N270" s="2" t="s">
        <v>90</v>
      </c>
    </row>
    <row r="271" spans="1:14" ht="17">
      <c r="A271" s="39" t="s">
        <v>1081</v>
      </c>
      <c r="B271" s="2">
        <v>1</v>
      </c>
      <c r="C271" s="2" t="s">
        <v>17</v>
      </c>
      <c r="D271" s="2" t="s">
        <v>1078</v>
      </c>
      <c r="N271" s="2" t="s">
        <v>92</v>
      </c>
    </row>
    <row r="272" spans="1:14" ht="17">
      <c r="A272" s="39" t="s">
        <v>1081</v>
      </c>
      <c r="B272" s="2">
        <v>2</v>
      </c>
      <c r="C272" s="2" t="s">
        <v>47</v>
      </c>
      <c r="F272" s="2" t="s">
        <v>1364</v>
      </c>
      <c r="G272" s="2" t="s">
        <v>1365</v>
      </c>
      <c r="H272" s="2" t="s">
        <v>1085</v>
      </c>
      <c r="L272" s="2" t="str">
        <f t="shared" ref="L272:L274" si="51">_xlfn.TEXTJOIN("", TRUE, E272:K272)</f>
        <v>01_Textgattung/07_Beischriften/03_Woertliche-Rede/01_Dd-mdw-jn/01_Dd-mdw/0001_Dd-mdw_01.png</v>
      </c>
      <c r="N272" s="2" t="s">
        <v>92</v>
      </c>
    </row>
    <row r="273" spans="1:14" ht="17">
      <c r="A273" s="39" t="s">
        <v>1081</v>
      </c>
      <c r="B273" s="2">
        <v>3</v>
      </c>
      <c r="C273" s="2" t="s">
        <v>47</v>
      </c>
      <c r="F273" s="2" t="s">
        <v>1364</v>
      </c>
      <c r="G273" s="2" t="s">
        <v>1365</v>
      </c>
      <c r="H273" s="2" t="s">
        <v>1086</v>
      </c>
      <c r="L273" s="2" t="str">
        <f t="shared" si="51"/>
        <v>01_Textgattung/07_Beischriften/03_Woertliche-Rede/01_Dd-mdw-jn/01_Dd-mdw/0010_Dd-mdw_02.png</v>
      </c>
      <c r="N273" s="2" t="s">
        <v>92</v>
      </c>
    </row>
    <row r="274" spans="1:14" ht="17">
      <c r="A274" s="39" t="s">
        <v>1081</v>
      </c>
      <c r="B274" s="2">
        <v>4</v>
      </c>
      <c r="C274" s="2" t="s">
        <v>47</v>
      </c>
      <c r="F274" s="2" t="s">
        <v>1364</v>
      </c>
      <c r="G274" s="2" t="s">
        <v>1365</v>
      </c>
      <c r="H274" s="2" t="s">
        <v>1087</v>
      </c>
      <c r="L274" s="2" t="str">
        <f t="shared" si="51"/>
        <v>01_Textgattung/07_Beischriften/03_Woertliche-Rede/01_Dd-mdw-jn/01_Dd-mdw/0020_Dd-mdw_NR_01.png</v>
      </c>
      <c r="N274" s="2" t="s">
        <v>92</v>
      </c>
    </row>
    <row r="275" spans="1:14" ht="17">
      <c r="A275" s="39" t="s">
        <v>1081</v>
      </c>
      <c r="B275" s="2">
        <v>5</v>
      </c>
      <c r="C275" s="2" t="s">
        <v>45</v>
      </c>
      <c r="D275" s="2" t="s">
        <v>1129</v>
      </c>
      <c r="N275" s="2" t="s">
        <v>92</v>
      </c>
    </row>
    <row r="276" spans="1:14" ht="17">
      <c r="A276" s="39" t="s">
        <v>1081</v>
      </c>
      <c r="B276" s="2">
        <v>6</v>
      </c>
      <c r="C276" s="2" t="s">
        <v>17</v>
      </c>
      <c r="D276" s="2" t="s">
        <v>369</v>
      </c>
      <c r="N276" s="2" t="s">
        <v>93</v>
      </c>
    </row>
    <row r="277" spans="1:14" ht="17">
      <c r="A277" s="39" t="s">
        <v>1081</v>
      </c>
      <c r="B277" s="2">
        <v>7</v>
      </c>
      <c r="C277" s="2" t="s">
        <v>47</v>
      </c>
      <c r="F277" s="2" t="s">
        <v>1364</v>
      </c>
      <c r="G277" s="2" t="s">
        <v>1415</v>
      </c>
      <c r="H277" s="2" t="s">
        <v>371</v>
      </c>
      <c r="I277" s="2" t="s">
        <v>112</v>
      </c>
      <c r="L277" s="2" t="str">
        <f t="shared" ref="L277" si="52">_xlfn.TEXTJOIN("", TRUE, E277:K277)</f>
        <v>01_Textgattung/07_Beischriften/03_Woertliche-Rede/01_Dd-mdw-jn/02_jn/0001_jn_01.png</v>
      </c>
      <c r="N277" s="2" t="s">
        <v>93</v>
      </c>
    </row>
    <row r="278" spans="1:14" ht="17">
      <c r="A278" s="39" t="s">
        <v>1081</v>
      </c>
      <c r="B278" s="2">
        <v>8</v>
      </c>
      <c r="C278" s="2" t="s">
        <v>47</v>
      </c>
      <c r="F278" s="2" t="s">
        <v>1364</v>
      </c>
      <c r="G278" s="2" t="s">
        <v>1415</v>
      </c>
      <c r="H278" s="2" t="s">
        <v>1416</v>
      </c>
      <c r="I278" s="2" t="s">
        <v>112</v>
      </c>
      <c r="L278" s="2" t="str">
        <f t="shared" ref="L278" si="53">_xlfn.TEXTJOIN("", TRUE, E278:K278)</f>
        <v>01_Textgattung/07_Beischriften/03_Woertliche-Rede/01_Dd-mdw-jn/02_jn/0010_jn_02.png</v>
      </c>
      <c r="N278" s="2" t="s">
        <v>93</v>
      </c>
    </row>
    <row r="279" spans="1:14" ht="17">
      <c r="A279" s="39" t="s">
        <v>1081</v>
      </c>
      <c r="B279" s="2">
        <v>9</v>
      </c>
      <c r="C279" s="2" t="s">
        <v>45</v>
      </c>
      <c r="D279" s="2" t="s">
        <v>1129</v>
      </c>
      <c r="N279" s="2" t="s">
        <v>93</v>
      </c>
    </row>
    <row r="280" spans="1:14" ht="17">
      <c r="A280" s="39" t="s">
        <v>1081</v>
      </c>
      <c r="B280" s="2">
        <v>10</v>
      </c>
      <c r="C280" s="2" t="s">
        <v>17</v>
      </c>
      <c r="D280" s="2" t="s">
        <v>1082</v>
      </c>
      <c r="N280" s="2" t="s">
        <v>95</v>
      </c>
    </row>
    <row r="281" spans="1:14" ht="17">
      <c r="A281" s="39" t="s">
        <v>1081</v>
      </c>
      <c r="B281" s="2">
        <v>11</v>
      </c>
      <c r="C281" s="2" t="s">
        <v>47</v>
      </c>
      <c r="F281" s="2" t="s">
        <v>1362</v>
      </c>
      <c r="G281" s="2" t="s">
        <v>1363</v>
      </c>
      <c r="H281" s="2" t="s">
        <v>1089</v>
      </c>
      <c r="L281" s="2" t="str">
        <f t="shared" ref="L281:L285" si="54">_xlfn.TEXTJOIN("", TRUE, E281:K281)</f>
        <v>01_Textgattung/07_Beischriften/03_Woertliche-Rede/02_dj.n(=j)-n=k/0001_dj.n(=j)-n=k_01.png</v>
      </c>
      <c r="N281" s="2" t="s">
        <v>95</v>
      </c>
    </row>
    <row r="282" spans="1:14" ht="17">
      <c r="A282" s="39" t="s">
        <v>1081</v>
      </c>
      <c r="B282" s="2">
        <v>12</v>
      </c>
      <c r="C282" s="2" t="s">
        <v>47</v>
      </c>
      <c r="F282" s="2" t="s">
        <v>1362</v>
      </c>
      <c r="G282" s="2" t="s">
        <v>1363</v>
      </c>
      <c r="H282" s="2" t="s">
        <v>1090</v>
      </c>
      <c r="L282" s="2" t="str">
        <f t="shared" si="54"/>
        <v>01_Textgattung/07_Beischriften/03_Woertliche-Rede/02_dj.n(=j)-n=k/0010_dj.n(=j)-n=k_02.png</v>
      </c>
      <c r="N282" s="2" t="s">
        <v>95</v>
      </c>
    </row>
    <row r="283" spans="1:14" ht="17">
      <c r="A283" s="39" t="s">
        <v>1081</v>
      </c>
      <c r="B283" s="2">
        <v>13</v>
      </c>
      <c r="C283" s="2" t="s">
        <v>47</v>
      </c>
      <c r="F283" s="2" t="s">
        <v>1362</v>
      </c>
      <c r="G283" s="2" t="s">
        <v>1363</v>
      </c>
      <c r="H283" s="2" t="s">
        <v>1091</v>
      </c>
      <c r="L283" s="2" t="str">
        <f t="shared" si="54"/>
        <v>01_Textgattung/07_Beischriften/03_Woertliche-Rede/02_dj.n(=j)-n=k/0020_dj.n(=j)-n=k_03.png</v>
      </c>
      <c r="N283" s="2" t="s">
        <v>95</v>
      </c>
    </row>
    <row r="284" spans="1:14" ht="17">
      <c r="A284" s="39" t="s">
        <v>1081</v>
      </c>
      <c r="B284" s="2">
        <v>14</v>
      </c>
      <c r="C284" s="2" t="s">
        <v>47</v>
      </c>
      <c r="F284" s="2" t="s">
        <v>1362</v>
      </c>
      <c r="G284" s="2" t="s">
        <v>1363</v>
      </c>
      <c r="H284" s="2" t="s">
        <v>1092</v>
      </c>
      <c r="L284" s="2" t="str">
        <f t="shared" si="54"/>
        <v>01_Textgattung/07_Beischriften/03_Woertliche-Rede/02_dj.n(=j)-n=k/0030_dj.n(=j)-n=k_04.png</v>
      </c>
      <c r="N284" s="2" t="s">
        <v>95</v>
      </c>
    </row>
    <row r="285" spans="1:14" ht="17">
      <c r="A285" s="39" t="s">
        <v>1081</v>
      </c>
      <c r="B285" s="2">
        <v>15</v>
      </c>
      <c r="C285" s="2" t="s">
        <v>47</v>
      </c>
      <c r="F285" s="2" t="s">
        <v>1362</v>
      </c>
      <c r="G285" s="2" t="s">
        <v>1363</v>
      </c>
      <c r="H285" s="2" t="s">
        <v>1093</v>
      </c>
      <c r="L285" s="2" t="str">
        <f t="shared" si="54"/>
        <v>01_Textgattung/07_Beischriften/03_Woertliche-Rede/02_dj.n(=j)-n=k/0040_dj.n(=j)-n=T_01.png</v>
      </c>
      <c r="N285" s="2" t="s">
        <v>95</v>
      </c>
    </row>
    <row r="286" spans="1:14">
      <c r="A286" s="39"/>
    </row>
    <row r="287" spans="1:14" ht="17">
      <c r="A287" s="39" t="s">
        <v>1356</v>
      </c>
      <c r="B287" s="2">
        <v>1</v>
      </c>
      <c r="C287" s="2" t="s">
        <v>47</v>
      </c>
      <c r="F287" s="2" t="s">
        <v>1360</v>
      </c>
      <c r="G287" s="2" t="s">
        <v>1361</v>
      </c>
      <c r="H287" s="2" t="s">
        <v>1366</v>
      </c>
      <c r="I287" s="2" t="s">
        <v>112</v>
      </c>
      <c r="L287" s="2" t="str">
        <f>_xlfn.TEXTJOIN("", TRUE, E287:K287)</f>
        <v>01_Textgattung/07_Beischriften/04_Rueckenschutzformel/01_sA/0010_sA_seit-MR_02.png</v>
      </c>
      <c r="N287" s="2" t="s">
        <v>90</v>
      </c>
    </row>
    <row r="288" spans="1:14" ht="17">
      <c r="A288" s="39" t="s">
        <v>1356</v>
      </c>
      <c r="B288" s="2">
        <v>2</v>
      </c>
      <c r="C288" s="2" t="s">
        <v>45</v>
      </c>
      <c r="D288" s="2" t="s">
        <v>1214</v>
      </c>
      <c r="N288" s="2" t="s">
        <v>90</v>
      </c>
    </row>
    <row r="289" spans="1:14" ht="17">
      <c r="A289" s="39" t="s">
        <v>1356</v>
      </c>
      <c r="B289" s="2">
        <v>3</v>
      </c>
      <c r="C289" s="2" t="s">
        <v>47</v>
      </c>
      <c r="F289" s="2" t="s">
        <v>1360</v>
      </c>
      <c r="G289" s="2" t="s">
        <v>1368</v>
      </c>
      <c r="H289" s="2" t="s">
        <v>1371</v>
      </c>
      <c r="I289" s="2" t="s">
        <v>112</v>
      </c>
      <c r="L289" s="2" t="str">
        <f>_xlfn.TEXTJOIN("", TRUE, E289:K289)</f>
        <v>01_Textgattung/07_Beischriften/04_Rueckenschutzformel/02_anx/0001_anx_01.png</v>
      </c>
      <c r="N289" s="2" t="s">
        <v>90</v>
      </c>
    </row>
    <row r="290" spans="1:14" ht="17">
      <c r="A290" s="39" t="s">
        <v>1356</v>
      </c>
      <c r="B290" s="2">
        <v>4</v>
      </c>
      <c r="C290" s="2" t="s">
        <v>45</v>
      </c>
      <c r="D290" s="2" t="s">
        <v>637</v>
      </c>
      <c r="N290" s="2" t="s">
        <v>90</v>
      </c>
    </row>
    <row r="291" spans="1:14" ht="17">
      <c r="A291" s="39" t="s">
        <v>1356</v>
      </c>
      <c r="B291" s="2">
        <v>5</v>
      </c>
      <c r="C291" s="2" t="s">
        <v>47</v>
      </c>
      <c r="F291" s="2" t="s">
        <v>1360</v>
      </c>
      <c r="G291" s="2" t="s">
        <v>1369</v>
      </c>
      <c r="H291" s="2" t="s">
        <v>1373</v>
      </c>
      <c r="I291" s="2" t="s">
        <v>112</v>
      </c>
      <c r="L291" s="2" t="str">
        <f>_xlfn.TEXTJOIN("", TRUE, E291:K291)</f>
        <v>01_Textgattung/07_Beischriften/04_Rueckenschutzformel/03_HA/0010_HA_02.png</v>
      </c>
      <c r="N291" s="2" t="s">
        <v>90</v>
      </c>
    </row>
    <row r="292" spans="1:14" ht="17">
      <c r="A292" s="39" t="s">
        <v>1356</v>
      </c>
      <c r="B292" s="2">
        <v>5</v>
      </c>
      <c r="C292" s="2" t="s">
        <v>47</v>
      </c>
      <c r="F292" s="2" t="s">
        <v>1360</v>
      </c>
      <c r="G292" s="2" t="s">
        <v>1370</v>
      </c>
      <c r="H292" s="2" t="s">
        <v>1372</v>
      </c>
      <c r="I292" s="2" t="s">
        <v>112</v>
      </c>
      <c r="L292" s="2" t="str">
        <f>_xlfn.TEXTJOIN("", TRUE, E292:K292)</f>
        <v>01_Textgattung/07_Beischriften/04_Rueckenschutzformel/04_=f-nb/0001_=f-nb_01.png</v>
      </c>
      <c r="N292" s="2" t="s">
        <v>90</v>
      </c>
    </row>
    <row r="293" spans="1:14" ht="17">
      <c r="A293" s="39" t="s">
        <v>1356</v>
      </c>
      <c r="B293" s="2">
        <v>6</v>
      </c>
      <c r="C293" s="2" t="s">
        <v>45</v>
      </c>
      <c r="D293" s="2" t="s">
        <v>1367</v>
      </c>
      <c r="N293" s="2" t="s">
        <v>90</v>
      </c>
    </row>
    <row r="294" spans="1:14">
      <c r="A294" s="39"/>
    </row>
    <row r="295" spans="1:14">
      <c r="A295" s="39"/>
    </row>
    <row r="296" spans="1:14" ht="34">
      <c r="A296" s="33" t="s">
        <v>1405</v>
      </c>
      <c r="B296" s="2">
        <v>1</v>
      </c>
      <c r="C296" s="2" t="s">
        <v>17</v>
      </c>
      <c r="D296" s="2" t="s">
        <v>1407</v>
      </c>
    </row>
    <row r="297" spans="1:14" ht="34">
      <c r="A297" s="33" t="s">
        <v>1405</v>
      </c>
      <c r="B297" s="2">
        <v>2</v>
      </c>
      <c r="C297" s="2" t="s">
        <v>47</v>
      </c>
      <c r="F297" s="2" t="s">
        <v>1360</v>
      </c>
      <c r="G297" s="2" t="s">
        <v>1396</v>
      </c>
      <c r="H297" s="2" t="s">
        <v>1397</v>
      </c>
      <c r="L297" s="2" t="str">
        <f t="shared" ref="L297:L312" si="55">_xlfn.TEXTJOIN("", TRUE, E297:K297)</f>
        <v>01_Textgattung/07_Beischriften/04_Rueckenschutzformel/formel-gesamt/0001_sA-anx-HA=f-nb_MR_01.png</v>
      </c>
      <c r="N297" s="2" t="s">
        <v>92</v>
      </c>
    </row>
    <row r="298" spans="1:14" ht="34">
      <c r="A298" s="33" t="s">
        <v>1405</v>
      </c>
      <c r="B298" s="2">
        <v>3</v>
      </c>
      <c r="C298" s="2" t="s">
        <v>45</v>
      </c>
      <c r="D298" s="2" t="s">
        <v>1393</v>
      </c>
      <c r="N298" s="2" t="s">
        <v>92</v>
      </c>
    </row>
    <row r="299" spans="1:14" ht="34">
      <c r="A299" s="33" t="s">
        <v>1405</v>
      </c>
      <c r="B299" s="2">
        <v>4</v>
      </c>
      <c r="C299" s="2" t="s">
        <v>47</v>
      </c>
      <c r="F299" s="2" t="s">
        <v>1360</v>
      </c>
      <c r="G299" s="2" t="s">
        <v>1396</v>
      </c>
      <c r="H299" s="2" t="s">
        <v>1398</v>
      </c>
      <c r="L299" s="2" t="str">
        <f t="shared" si="55"/>
        <v>01_Textgattung/07_Beischriften/04_Rueckenschutzformel/formel-gesamt/0010_sA-anx-HA=f-nb-NR_01.png</v>
      </c>
      <c r="N299" s="2" t="s">
        <v>92</v>
      </c>
    </row>
    <row r="300" spans="1:14" ht="34">
      <c r="A300" s="33" t="s">
        <v>1405</v>
      </c>
      <c r="B300" s="2">
        <v>5</v>
      </c>
      <c r="C300" s="2" t="s">
        <v>45</v>
      </c>
      <c r="D300" s="2" t="s">
        <v>1129</v>
      </c>
      <c r="N300" s="2" t="s">
        <v>92</v>
      </c>
    </row>
    <row r="301" spans="1:14" ht="34">
      <c r="A301" s="33" t="s">
        <v>1405</v>
      </c>
      <c r="B301" s="2">
        <v>6</v>
      </c>
      <c r="C301" s="2" t="s">
        <v>17</v>
      </c>
      <c r="D301" s="2" t="s">
        <v>1408</v>
      </c>
      <c r="N301" s="2" t="s">
        <v>93</v>
      </c>
    </row>
    <row r="302" spans="1:14" ht="34">
      <c r="A302" s="33" t="s">
        <v>1405</v>
      </c>
      <c r="B302" s="2">
        <v>7</v>
      </c>
      <c r="C302" s="2" t="s">
        <v>47</v>
      </c>
      <c r="F302" s="2" t="s">
        <v>1360</v>
      </c>
      <c r="G302" s="2" t="s">
        <v>1396</v>
      </c>
      <c r="H302" s="2" t="s">
        <v>1399</v>
      </c>
      <c r="L302" s="2" t="str">
        <f t="shared" si="55"/>
        <v>01_Textgattung/07_Beischriften/04_Rueckenschutzformel/formel-gesamt/0020_sA-anx-HA=f_01.png</v>
      </c>
      <c r="N302" s="2" t="s">
        <v>93</v>
      </c>
    </row>
    <row r="303" spans="1:14" ht="34">
      <c r="A303" s="33" t="s">
        <v>1405</v>
      </c>
      <c r="B303" s="2">
        <v>8</v>
      </c>
      <c r="C303" s="2" t="s">
        <v>47</v>
      </c>
      <c r="F303" s="2" t="s">
        <v>1360</v>
      </c>
      <c r="G303" s="2" t="s">
        <v>1396</v>
      </c>
      <c r="H303" s="2" t="s">
        <v>1400</v>
      </c>
      <c r="L303" s="2" t="str">
        <f t="shared" si="55"/>
        <v>01_Textgattung/07_Beischriften/04_Rueckenschutzformel/formel-gesamt/0030_sA-anx-HA=f_02.png</v>
      </c>
      <c r="N303" s="2" t="s">
        <v>93</v>
      </c>
    </row>
    <row r="304" spans="1:14" ht="34">
      <c r="A304" s="33" t="s">
        <v>1405</v>
      </c>
      <c r="B304" s="2">
        <v>9</v>
      </c>
      <c r="C304" s="2" t="s">
        <v>17</v>
      </c>
      <c r="D304" s="2" t="s">
        <v>1409</v>
      </c>
      <c r="N304" s="2" t="s">
        <v>95</v>
      </c>
    </row>
    <row r="305" spans="1:14" ht="34">
      <c r="A305" s="33" t="s">
        <v>1405</v>
      </c>
      <c r="B305" s="2">
        <v>10</v>
      </c>
      <c r="C305" s="2" t="s">
        <v>47</v>
      </c>
      <c r="F305" s="2" t="s">
        <v>1360</v>
      </c>
      <c r="G305" s="2" t="s">
        <v>1396</v>
      </c>
      <c r="H305" s="2" t="s">
        <v>1401</v>
      </c>
      <c r="L305" s="2" t="str">
        <f t="shared" si="55"/>
        <v>01_Textgattung/07_Beischriften/04_Rueckenschutzformel/formel-gesamt/0040_sA-anx-wAs-HA=f_01.png</v>
      </c>
      <c r="N305" s="2" t="s">
        <v>95</v>
      </c>
    </row>
    <row r="306" spans="1:14" ht="34">
      <c r="A306" s="33" t="s">
        <v>1405</v>
      </c>
      <c r="B306" s="2">
        <v>11</v>
      </c>
      <c r="C306" s="2" t="s">
        <v>47</v>
      </c>
      <c r="F306" s="2" t="s">
        <v>1360</v>
      </c>
      <c r="G306" s="2" t="s">
        <v>1396</v>
      </c>
      <c r="H306" s="2" t="s">
        <v>1402</v>
      </c>
      <c r="L306" s="2" t="str">
        <f t="shared" si="55"/>
        <v>01_Textgattung/07_Beischriften/04_Rueckenschutzformel/formel-gesamt/0050_sA-anx-wAs-HA=f_NR-selten-Gr-oft_01.png</v>
      </c>
      <c r="N306" s="2" t="s">
        <v>95</v>
      </c>
    </row>
    <row r="307" spans="1:14" ht="34">
      <c r="A307" s="33" t="s">
        <v>1405</v>
      </c>
      <c r="B307" s="2">
        <v>12</v>
      </c>
      <c r="C307" s="2" t="s">
        <v>45</v>
      </c>
      <c r="D307" s="2" t="s">
        <v>1412</v>
      </c>
      <c r="N307" s="2" t="s">
        <v>95</v>
      </c>
    </row>
    <row r="308" spans="1:14" ht="34">
      <c r="A308" s="33" t="s">
        <v>1405</v>
      </c>
      <c r="B308" s="2">
        <v>13</v>
      </c>
      <c r="C308" s="2" t="s">
        <v>17</v>
      </c>
      <c r="D308" s="2" t="s">
        <v>1410</v>
      </c>
      <c r="N308" s="2" t="s">
        <v>1395</v>
      </c>
    </row>
    <row r="309" spans="1:14" ht="34">
      <c r="A309" s="33" t="s">
        <v>1405</v>
      </c>
      <c r="B309" s="2">
        <v>14</v>
      </c>
      <c r="C309" s="2" t="s">
        <v>47</v>
      </c>
      <c r="F309" s="2" t="s">
        <v>1360</v>
      </c>
      <c r="G309" s="2" t="s">
        <v>1396</v>
      </c>
      <c r="H309" s="2" t="s">
        <v>1403</v>
      </c>
      <c r="L309" s="2" t="str">
        <f t="shared" si="55"/>
        <v>01_Textgattung/07_Beischriften/04_Rueckenschutzformel/formel-gesamt/0060_sA-anx-Dd-wAs-HA=f_D.18_01.png</v>
      </c>
      <c r="N309" s="2" t="s">
        <v>1395</v>
      </c>
    </row>
    <row r="310" spans="1:14" ht="34">
      <c r="A310" s="33" t="s">
        <v>1405</v>
      </c>
      <c r="B310" s="2">
        <v>15</v>
      </c>
      <c r="C310" s="2" t="s">
        <v>45</v>
      </c>
      <c r="D310" s="2" t="s">
        <v>1413</v>
      </c>
      <c r="N310" s="2" t="s">
        <v>1395</v>
      </c>
    </row>
    <row r="311" spans="1:14" ht="34">
      <c r="A311" s="33" t="s">
        <v>1405</v>
      </c>
      <c r="B311" s="2">
        <v>16</v>
      </c>
      <c r="C311" s="2" t="s">
        <v>17</v>
      </c>
      <c r="D311" s="2" t="s">
        <v>1411</v>
      </c>
      <c r="N311" s="2" t="s">
        <v>1414</v>
      </c>
    </row>
    <row r="312" spans="1:14" ht="34">
      <c r="A312" s="33" t="s">
        <v>1405</v>
      </c>
      <c r="B312" s="2">
        <v>17</v>
      </c>
      <c r="C312" s="2" t="s">
        <v>47</v>
      </c>
      <c r="F312" s="2" t="s">
        <v>1360</v>
      </c>
      <c r="G312" s="2" t="s">
        <v>1396</v>
      </c>
      <c r="H312" s="2" t="s">
        <v>1404</v>
      </c>
      <c r="L312" s="2" t="str">
        <f t="shared" si="55"/>
        <v>01_Textgattung/07_Beischriften/04_Rueckenschutzformel/formel-gesamt/0070_sA-anx-Dd-wAs-snb-HA=f_D.18_01.png</v>
      </c>
      <c r="N312" s="2" t="s">
        <v>1414</v>
      </c>
    </row>
    <row r="313" spans="1:14" ht="34">
      <c r="A313" s="33" t="s">
        <v>1405</v>
      </c>
      <c r="B313" s="2">
        <v>18</v>
      </c>
      <c r="C313" s="2" t="s">
        <v>45</v>
      </c>
      <c r="D313" s="2" t="s">
        <v>1413</v>
      </c>
      <c r="N313" s="2" t="s">
        <v>1414</v>
      </c>
    </row>
    <row r="314" spans="1:14">
      <c r="A314" s="39"/>
    </row>
    <row r="315" spans="1:14">
      <c r="A315" s="39"/>
    </row>
    <row r="316" spans="1:14">
      <c r="A316" s="39"/>
    </row>
    <row r="317" spans="1:14">
      <c r="A317" s="39"/>
    </row>
    <row r="318" spans="1:14" ht="17">
      <c r="A318" s="33" t="s">
        <v>1378</v>
      </c>
      <c r="B318" s="2">
        <v>1</v>
      </c>
      <c r="C318" s="2" t="s">
        <v>17</v>
      </c>
      <c r="D318" s="2" t="s">
        <v>1214</v>
      </c>
      <c r="N318" s="2" t="s">
        <v>93</v>
      </c>
    </row>
    <row r="319" spans="1:14" ht="17">
      <c r="A319" s="33" t="s">
        <v>1378</v>
      </c>
      <c r="B319" s="2">
        <v>2</v>
      </c>
      <c r="C319" s="2" t="s">
        <v>47</v>
      </c>
      <c r="F319" s="2" t="s">
        <v>1360</v>
      </c>
      <c r="G319" s="2" t="s">
        <v>1361</v>
      </c>
      <c r="H319" s="2" t="s">
        <v>1379</v>
      </c>
      <c r="L319" s="2" t="str">
        <f t="shared" ref="L319:L330" si="56">_xlfn.TEXTJOIN("", TRUE, E319:K319)</f>
        <v>01_Textgattung/07_Beischriften/04_Rueckenschutzformel/01_sA/0001_sA_01.png</v>
      </c>
      <c r="N319" s="2" t="s">
        <v>93</v>
      </c>
    </row>
    <row r="320" spans="1:14" ht="17">
      <c r="A320" s="33" t="s">
        <v>1378</v>
      </c>
      <c r="B320" s="2">
        <v>3</v>
      </c>
      <c r="C320" s="2" t="s">
        <v>47</v>
      </c>
      <c r="F320" s="2" t="s">
        <v>1360</v>
      </c>
      <c r="G320" s="2" t="s">
        <v>1361</v>
      </c>
      <c r="H320" s="2" t="s">
        <v>1380</v>
      </c>
      <c r="L320" s="2" t="str">
        <f t="shared" si="56"/>
        <v>01_Textgattung/07_Beischriften/04_Rueckenschutzformel/01_sA/0010_sA_seit-MR_02.png</v>
      </c>
      <c r="N320" s="2" t="s">
        <v>93</v>
      </c>
    </row>
    <row r="321" spans="1:14" ht="17">
      <c r="A321" s="33" t="s">
        <v>1378</v>
      </c>
      <c r="B321" s="2">
        <v>4</v>
      </c>
      <c r="C321" s="2" t="s">
        <v>45</v>
      </c>
      <c r="D321" s="2" t="s">
        <v>1128</v>
      </c>
      <c r="N321" s="2" t="s">
        <v>93</v>
      </c>
    </row>
    <row r="322" spans="1:14" ht="17">
      <c r="A322" s="33" t="s">
        <v>1378</v>
      </c>
      <c r="B322" s="2">
        <v>5</v>
      </c>
      <c r="C322" s="2" t="s">
        <v>47</v>
      </c>
      <c r="F322" s="2" t="s">
        <v>1360</v>
      </c>
      <c r="G322" s="2" t="s">
        <v>1361</v>
      </c>
      <c r="H322" s="2" t="s">
        <v>1381</v>
      </c>
      <c r="L322" s="2" t="str">
        <f t="shared" si="56"/>
        <v>01_Textgattung/07_Beischriften/04_Rueckenschutzformel/01_sA/0020_sA_MR_01.png</v>
      </c>
      <c r="N322" s="2" t="s">
        <v>93</v>
      </c>
    </row>
    <row r="323" spans="1:14" ht="17">
      <c r="A323" s="33" t="s">
        <v>1378</v>
      </c>
      <c r="B323" s="2">
        <v>6</v>
      </c>
      <c r="C323" s="2" t="s">
        <v>45</v>
      </c>
      <c r="D323" s="2" t="s">
        <v>1393</v>
      </c>
      <c r="N323" s="2" t="s">
        <v>93</v>
      </c>
    </row>
    <row r="324" spans="1:14" ht="17">
      <c r="A324" s="33" t="s">
        <v>1378</v>
      </c>
      <c r="B324" s="2">
        <v>7</v>
      </c>
      <c r="C324" s="2" t="s">
        <v>47</v>
      </c>
      <c r="F324" s="2" t="s">
        <v>1360</v>
      </c>
      <c r="G324" s="2" t="s">
        <v>1361</v>
      </c>
      <c r="H324" s="2" t="s">
        <v>1382</v>
      </c>
      <c r="L324" s="2" t="str">
        <f t="shared" si="56"/>
        <v>01_Textgattung/07_Beischriften/04_Rueckenschutzformel/01_sA/0030_sA_NR_01.png</v>
      </c>
      <c r="N324" s="2" t="s">
        <v>93</v>
      </c>
    </row>
    <row r="325" spans="1:14" ht="17">
      <c r="A325" s="33" t="s">
        <v>1378</v>
      </c>
      <c r="B325" s="2">
        <v>8</v>
      </c>
      <c r="C325" s="2" t="s">
        <v>45</v>
      </c>
      <c r="D325" s="2" t="s">
        <v>1129</v>
      </c>
      <c r="N325" s="2" t="s">
        <v>93</v>
      </c>
    </row>
    <row r="326" spans="1:14" ht="17">
      <c r="A326" s="33" t="s">
        <v>1378</v>
      </c>
      <c r="B326" s="2">
        <v>9</v>
      </c>
      <c r="C326" s="2" t="s">
        <v>47</v>
      </c>
      <c r="F326" s="2" t="s">
        <v>1360</v>
      </c>
      <c r="G326" s="2" t="s">
        <v>1361</v>
      </c>
      <c r="H326" s="2" t="s">
        <v>1383</v>
      </c>
      <c r="L326" s="2" t="str">
        <f t="shared" si="56"/>
        <v>01_Textgattung/07_Beischriften/04_Rueckenschutzformel/01_sA/0040_sA_NR_02.png</v>
      </c>
      <c r="N326" s="2" t="s">
        <v>93</v>
      </c>
    </row>
    <row r="327" spans="1:14" ht="17">
      <c r="A327" s="33" t="s">
        <v>1378</v>
      </c>
      <c r="B327" s="2">
        <v>10</v>
      </c>
      <c r="C327" s="2" t="s">
        <v>45</v>
      </c>
      <c r="D327" s="2" t="s">
        <v>1129</v>
      </c>
      <c r="N327" s="2" t="s">
        <v>93</v>
      </c>
    </row>
    <row r="328" spans="1:14" ht="17">
      <c r="A328" s="33" t="s">
        <v>1378</v>
      </c>
      <c r="B328" s="2">
        <v>11</v>
      </c>
      <c r="C328" s="2" t="s">
        <v>47</v>
      </c>
      <c r="F328" s="2" t="s">
        <v>1360</v>
      </c>
      <c r="G328" s="2" t="s">
        <v>1361</v>
      </c>
      <c r="H328" s="2" t="s">
        <v>1384</v>
      </c>
      <c r="L328" s="2" t="str">
        <f t="shared" si="56"/>
        <v>01_Textgattung/07_Beischriften/04_Rueckenschutzformel/01_sA/0050_sA_GR_01.png</v>
      </c>
      <c r="N328" s="2" t="s">
        <v>93</v>
      </c>
    </row>
    <row r="329" spans="1:14" ht="17">
      <c r="A329" s="33" t="s">
        <v>1378</v>
      </c>
      <c r="B329" s="2">
        <v>12</v>
      </c>
      <c r="C329" s="2" t="s">
        <v>45</v>
      </c>
      <c r="D329" s="2" t="s">
        <v>1131</v>
      </c>
      <c r="N329" s="2" t="s">
        <v>93</v>
      </c>
    </row>
    <row r="330" spans="1:14" ht="17">
      <c r="A330" s="33" t="s">
        <v>1378</v>
      </c>
      <c r="B330" s="2">
        <v>13</v>
      </c>
      <c r="C330" s="2" t="s">
        <v>47</v>
      </c>
      <c r="F330" s="2" t="s">
        <v>1360</v>
      </c>
      <c r="G330" s="2" t="s">
        <v>1361</v>
      </c>
      <c r="H330" s="2" t="s">
        <v>1385</v>
      </c>
      <c r="L330" s="2" t="str">
        <f t="shared" si="56"/>
        <v>01_Textgattung/07_Beischriften/04_Rueckenschutzformel/01_sA/0060_sA_GR_02.png</v>
      </c>
      <c r="N330" s="2" t="s">
        <v>93</v>
      </c>
    </row>
    <row r="331" spans="1:14" ht="17">
      <c r="A331" s="33" t="s">
        <v>1378</v>
      </c>
      <c r="B331" s="2">
        <v>14</v>
      </c>
      <c r="C331" s="2" t="s">
        <v>45</v>
      </c>
      <c r="D331" s="2" t="s">
        <v>1131</v>
      </c>
      <c r="N331" s="2" t="s">
        <v>93</v>
      </c>
    </row>
    <row r="332" spans="1:14" ht="17">
      <c r="A332" s="33" t="s">
        <v>1378</v>
      </c>
      <c r="B332" s="2">
        <v>15</v>
      </c>
      <c r="C332" s="2" t="s">
        <v>17</v>
      </c>
      <c r="D332" s="2" t="s">
        <v>637</v>
      </c>
      <c r="N332" s="2" t="s">
        <v>95</v>
      </c>
    </row>
    <row r="333" spans="1:14" ht="17">
      <c r="A333" s="33" t="s">
        <v>1378</v>
      </c>
      <c r="B333" s="2">
        <v>16</v>
      </c>
      <c r="C333" s="2" t="s">
        <v>47</v>
      </c>
      <c r="F333" s="2" t="s">
        <v>1360</v>
      </c>
      <c r="G333" s="2" t="s">
        <v>1368</v>
      </c>
      <c r="H333" s="2" t="s">
        <v>1371</v>
      </c>
      <c r="I333" s="2" t="s">
        <v>112</v>
      </c>
      <c r="L333" s="2" t="str">
        <f t="shared" ref="L333" si="57">_xlfn.TEXTJOIN("", TRUE, E333:K333)</f>
        <v>01_Textgattung/07_Beischriften/04_Rueckenschutzformel/02_anx/0001_anx_01.png</v>
      </c>
      <c r="N333" s="2" t="s">
        <v>95</v>
      </c>
    </row>
    <row r="334" spans="1:14" ht="17">
      <c r="A334" s="33" t="s">
        <v>1378</v>
      </c>
      <c r="B334" s="2">
        <v>17</v>
      </c>
      <c r="C334" s="2" t="s">
        <v>17</v>
      </c>
      <c r="D334" s="2" t="s">
        <v>1386</v>
      </c>
      <c r="N334" s="2" t="s">
        <v>1395</v>
      </c>
    </row>
    <row r="335" spans="1:14" ht="17">
      <c r="A335" s="33" t="s">
        <v>1378</v>
      </c>
      <c r="B335" s="2">
        <v>18</v>
      </c>
      <c r="C335" s="2" t="s">
        <v>47</v>
      </c>
      <c r="F335" s="2" t="s">
        <v>1360</v>
      </c>
      <c r="G335" s="2" t="s">
        <v>1369</v>
      </c>
      <c r="H335" s="2" t="s">
        <v>1387</v>
      </c>
      <c r="L335" s="2" t="str">
        <f t="shared" ref="L335:L343" si="58">_xlfn.TEXTJOIN("", TRUE, E335:K335)</f>
        <v>01_Textgattung/07_Beischriften/04_Rueckenschutzformel/03_HA/0001_HA_01.png</v>
      </c>
      <c r="N335" s="2" t="s">
        <v>1395</v>
      </c>
    </row>
    <row r="336" spans="1:14" ht="17">
      <c r="A336" s="33" t="s">
        <v>1378</v>
      </c>
      <c r="B336" s="2">
        <v>19</v>
      </c>
      <c r="C336" s="2" t="s">
        <v>47</v>
      </c>
      <c r="F336" s="2" t="s">
        <v>1360</v>
      </c>
      <c r="G336" s="2" t="s">
        <v>1369</v>
      </c>
      <c r="H336" s="2" t="s">
        <v>1388</v>
      </c>
      <c r="L336" s="2" t="str">
        <f t="shared" si="58"/>
        <v>01_Textgattung/07_Beischriften/04_Rueckenschutzformel/03_HA/0010_HA_02.png</v>
      </c>
      <c r="N336" s="2" t="s">
        <v>1395</v>
      </c>
    </row>
    <row r="337" spans="1:14" ht="17">
      <c r="A337" s="33" t="s">
        <v>1378</v>
      </c>
      <c r="B337" s="2">
        <v>20</v>
      </c>
      <c r="C337" s="2" t="s">
        <v>47</v>
      </c>
      <c r="F337" s="2" t="s">
        <v>1360</v>
      </c>
      <c r="G337" s="2" t="s">
        <v>1369</v>
      </c>
      <c r="H337" s="2" t="s">
        <v>1389</v>
      </c>
      <c r="L337" s="2" t="str">
        <f t="shared" si="58"/>
        <v>01_Textgattung/07_Beischriften/04_Rueckenschutzformel/03_HA/0020_HA_MR_01.png</v>
      </c>
      <c r="N337" s="2" t="s">
        <v>1395</v>
      </c>
    </row>
    <row r="338" spans="1:14" ht="17">
      <c r="A338" s="33" t="s">
        <v>1378</v>
      </c>
      <c r="B338" s="2">
        <v>21</v>
      </c>
      <c r="C338" s="2" t="s">
        <v>45</v>
      </c>
      <c r="D338" s="2" t="s">
        <v>1393</v>
      </c>
      <c r="N338" s="2" t="s">
        <v>1395</v>
      </c>
    </row>
    <row r="339" spans="1:14" ht="17">
      <c r="A339" s="33" t="s">
        <v>1378</v>
      </c>
      <c r="B339" s="2">
        <v>22</v>
      </c>
      <c r="C339" s="2" t="s">
        <v>47</v>
      </c>
      <c r="F339" s="2" t="s">
        <v>1360</v>
      </c>
      <c r="G339" s="2" t="s">
        <v>1369</v>
      </c>
      <c r="H339" s="2" t="s">
        <v>1390</v>
      </c>
      <c r="L339" s="2" t="str">
        <f t="shared" si="58"/>
        <v>01_Textgattung/07_Beischriften/04_Rueckenschutzformel/03_HA/0030_HA_MR_02.png</v>
      </c>
      <c r="N339" s="2" t="s">
        <v>1395</v>
      </c>
    </row>
    <row r="340" spans="1:14" ht="17">
      <c r="A340" s="33" t="s">
        <v>1378</v>
      </c>
      <c r="B340" s="2">
        <v>23</v>
      </c>
      <c r="C340" s="2" t="s">
        <v>45</v>
      </c>
      <c r="D340" s="2" t="s">
        <v>1393</v>
      </c>
      <c r="N340" s="2" t="s">
        <v>1395</v>
      </c>
    </row>
    <row r="341" spans="1:14" ht="17">
      <c r="A341" s="33" t="s">
        <v>1378</v>
      </c>
      <c r="B341" s="2">
        <v>24</v>
      </c>
      <c r="C341" s="2" t="s">
        <v>47</v>
      </c>
      <c r="F341" s="2" t="s">
        <v>1360</v>
      </c>
      <c r="G341" s="2" t="s">
        <v>1369</v>
      </c>
      <c r="H341" s="2" t="s">
        <v>1391</v>
      </c>
      <c r="L341" s="2" t="str">
        <f t="shared" si="58"/>
        <v>01_Textgattung/07_Beischriften/04_Rueckenschutzformel/03_HA/0040_HA_NR_01.png</v>
      </c>
      <c r="N341" s="2" t="s">
        <v>1395</v>
      </c>
    </row>
    <row r="342" spans="1:14" ht="17">
      <c r="A342" s="33" t="s">
        <v>1378</v>
      </c>
      <c r="B342" s="2">
        <v>25</v>
      </c>
      <c r="C342" s="2" t="s">
        <v>45</v>
      </c>
      <c r="D342" s="2" t="s">
        <v>1129</v>
      </c>
      <c r="N342" s="2" t="s">
        <v>1395</v>
      </c>
    </row>
    <row r="343" spans="1:14" ht="17">
      <c r="A343" s="33" t="s">
        <v>1378</v>
      </c>
      <c r="B343" s="2">
        <v>26</v>
      </c>
      <c r="C343" s="2" t="s">
        <v>47</v>
      </c>
      <c r="F343" s="2" t="s">
        <v>1360</v>
      </c>
      <c r="G343" s="2" t="s">
        <v>1369</v>
      </c>
      <c r="H343" s="2" t="s">
        <v>1392</v>
      </c>
      <c r="L343" s="2" t="str">
        <f t="shared" si="58"/>
        <v>01_Textgattung/07_Beischriften/04_Rueckenschutzformel/03_HA/0050_HA_Sp_01.png</v>
      </c>
      <c r="N343" s="2" t="s">
        <v>1395</v>
      </c>
    </row>
    <row r="344" spans="1:14" ht="17">
      <c r="A344" s="33" t="s">
        <v>1378</v>
      </c>
      <c r="B344" s="2">
        <v>27</v>
      </c>
      <c r="C344" s="2" t="s">
        <v>45</v>
      </c>
      <c r="D344" s="2" t="s">
        <v>1394</v>
      </c>
    </row>
    <row r="345" spans="1:14">
      <c r="A345" s="39"/>
    </row>
    <row r="346" spans="1:14">
      <c r="A346" s="39"/>
    </row>
    <row r="347" spans="1:14">
      <c r="A347" s="39"/>
    </row>
    <row r="348" spans="1:14">
      <c r="A348" s="39"/>
    </row>
    <row r="349" spans="1:14">
      <c r="A349" s="39"/>
    </row>
    <row r="350" spans="1:14">
      <c r="A350" s="39"/>
    </row>
    <row r="351" spans="1:14">
      <c r="A351" s="39"/>
    </row>
    <row r="352" spans="1:14">
      <c r="A352" s="39"/>
    </row>
    <row r="353" spans="1:14">
      <c r="A353" s="39"/>
    </row>
    <row r="354" spans="1:14">
      <c r="A354" s="39"/>
    </row>
    <row r="355" spans="1:14">
      <c r="A355" s="39"/>
    </row>
    <row r="356" spans="1:14">
      <c r="A356" s="39"/>
    </row>
    <row r="358" spans="1:14">
      <c r="A358" s="2" t="s">
        <v>1037</v>
      </c>
      <c r="B358" s="2">
        <v>1</v>
      </c>
      <c r="C358" s="2" t="s">
        <v>45</v>
      </c>
      <c r="D358" s="2" t="s">
        <v>1042</v>
      </c>
      <c r="N358" s="2" t="s">
        <v>90</v>
      </c>
    </row>
    <row r="359" spans="1:14">
      <c r="A359" s="2" t="s">
        <v>1037</v>
      </c>
      <c r="B359" s="40">
        <v>2</v>
      </c>
      <c r="C359" s="2" t="s">
        <v>45</v>
      </c>
      <c r="D359" s="2" t="s">
        <v>1048</v>
      </c>
      <c r="N359" s="2" t="s">
        <v>90</v>
      </c>
    </row>
    <row r="360" spans="1:14">
      <c r="A360" s="2" t="s">
        <v>1037</v>
      </c>
      <c r="B360" s="2">
        <v>3</v>
      </c>
      <c r="C360" s="2" t="s">
        <v>47</v>
      </c>
      <c r="F360" s="2" t="s">
        <v>417</v>
      </c>
      <c r="G360" s="2" t="s">
        <v>418</v>
      </c>
      <c r="H360" s="2" t="s">
        <v>419</v>
      </c>
      <c r="I360" s="2" t="s">
        <v>112</v>
      </c>
      <c r="L360" s="2" t="str">
        <f t="shared" ref="L360:L361" si="59">_xlfn.TEXTJOIN("", TRUE, E360:K360)</f>
        <v>02_Slots/Personennamen/Namen/f/01_tA-dj-Gottheit/01_tA-dj_01.png</v>
      </c>
      <c r="N360" s="2" t="s">
        <v>90</v>
      </c>
    </row>
    <row r="361" spans="1:14">
      <c r="A361" s="2" t="s">
        <v>1037</v>
      </c>
      <c r="B361" s="40">
        <v>4</v>
      </c>
      <c r="C361" s="2" t="s">
        <v>47</v>
      </c>
      <c r="F361" s="2" t="s">
        <v>417</v>
      </c>
      <c r="G361" s="2" t="s">
        <v>418</v>
      </c>
      <c r="H361" s="2" t="s">
        <v>420</v>
      </c>
      <c r="I361" s="2" t="s">
        <v>112</v>
      </c>
      <c r="L361" s="2" t="str">
        <f t="shared" si="59"/>
        <v>02_Slots/Personennamen/Namen/f/01_tA-dj-Gottheit/01_tA-dj_02.png</v>
      </c>
      <c r="N361" s="2" t="s">
        <v>90</v>
      </c>
    </row>
    <row r="362" spans="1:14">
      <c r="A362" s="2" t="s">
        <v>1037</v>
      </c>
      <c r="B362" s="2">
        <v>5</v>
      </c>
      <c r="C362" s="2" t="s">
        <v>45</v>
      </c>
      <c r="D362" s="2" t="s">
        <v>1039</v>
      </c>
      <c r="N362" s="2" t="s">
        <v>90</v>
      </c>
    </row>
    <row r="363" spans="1:14">
      <c r="A363" s="2" t="s">
        <v>1037</v>
      </c>
      <c r="B363" s="40">
        <v>6</v>
      </c>
      <c r="C363" s="2" t="s">
        <v>46</v>
      </c>
      <c r="D363" s="2" t="s">
        <v>48</v>
      </c>
      <c r="M363" s="2" t="s">
        <v>97</v>
      </c>
      <c r="N363" s="2" t="s">
        <v>90</v>
      </c>
    </row>
    <row r="364" spans="1:14">
      <c r="B364" s="40"/>
    </row>
    <row r="365" spans="1:14">
      <c r="A365" s="2" t="s">
        <v>1038</v>
      </c>
      <c r="B365" s="2">
        <v>1</v>
      </c>
      <c r="C365" s="2" t="s">
        <v>45</v>
      </c>
      <c r="D365" s="2" t="s">
        <v>1042</v>
      </c>
      <c r="N365" s="2" t="s">
        <v>90</v>
      </c>
    </row>
    <row r="366" spans="1:14">
      <c r="A366" s="2" t="s">
        <v>1038</v>
      </c>
      <c r="B366" s="40">
        <v>2</v>
      </c>
      <c r="C366" s="2" t="s">
        <v>45</v>
      </c>
      <c r="D366" s="2" t="s">
        <v>1049</v>
      </c>
      <c r="N366" s="2" t="s">
        <v>90</v>
      </c>
    </row>
    <row r="367" spans="1:14">
      <c r="A367" s="2" t="s">
        <v>1038</v>
      </c>
      <c r="B367" s="2">
        <v>3</v>
      </c>
      <c r="C367" s="2" t="s">
        <v>47</v>
      </c>
      <c r="F367" s="2" t="s">
        <v>422</v>
      </c>
      <c r="G367" s="2" t="s">
        <v>443</v>
      </c>
      <c r="H367" s="2" t="s">
        <v>423</v>
      </c>
      <c r="I367" s="2" t="s">
        <v>112</v>
      </c>
      <c r="L367" s="2" t="str">
        <f t="shared" ref="L367:L368" si="60">_xlfn.TEXTJOIN("", TRUE, E367:K367)</f>
        <v>02_Slots/Personennamen/Namen/m/01_pA-dj-Gottheit/01_pA-dj_01.png</v>
      </c>
      <c r="N367" s="2" t="s">
        <v>90</v>
      </c>
    </row>
    <row r="368" spans="1:14">
      <c r="A368" s="2" t="s">
        <v>1038</v>
      </c>
      <c r="B368" s="40">
        <v>4</v>
      </c>
      <c r="C368" s="2" t="s">
        <v>47</v>
      </c>
      <c r="F368" s="2" t="s">
        <v>422</v>
      </c>
      <c r="G368" s="2" t="s">
        <v>443</v>
      </c>
      <c r="H368" s="2" t="s">
        <v>424</v>
      </c>
      <c r="I368" s="2" t="s">
        <v>112</v>
      </c>
      <c r="L368" s="2" t="str">
        <f t="shared" si="60"/>
        <v>02_Slots/Personennamen/Namen/m/01_pA-dj-Gottheit/01_pA-dj_02.png</v>
      </c>
      <c r="N368" s="2" t="s">
        <v>90</v>
      </c>
    </row>
    <row r="369" spans="1:14">
      <c r="A369" s="2" t="s">
        <v>1038</v>
      </c>
      <c r="B369" s="2">
        <v>5</v>
      </c>
      <c r="C369" s="2" t="s">
        <v>45</v>
      </c>
      <c r="D369" s="2" t="s">
        <v>1039</v>
      </c>
      <c r="N369" s="2" t="s">
        <v>90</v>
      </c>
    </row>
    <row r="370" spans="1:14">
      <c r="A370" s="2" t="s">
        <v>1038</v>
      </c>
      <c r="B370" s="40">
        <v>6</v>
      </c>
      <c r="C370" s="2" t="s">
        <v>46</v>
      </c>
      <c r="D370" s="2" t="s">
        <v>48</v>
      </c>
      <c r="M370" s="2" t="s">
        <v>97</v>
      </c>
      <c r="N370" s="2" t="s">
        <v>90</v>
      </c>
    </row>
    <row r="374" spans="1:14">
      <c r="A374" s="2" t="s">
        <v>1208</v>
      </c>
      <c r="B374" s="2">
        <v>1</v>
      </c>
      <c r="C374" s="2" t="s">
        <v>45</v>
      </c>
      <c r="D374" s="2" t="s">
        <v>1042</v>
      </c>
      <c r="N374" s="2" t="s">
        <v>90</v>
      </c>
    </row>
    <row r="375" spans="1:14">
      <c r="A375" s="2" t="s">
        <v>1208</v>
      </c>
      <c r="B375" s="2">
        <v>2</v>
      </c>
      <c r="C375" s="2" t="s">
        <v>46</v>
      </c>
      <c r="D375" s="2" t="s">
        <v>50</v>
      </c>
      <c r="M375" s="2" t="s">
        <v>99</v>
      </c>
      <c r="N375" s="2" t="s">
        <v>90</v>
      </c>
    </row>
    <row r="376" spans="1:14">
      <c r="A376" s="2" t="s">
        <v>1208</v>
      </c>
      <c r="B376" s="2">
        <v>3</v>
      </c>
      <c r="C376" s="2" t="s">
        <v>45</v>
      </c>
      <c r="D376" s="2" t="s">
        <v>1211</v>
      </c>
      <c r="N376" s="2" t="s">
        <v>90</v>
      </c>
    </row>
    <row r="377" spans="1:14">
      <c r="A377" s="2" t="s">
        <v>1208</v>
      </c>
      <c r="B377" s="2">
        <v>4</v>
      </c>
      <c r="C377" s="2" t="s">
        <v>45</v>
      </c>
      <c r="D377" s="2" t="s">
        <v>1212</v>
      </c>
      <c r="N377" s="2" t="s">
        <v>90</v>
      </c>
    </row>
    <row r="378" spans="1:14">
      <c r="A378" s="2" t="s">
        <v>1208</v>
      </c>
      <c r="B378" s="2">
        <v>5</v>
      </c>
      <c r="C378" s="2" t="s">
        <v>46</v>
      </c>
      <c r="D378" s="2" t="s">
        <v>50</v>
      </c>
      <c r="M378" s="2" t="s">
        <v>99</v>
      </c>
      <c r="N378" s="2" t="s">
        <v>90</v>
      </c>
    </row>
    <row r="379" spans="1:14">
      <c r="A379" s="2" t="s">
        <v>1208</v>
      </c>
      <c r="B379" s="2">
        <v>6</v>
      </c>
      <c r="C379" s="2" t="s">
        <v>45</v>
      </c>
      <c r="D379" s="2" t="s">
        <v>1213</v>
      </c>
      <c r="N379" s="2" t="s">
        <v>90</v>
      </c>
    </row>
    <row r="381" spans="1:14">
      <c r="A381" s="2" t="s">
        <v>1209</v>
      </c>
      <c r="B381" s="2">
        <v>1</v>
      </c>
      <c r="C381" s="2" t="s">
        <v>45</v>
      </c>
      <c r="D381" s="2" t="s">
        <v>1042</v>
      </c>
      <c r="N381" s="2" t="s">
        <v>90</v>
      </c>
    </row>
    <row r="382" spans="1:14">
      <c r="A382" s="2" t="s">
        <v>1209</v>
      </c>
      <c r="B382" s="2">
        <v>2</v>
      </c>
      <c r="C382" s="2" t="s">
        <v>46</v>
      </c>
      <c r="D382" s="2" t="s">
        <v>50</v>
      </c>
      <c r="M382" s="2" t="s">
        <v>99</v>
      </c>
      <c r="N382" s="2" t="s">
        <v>90</v>
      </c>
    </row>
    <row r="383" spans="1:14">
      <c r="A383" s="2" t="s">
        <v>1209</v>
      </c>
      <c r="B383" s="2">
        <v>3</v>
      </c>
      <c r="C383" s="2" t="s">
        <v>45</v>
      </c>
      <c r="D383" s="2" t="s">
        <v>1211</v>
      </c>
      <c r="N383" s="2" t="s">
        <v>90</v>
      </c>
    </row>
    <row r="384" spans="1:14">
      <c r="A384" s="2" t="s">
        <v>1209</v>
      </c>
      <c r="B384" s="2">
        <v>4</v>
      </c>
      <c r="C384" s="2" t="s">
        <v>45</v>
      </c>
      <c r="D384" s="2" t="s">
        <v>1214</v>
      </c>
      <c r="N384" s="2" t="s">
        <v>90</v>
      </c>
    </row>
    <row r="385" spans="1:14">
      <c r="A385" s="2" t="s">
        <v>1209</v>
      </c>
      <c r="B385" s="2">
        <v>5</v>
      </c>
      <c r="C385" s="2" t="s">
        <v>46</v>
      </c>
      <c r="D385" s="2" t="s">
        <v>50</v>
      </c>
      <c r="M385" s="2" t="s">
        <v>99</v>
      </c>
      <c r="N385" s="2" t="s">
        <v>90</v>
      </c>
    </row>
    <row r="386" spans="1:14">
      <c r="A386" s="2" t="s">
        <v>1209</v>
      </c>
      <c r="B386" s="2">
        <v>6</v>
      </c>
      <c r="C386" s="2" t="s">
        <v>45</v>
      </c>
      <c r="D386" s="2" t="s">
        <v>1213</v>
      </c>
      <c r="N386" s="2" t="s">
        <v>90</v>
      </c>
    </row>
    <row r="388" spans="1:14" ht="17">
      <c r="A388" s="39" t="s">
        <v>1210</v>
      </c>
      <c r="B388" s="2">
        <v>1</v>
      </c>
      <c r="C388" s="2" t="s">
        <v>45</v>
      </c>
      <c r="D388" s="2" t="s">
        <v>1042</v>
      </c>
      <c r="N388" s="2" t="s">
        <v>90</v>
      </c>
    </row>
    <row r="389" spans="1:14" ht="17">
      <c r="A389" s="39" t="s">
        <v>1210</v>
      </c>
      <c r="B389" s="2">
        <v>2</v>
      </c>
      <c r="C389" s="2" t="s">
        <v>46</v>
      </c>
      <c r="D389" s="2" t="s">
        <v>50</v>
      </c>
      <c r="M389" s="2" t="s">
        <v>99</v>
      </c>
      <c r="N389" s="2" t="s">
        <v>90</v>
      </c>
    </row>
    <row r="390" spans="1:14" ht="17">
      <c r="A390" s="39" t="s">
        <v>1210</v>
      </c>
      <c r="B390" s="2">
        <v>3</v>
      </c>
      <c r="C390" s="2" t="s">
        <v>45</v>
      </c>
      <c r="D390" s="2" t="s">
        <v>1213</v>
      </c>
      <c r="N390" s="2" t="s">
        <v>90</v>
      </c>
    </row>
    <row r="391" spans="1:14" ht="17">
      <c r="A391" s="39" t="s">
        <v>1210</v>
      </c>
      <c r="B391" s="2">
        <v>4</v>
      </c>
      <c r="C391" s="2" t="s">
        <v>45</v>
      </c>
      <c r="D391" s="2" t="s">
        <v>1214</v>
      </c>
      <c r="N391" s="2" t="s">
        <v>90</v>
      </c>
    </row>
    <row r="392" spans="1:14" ht="17">
      <c r="A392" s="39" t="s">
        <v>1210</v>
      </c>
      <c r="B392" s="2">
        <v>5</v>
      </c>
      <c r="C392" s="2" t="s">
        <v>46</v>
      </c>
      <c r="D392" s="2" t="s">
        <v>50</v>
      </c>
      <c r="M392" s="2" t="s">
        <v>99</v>
      </c>
      <c r="N392" s="2" t="s">
        <v>90</v>
      </c>
    </row>
    <row r="393" spans="1:14" ht="17">
      <c r="A393" s="39" t="s">
        <v>1210</v>
      </c>
      <c r="B393" s="2">
        <v>6</v>
      </c>
      <c r="C393" s="2" t="s">
        <v>45</v>
      </c>
      <c r="D393" s="2" t="s">
        <v>1211</v>
      </c>
      <c r="N393" s="2" t="s">
        <v>90</v>
      </c>
    </row>
  </sheetData>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2D4F70-2351-5545-A291-11D662F747FD}">
  <dimension ref="A1:L1166"/>
  <sheetViews>
    <sheetView tabSelected="1" topLeftCell="C1" zoomScale="116" zoomScaleNormal="100" workbookViewId="0">
      <pane ySplit="1" topLeftCell="A333" activePane="bottomLeft" state="frozen"/>
      <selection pane="bottomLeft" activeCell="C1" sqref="A1:XFD1048576"/>
    </sheetView>
  </sheetViews>
  <sheetFormatPr baseColWidth="10" defaultColWidth="16.6640625" defaultRowHeight="16"/>
  <cols>
    <col min="1" max="1" width="25.83203125" style="2" bestFit="1" customWidth="1"/>
    <col min="2" max="2" width="6.6640625" style="40" bestFit="1" customWidth="1"/>
    <col min="3" max="3" width="22.6640625" style="2" bestFit="1" customWidth="1"/>
    <col min="4" max="4" width="3.5" style="2" bestFit="1" customWidth="1"/>
    <col min="5" max="5" width="46.5" style="2" customWidth="1"/>
    <col min="6" max="6" width="20.5" style="2" customWidth="1"/>
    <col min="7" max="7" width="30" style="2" customWidth="1"/>
    <col min="8" max="8" width="4.5" style="2" bestFit="1" customWidth="1"/>
    <col min="9" max="9" width="6.33203125" style="2" bestFit="1" customWidth="1"/>
    <col min="10" max="10" width="12.33203125" style="2" bestFit="1" customWidth="1"/>
    <col min="11" max="11" width="6.6640625" style="2" bestFit="1" customWidth="1"/>
    <col min="12" max="12" width="59.6640625" style="2" bestFit="1" customWidth="1"/>
    <col min="13" max="16384" width="16.6640625" style="2"/>
  </cols>
  <sheetData>
    <row r="1" spans="1:12">
      <c r="A1" s="1" t="s">
        <v>23</v>
      </c>
      <c r="B1" s="41" t="s">
        <v>36</v>
      </c>
      <c r="C1" s="1" t="s">
        <v>37</v>
      </c>
      <c r="D1" s="1"/>
      <c r="E1" s="1"/>
      <c r="F1" s="1"/>
      <c r="G1" s="1"/>
      <c r="H1" s="1"/>
      <c r="I1" s="1"/>
      <c r="J1" s="1"/>
      <c r="K1" s="1"/>
      <c r="L1" s="1" t="s">
        <v>38</v>
      </c>
    </row>
    <row r="2" spans="1:12" s="3" customFormat="1">
      <c r="A2" s="3" t="s">
        <v>30</v>
      </c>
      <c r="B2" s="42">
        <v>1</v>
      </c>
      <c r="C2" s="3" t="s">
        <v>39</v>
      </c>
      <c r="L2" s="3" t="s">
        <v>176</v>
      </c>
    </row>
    <row r="3" spans="1:12" s="3" customFormat="1">
      <c r="A3" s="3" t="s">
        <v>30</v>
      </c>
      <c r="B3" s="42">
        <v>1</v>
      </c>
      <c r="C3" s="3" t="s">
        <v>27</v>
      </c>
      <c r="L3" s="3" t="s">
        <v>83</v>
      </c>
    </row>
    <row r="4" spans="1:12" s="3" customFormat="1">
      <c r="A4" s="3" t="s">
        <v>30</v>
      </c>
      <c r="B4" s="42">
        <v>1</v>
      </c>
      <c r="C4" s="3" t="s">
        <v>40</v>
      </c>
      <c r="L4" s="3" t="s">
        <v>182</v>
      </c>
    </row>
    <row r="5" spans="1:12" s="3" customFormat="1">
      <c r="A5" s="3" t="s">
        <v>30</v>
      </c>
      <c r="B5" s="42">
        <v>1</v>
      </c>
      <c r="C5" s="3" t="s">
        <v>41</v>
      </c>
      <c r="L5" s="3" t="s">
        <v>84</v>
      </c>
    </row>
    <row r="6" spans="1:12" s="3" customFormat="1">
      <c r="A6" s="3" t="s">
        <v>30</v>
      </c>
      <c r="B6" s="42">
        <v>2</v>
      </c>
      <c r="C6" s="3" t="s">
        <v>39</v>
      </c>
      <c r="L6" s="3" t="s">
        <v>177</v>
      </c>
    </row>
    <row r="7" spans="1:12" s="3" customFormat="1">
      <c r="A7" s="3" t="s">
        <v>30</v>
      </c>
      <c r="B7" s="42">
        <v>2</v>
      </c>
      <c r="C7" s="3" t="s">
        <v>27</v>
      </c>
      <c r="L7" s="3" t="s">
        <v>85</v>
      </c>
    </row>
    <row r="8" spans="1:12" s="3" customFormat="1">
      <c r="A8" s="3" t="s">
        <v>30</v>
      </c>
      <c r="B8" s="42">
        <v>2</v>
      </c>
      <c r="C8" s="3" t="s">
        <v>40</v>
      </c>
      <c r="L8" s="3" t="s">
        <v>182</v>
      </c>
    </row>
    <row r="9" spans="1:12" s="3" customFormat="1">
      <c r="A9" s="3" t="s">
        <v>30</v>
      </c>
      <c r="B9" s="42">
        <v>2</v>
      </c>
      <c r="C9" s="3" t="s">
        <v>41</v>
      </c>
    </row>
    <row r="10" spans="1:12" s="3" customFormat="1">
      <c r="A10" s="3" t="s">
        <v>30</v>
      </c>
      <c r="B10" s="42">
        <v>3</v>
      </c>
      <c r="C10" s="3" t="s">
        <v>39</v>
      </c>
      <c r="L10" s="3" t="s">
        <v>86</v>
      </c>
    </row>
    <row r="11" spans="1:12" s="3" customFormat="1">
      <c r="A11" s="3" t="s">
        <v>30</v>
      </c>
      <c r="B11" s="42">
        <v>3</v>
      </c>
      <c r="C11" s="3" t="s">
        <v>27</v>
      </c>
      <c r="L11" s="3" t="s">
        <v>87</v>
      </c>
    </row>
    <row r="12" spans="1:12" s="3" customFormat="1">
      <c r="A12" s="3" t="s">
        <v>30</v>
      </c>
      <c r="B12" s="42">
        <v>3</v>
      </c>
      <c r="C12" s="3" t="s">
        <v>40</v>
      </c>
      <c r="L12" s="3" t="s">
        <v>183</v>
      </c>
    </row>
    <row r="13" spans="1:12" s="3" customFormat="1">
      <c r="A13" s="3" t="s">
        <v>30</v>
      </c>
      <c r="B13" s="42">
        <v>3</v>
      </c>
      <c r="C13" s="3" t="s">
        <v>41</v>
      </c>
    </row>
    <row r="15" spans="1:12" s="4" customFormat="1">
      <c r="A15" s="16" t="s">
        <v>347</v>
      </c>
      <c r="B15" s="43">
        <v>1</v>
      </c>
      <c r="C15" s="4" t="s">
        <v>39</v>
      </c>
      <c r="L15" s="4" t="s">
        <v>327</v>
      </c>
    </row>
    <row r="16" spans="1:12" s="4" customFormat="1">
      <c r="A16" s="16" t="s">
        <v>347</v>
      </c>
      <c r="B16" s="43">
        <v>1</v>
      </c>
      <c r="C16" s="4" t="s">
        <v>27</v>
      </c>
      <c r="L16" s="4" t="s">
        <v>1471</v>
      </c>
    </row>
    <row r="17" spans="1:12" s="4" customFormat="1">
      <c r="A17" s="16" t="s">
        <v>347</v>
      </c>
      <c r="B17" s="43">
        <v>1</v>
      </c>
      <c r="C17" s="4" t="s">
        <v>40</v>
      </c>
      <c r="L17" s="4" t="s">
        <v>348</v>
      </c>
    </row>
    <row r="18" spans="1:12" s="4" customFormat="1">
      <c r="A18" s="16" t="s">
        <v>347</v>
      </c>
      <c r="B18" s="43">
        <v>1</v>
      </c>
      <c r="C18" s="4" t="s">
        <v>41</v>
      </c>
      <c r="L18" s="4" t="s">
        <v>1466</v>
      </c>
    </row>
    <row r="19" spans="1:12" s="4" customFormat="1">
      <c r="A19" s="16" t="s">
        <v>347</v>
      </c>
      <c r="B19" s="43">
        <v>2</v>
      </c>
      <c r="C19" s="4" t="s">
        <v>39</v>
      </c>
      <c r="L19" s="4" t="s">
        <v>1462</v>
      </c>
    </row>
    <row r="20" spans="1:12" s="4" customFormat="1">
      <c r="A20" s="16" t="s">
        <v>347</v>
      </c>
      <c r="B20" s="43">
        <v>2</v>
      </c>
      <c r="C20" s="4" t="s">
        <v>27</v>
      </c>
      <c r="L20" s="4" t="s">
        <v>1464</v>
      </c>
    </row>
    <row r="21" spans="1:12" s="4" customFormat="1">
      <c r="A21" s="16" t="s">
        <v>347</v>
      </c>
      <c r="B21" s="43">
        <v>2</v>
      </c>
      <c r="C21" s="4" t="s">
        <v>40</v>
      </c>
      <c r="L21" s="4" t="s">
        <v>1465</v>
      </c>
    </row>
    <row r="22" spans="1:12" s="4" customFormat="1">
      <c r="A22" s="16" t="s">
        <v>347</v>
      </c>
      <c r="B22" s="43">
        <v>2</v>
      </c>
      <c r="C22" s="4" t="s">
        <v>41</v>
      </c>
    </row>
    <row r="24" spans="1:12" s="45" customFormat="1">
      <c r="A24" s="18" t="s">
        <v>527</v>
      </c>
      <c r="B24" s="44">
        <v>1</v>
      </c>
      <c r="C24" s="45" t="s">
        <v>39</v>
      </c>
      <c r="L24" s="45" t="s">
        <v>369</v>
      </c>
    </row>
    <row r="25" spans="1:12" s="45" customFormat="1">
      <c r="A25" s="18" t="s">
        <v>527</v>
      </c>
      <c r="B25" s="44">
        <v>1</v>
      </c>
      <c r="C25" s="45" t="s">
        <v>27</v>
      </c>
      <c r="L25" s="45" t="s">
        <v>528</v>
      </c>
    </row>
    <row r="26" spans="1:12" s="45" customFormat="1">
      <c r="A26" s="18" t="s">
        <v>527</v>
      </c>
      <c r="B26" s="44">
        <v>2</v>
      </c>
      <c r="C26" s="45" t="s">
        <v>39</v>
      </c>
      <c r="L26" s="45" t="s">
        <v>372</v>
      </c>
    </row>
    <row r="27" spans="1:12" s="45" customFormat="1">
      <c r="A27" s="18" t="s">
        <v>527</v>
      </c>
      <c r="B27" s="44">
        <v>2</v>
      </c>
      <c r="C27" s="45" t="s">
        <v>27</v>
      </c>
      <c r="L27" s="45" t="s">
        <v>529</v>
      </c>
    </row>
    <row r="28" spans="1:12">
      <c r="A28" s="13"/>
    </row>
    <row r="29" spans="1:12" s="45" customFormat="1">
      <c r="A29" s="18" t="s">
        <v>531</v>
      </c>
      <c r="B29" s="44">
        <v>1</v>
      </c>
      <c r="C29" s="45" t="s">
        <v>39</v>
      </c>
      <c r="L29" s="5" t="s">
        <v>533</v>
      </c>
    </row>
    <row r="30" spans="1:12" s="45" customFormat="1">
      <c r="A30" s="18" t="s">
        <v>531</v>
      </c>
      <c r="B30" s="44">
        <v>1</v>
      </c>
      <c r="C30" s="45" t="s">
        <v>27</v>
      </c>
      <c r="L30" s="45" t="s">
        <v>532</v>
      </c>
    </row>
    <row r="34" spans="1:12">
      <c r="A34" s="2" t="s">
        <v>197</v>
      </c>
      <c r="B34" s="40">
        <v>1</v>
      </c>
      <c r="C34" s="2" t="s">
        <v>39</v>
      </c>
      <c r="L34" s="2" t="s">
        <v>187</v>
      </c>
    </row>
    <row r="35" spans="1:12">
      <c r="A35" s="2" t="s">
        <v>197</v>
      </c>
      <c r="B35" s="40">
        <v>1</v>
      </c>
      <c r="C35" s="2" t="s">
        <v>105</v>
      </c>
      <c r="E35" s="2" t="s">
        <v>253</v>
      </c>
      <c r="G35" s="2" t="s">
        <v>189</v>
      </c>
      <c r="H35" s="2" t="s">
        <v>112</v>
      </c>
      <c r="L35" s="2" t="str">
        <f t="shared" ref="L35:L36" si="0">_xlfn.TEXTJOIN("", TRUE, D35:J35)</f>
        <v>02_Slots/Gaben/0001_Anrufungsopfer-Totenopfer/0001_pr.t-xrw_01.png</v>
      </c>
    </row>
    <row r="36" spans="1:12">
      <c r="A36" s="2" t="s">
        <v>197</v>
      </c>
      <c r="B36" s="40">
        <v>1</v>
      </c>
      <c r="C36" s="2" t="s">
        <v>105</v>
      </c>
      <c r="E36" s="2" t="s">
        <v>253</v>
      </c>
      <c r="G36" s="2" t="s">
        <v>191</v>
      </c>
      <c r="H36" s="2" t="s">
        <v>112</v>
      </c>
      <c r="L36" s="2" t="str">
        <f t="shared" si="0"/>
        <v>02_Slots/Gaben/0001_Anrufungsopfer-Totenopfer/0010_pr.t-xrw_02.png</v>
      </c>
    </row>
    <row r="37" spans="1:12">
      <c r="A37" s="2" t="s">
        <v>197</v>
      </c>
      <c r="B37" s="40">
        <v>1</v>
      </c>
      <c r="C37" s="2" t="s">
        <v>105</v>
      </c>
      <c r="E37" s="2" t="s">
        <v>253</v>
      </c>
      <c r="G37" s="2" t="s">
        <v>192</v>
      </c>
      <c r="H37" s="2" t="s">
        <v>112</v>
      </c>
      <c r="I37" s="2" t="s">
        <v>1132</v>
      </c>
      <c r="J37" s="2" t="s">
        <v>1133</v>
      </c>
      <c r="K37" s="2" t="s">
        <v>1134</v>
      </c>
      <c r="L37" s="2" t="str">
        <f>_xlfn.TEXTJOIN("", TRUE, D37:K37)</f>
        <v>02_Slots/Gaben/0001_Anrufungsopfer-Totenopfer/0020_pr.t-xrw_AR_01.png &lt;sup&gt;(AR)&lt;/sup&gt;</v>
      </c>
    </row>
    <row r="38" spans="1:12">
      <c r="A38" s="2" t="s">
        <v>197</v>
      </c>
      <c r="B38" s="40">
        <v>1</v>
      </c>
      <c r="C38" s="2" t="s">
        <v>190</v>
      </c>
      <c r="E38" s="2" t="s">
        <v>253</v>
      </c>
      <c r="F38" s="2" t="s">
        <v>110</v>
      </c>
      <c r="G38" s="2" t="s">
        <v>193</v>
      </c>
      <c r="H38" s="2" t="s">
        <v>112</v>
      </c>
      <c r="L38" s="2" t="str">
        <f t="shared" ref="L38" si="1">_xlfn.TEXTJOIN("", TRUE, D38:J38)</f>
        <v>02_Slots/Gaben/0001_Anrufungsopfer-Totenopfer/det/0001_pr.t-xrw_det_01.png</v>
      </c>
    </row>
    <row r="39" spans="1:12">
      <c r="A39" s="2" t="s">
        <v>197</v>
      </c>
      <c r="B39" s="40">
        <v>1</v>
      </c>
      <c r="C39" s="2" t="s">
        <v>27</v>
      </c>
      <c r="L39" s="2" t="s">
        <v>188</v>
      </c>
    </row>
    <row r="41" spans="1:12">
      <c r="A41" s="2" t="s">
        <v>194</v>
      </c>
      <c r="B41" s="40">
        <v>2</v>
      </c>
      <c r="C41" s="2" t="s">
        <v>39</v>
      </c>
      <c r="L41" s="2" t="s">
        <v>198</v>
      </c>
    </row>
    <row r="42" spans="1:12">
      <c r="A42" s="2" t="s">
        <v>194</v>
      </c>
      <c r="B42" s="40">
        <v>2</v>
      </c>
      <c r="C42" s="2" t="s">
        <v>105</v>
      </c>
      <c r="E42" s="2" t="s">
        <v>254</v>
      </c>
      <c r="G42" s="2" t="s">
        <v>200</v>
      </c>
      <c r="H42" s="2" t="s">
        <v>112</v>
      </c>
      <c r="L42" s="2" t="str">
        <f t="shared" ref="L42" si="2">_xlfn.TEXTJOIN("", TRUE, D42:J42)</f>
        <v>02_Slots/Gaben/0010_Bier/0001_Hnq.t_01.png</v>
      </c>
    </row>
    <row r="43" spans="1:12">
      <c r="A43" s="2" t="s">
        <v>194</v>
      </c>
      <c r="B43" s="40">
        <v>2</v>
      </c>
      <c r="C43" s="2" t="s">
        <v>105</v>
      </c>
      <c r="E43" s="2" t="s">
        <v>254</v>
      </c>
      <c r="G43" s="2" t="s">
        <v>201</v>
      </c>
      <c r="H43" s="2" t="s">
        <v>112</v>
      </c>
      <c r="I43" s="2" t="s">
        <v>1132</v>
      </c>
      <c r="J43" s="2" t="s">
        <v>1135</v>
      </c>
      <c r="K43" s="2" t="s">
        <v>1134</v>
      </c>
      <c r="L43" s="2" t="str">
        <f>_xlfn.TEXTJOIN("", TRUE, D43:K43)</f>
        <v>02_Slots/Gaben/0010_Bier/0010_Hnq.t_GR_01.png &lt;sup&gt;(Gr.)&lt;/sup&gt;</v>
      </c>
    </row>
    <row r="44" spans="1:12">
      <c r="A44" s="2" t="s">
        <v>194</v>
      </c>
      <c r="B44" s="40">
        <v>2</v>
      </c>
      <c r="C44" s="2" t="s">
        <v>274</v>
      </c>
      <c r="E44" s="2" t="s">
        <v>254</v>
      </c>
      <c r="G44" s="2" t="s">
        <v>202</v>
      </c>
      <c r="H44" s="2" t="s">
        <v>112</v>
      </c>
      <c r="L44" s="2" t="str">
        <f t="shared" ref="L44" si="3">_xlfn.TEXTJOIN("", TRUE, D44:J44)</f>
        <v>02_Slots/Gaben/0010_Bier/0020_Hnq.t_Abk_01.png</v>
      </c>
    </row>
    <row r="45" spans="1:12">
      <c r="A45" s="2" t="s">
        <v>194</v>
      </c>
      <c r="B45" s="40">
        <v>2</v>
      </c>
      <c r="C45" s="2" t="s">
        <v>190</v>
      </c>
      <c r="E45" s="2" t="s">
        <v>254</v>
      </c>
      <c r="F45" s="2" t="s">
        <v>110</v>
      </c>
      <c r="G45" s="2" t="s">
        <v>203</v>
      </c>
      <c r="H45" s="2" t="s">
        <v>112</v>
      </c>
      <c r="L45" s="2" t="str">
        <f t="shared" ref="L45" si="4">_xlfn.TEXTJOIN("", TRUE, D45:J45)</f>
        <v>02_Slots/Gaben/0010_Bier/det/0001_Hnq.t_det_01.png</v>
      </c>
    </row>
    <row r="46" spans="1:12">
      <c r="A46" s="2" t="s">
        <v>194</v>
      </c>
      <c r="B46" s="40">
        <v>2</v>
      </c>
      <c r="C46" s="2" t="s">
        <v>190</v>
      </c>
      <c r="E46" s="2" t="s">
        <v>254</v>
      </c>
      <c r="F46" s="2" t="s">
        <v>110</v>
      </c>
      <c r="G46" s="2" t="s">
        <v>204</v>
      </c>
      <c r="H46" s="2" t="s">
        <v>112</v>
      </c>
      <c r="L46" s="2" t="str">
        <f t="shared" ref="L46" si="5">_xlfn.TEXTJOIN("", TRUE, D46:J46)</f>
        <v>02_Slots/Gaben/0010_Bier/det/0010_Hnq.t_det_02.png</v>
      </c>
    </row>
    <row r="47" spans="1:12">
      <c r="A47" s="2" t="s">
        <v>194</v>
      </c>
      <c r="B47" s="40">
        <v>2</v>
      </c>
      <c r="C47" s="2" t="s">
        <v>27</v>
      </c>
      <c r="L47" s="2" t="s">
        <v>199</v>
      </c>
    </row>
    <row r="49" spans="1:12">
      <c r="A49" s="2" t="s">
        <v>194</v>
      </c>
      <c r="B49" s="40">
        <v>1</v>
      </c>
      <c r="C49" s="2" t="s">
        <v>39</v>
      </c>
      <c r="L49" s="2" t="s">
        <v>211</v>
      </c>
    </row>
    <row r="50" spans="1:12">
      <c r="A50" s="2" t="s">
        <v>194</v>
      </c>
      <c r="B50" s="40">
        <v>1</v>
      </c>
      <c r="C50" s="2" t="s">
        <v>105</v>
      </c>
      <c r="E50" s="2" t="s">
        <v>255</v>
      </c>
      <c r="G50" s="2" t="s">
        <v>205</v>
      </c>
      <c r="H50" s="2" t="s">
        <v>112</v>
      </c>
      <c r="L50" s="2" t="str">
        <f t="shared" ref="L50:L55" si="6">_xlfn.TEXTJOIN("", TRUE, D50:J50)</f>
        <v>02_Slots/Gaben/0020_Brot/0001_t_01.png</v>
      </c>
    </row>
    <row r="51" spans="1:12">
      <c r="A51" s="2" t="s">
        <v>194</v>
      </c>
      <c r="B51" s="40">
        <v>1</v>
      </c>
      <c r="C51" s="2" t="s">
        <v>274</v>
      </c>
      <c r="E51" s="2" t="s">
        <v>255</v>
      </c>
      <c r="G51" s="2" t="s">
        <v>206</v>
      </c>
      <c r="H51" s="2" t="s">
        <v>112</v>
      </c>
      <c r="L51" s="2" t="str">
        <f t="shared" si="6"/>
        <v>02_Slots/Gaben/0020_Brot/0010_t_Abk_01.png</v>
      </c>
    </row>
    <row r="52" spans="1:12">
      <c r="A52" s="2" t="s">
        <v>194</v>
      </c>
      <c r="B52" s="40">
        <v>1</v>
      </c>
      <c r="C52" s="2" t="s">
        <v>190</v>
      </c>
      <c r="E52" s="2" t="s">
        <v>255</v>
      </c>
      <c r="F52" s="2" t="s">
        <v>110</v>
      </c>
      <c r="G52" s="2" t="s">
        <v>207</v>
      </c>
      <c r="H52" s="2" t="s">
        <v>112</v>
      </c>
      <c r="L52" s="2" t="str">
        <f t="shared" si="6"/>
        <v>02_Slots/Gaben/0020_Brot/det/0001_t_det_01.png</v>
      </c>
    </row>
    <row r="53" spans="1:12">
      <c r="A53" s="2" t="s">
        <v>194</v>
      </c>
      <c r="B53" s="40">
        <v>1</v>
      </c>
      <c r="C53" s="2" t="s">
        <v>190</v>
      </c>
      <c r="E53" s="2" t="s">
        <v>255</v>
      </c>
      <c r="F53" s="2" t="s">
        <v>110</v>
      </c>
      <c r="G53" s="2" t="s">
        <v>208</v>
      </c>
      <c r="H53" s="2" t="s">
        <v>112</v>
      </c>
      <c r="L53" s="2" t="str">
        <f t="shared" si="6"/>
        <v>02_Slots/Gaben/0020_Brot/det/0010_t_det_02.png</v>
      </c>
    </row>
    <row r="54" spans="1:12">
      <c r="A54" s="2" t="s">
        <v>194</v>
      </c>
      <c r="B54" s="40">
        <v>1</v>
      </c>
      <c r="C54" s="2" t="s">
        <v>190</v>
      </c>
      <c r="E54" s="2" t="s">
        <v>255</v>
      </c>
      <c r="F54" s="2" t="s">
        <v>110</v>
      </c>
      <c r="G54" s="2" t="s">
        <v>209</v>
      </c>
      <c r="H54" s="2" t="s">
        <v>112</v>
      </c>
      <c r="L54" s="2" t="str">
        <f t="shared" ref="L54" si="7">_xlfn.TEXTJOIN("", TRUE, D54:J54)</f>
        <v>02_Slots/Gaben/0020_Brot/det/0020_t_det_03.png</v>
      </c>
    </row>
    <row r="55" spans="1:12">
      <c r="A55" s="2" t="s">
        <v>194</v>
      </c>
      <c r="B55" s="40">
        <v>1</v>
      </c>
      <c r="C55" s="2" t="s">
        <v>190</v>
      </c>
      <c r="E55" s="2" t="s">
        <v>255</v>
      </c>
      <c r="F55" s="2" t="s">
        <v>110</v>
      </c>
      <c r="G55" s="2" t="s">
        <v>210</v>
      </c>
      <c r="H55" s="2" t="s">
        <v>112</v>
      </c>
      <c r="L55" s="2" t="str">
        <f t="shared" si="6"/>
        <v>02_Slots/Gaben/0020_Brot/det/0030_t_det_04.png</v>
      </c>
    </row>
    <row r="56" spans="1:12">
      <c r="A56" s="2" t="s">
        <v>194</v>
      </c>
      <c r="B56" s="40">
        <v>1</v>
      </c>
      <c r="C56" s="2" t="s">
        <v>27</v>
      </c>
      <c r="L56" s="2" t="s">
        <v>212</v>
      </c>
    </row>
    <row r="58" spans="1:12">
      <c r="A58" s="2" t="s">
        <v>194</v>
      </c>
      <c r="B58" s="40">
        <v>4</v>
      </c>
      <c r="C58" s="2" t="s">
        <v>39</v>
      </c>
      <c r="L58" s="2" t="s">
        <v>217</v>
      </c>
    </row>
    <row r="59" spans="1:12">
      <c r="A59" s="2" t="s">
        <v>194</v>
      </c>
      <c r="B59" s="40">
        <v>4</v>
      </c>
      <c r="C59" s="2" t="s">
        <v>105</v>
      </c>
      <c r="E59" s="2" t="s">
        <v>256</v>
      </c>
      <c r="G59" s="2" t="s">
        <v>213</v>
      </c>
      <c r="H59" s="2" t="s">
        <v>112</v>
      </c>
      <c r="L59" s="2" t="str">
        <f>_xlfn.TEXTJOIN("", TRUE, D59:H59)</f>
        <v>02_Slots/Gaben/0030_Gefluegel/0001_Apd_01.png</v>
      </c>
    </row>
    <row r="60" spans="1:12">
      <c r="A60" s="2" t="s">
        <v>194</v>
      </c>
      <c r="B60" s="40">
        <v>4</v>
      </c>
      <c r="C60" s="2" t="s">
        <v>274</v>
      </c>
      <c r="E60" s="2" t="s">
        <v>256</v>
      </c>
      <c r="G60" s="2" t="s">
        <v>214</v>
      </c>
      <c r="H60" s="2" t="s">
        <v>112</v>
      </c>
      <c r="L60" s="2" t="str">
        <f>_xlfn.TEXTJOIN("", TRUE, D60:K60)</f>
        <v>02_Slots/Gaben/0030_Gefluegel/0010_Apd_Abk_01.png</v>
      </c>
    </row>
    <row r="61" spans="1:12">
      <c r="A61" s="2" t="s">
        <v>194</v>
      </c>
      <c r="B61" s="40">
        <v>4</v>
      </c>
      <c r="C61" s="2" t="s">
        <v>274</v>
      </c>
      <c r="E61" s="2" t="s">
        <v>256</v>
      </c>
      <c r="G61" s="2" t="s">
        <v>215</v>
      </c>
      <c r="H61" s="2" t="s">
        <v>112</v>
      </c>
      <c r="L61" s="2" t="str">
        <f t="shared" ref="L61:L62" si="8">_xlfn.TEXTJOIN("", TRUE, D61:J61)</f>
        <v>02_Slots/Gaben/0030_Gefluegel/0020_Apd_Abk_02.png</v>
      </c>
    </row>
    <row r="62" spans="1:12">
      <c r="A62" s="2" t="s">
        <v>194</v>
      </c>
      <c r="B62" s="40">
        <v>4</v>
      </c>
      <c r="C62" s="2" t="s">
        <v>190</v>
      </c>
      <c r="E62" s="2" t="s">
        <v>256</v>
      </c>
      <c r="F62" s="2" t="s">
        <v>110</v>
      </c>
      <c r="G62" s="2" t="s">
        <v>216</v>
      </c>
      <c r="H62" s="2" t="s">
        <v>112</v>
      </c>
      <c r="L62" s="2" t="str">
        <f t="shared" si="8"/>
        <v>02_Slots/Gaben/0030_Gefluegel/det/0001_Apd_det_01.png</v>
      </c>
    </row>
    <row r="63" spans="1:12">
      <c r="A63" s="2" t="s">
        <v>194</v>
      </c>
      <c r="B63" s="40">
        <v>4</v>
      </c>
      <c r="C63" s="2" t="s">
        <v>27</v>
      </c>
      <c r="L63" s="2" t="s">
        <v>218</v>
      </c>
    </row>
    <row r="65" spans="1:12">
      <c r="A65" s="2" t="s">
        <v>194</v>
      </c>
      <c r="B65" s="40">
        <v>3</v>
      </c>
      <c r="C65" s="2" t="s">
        <v>39</v>
      </c>
      <c r="L65" s="2" t="s">
        <v>220</v>
      </c>
    </row>
    <row r="66" spans="1:12">
      <c r="A66" s="2" t="s">
        <v>194</v>
      </c>
      <c r="B66" s="40">
        <v>3</v>
      </c>
      <c r="C66" s="2" t="s">
        <v>105</v>
      </c>
      <c r="E66" s="2" t="s">
        <v>257</v>
      </c>
      <c r="G66" s="2" t="s">
        <v>221</v>
      </c>
      <c r="H66" s="2" t="s">
        <v>112</v>
      </c>
      <c r="L66" s="2" t="str">
        <f t="shared" ref="L66" si="9">_xlfn.TEXTJOIN("", TRUE, D66:J66)</f>
        <v>02_Slots/Gaben/0040_Rinder/0001_kA_01.png</v>
      </c>
    </row>
    <row r="67" spans="1:12">
      <c r="A67" s="2" t="s">
        <v>194</v>
      </c>
      <c r="B67" s="40">
        <v>3</v>
      </c>
      <c r="C67" s="2" t="s">
        <v>105</v>
      </c>
      <c r="E67" s="2" t="s">
        <v>257</v>
      </c>
      <c r="G67" s="2" t="s">
        <v>222</v>
      </c>
      <c r="H67" s="2" t="s">
        <v>112</v>
      </c>
      <c r="I67" s="2" t="s">
        <v>1132</v>
      </c>
      <c r="J67" s="2" t="s">
        <v>1136</v>
      </c>
      <c r="K67" s="2" t="s">
        <v>1134</v>
      </c>
      <c r="L67" s="2" t="str">
        <f t="shared" ref="L67:L69" si="10">_xlfn.TEXTJOIN("", TRUE, D67:K67)</f>
        <v>02_Slots/Gaben/0040_Rinder/0010_kA_MR_03.png &lt;sup&gt;(MR)&lt;/sup&gt;</v>
      </c>
    </row>
    <row r="68" spans="1:12">
      <c r="A68" s="2" t="s">
        <v>194</v>
      </c>
      <c r="B68" s="40">
        <v>3</v>
      </c>
      <c r="C68" s="2" t="s">
        <v>105</v>
      </c>
      <c r="E68" s="2" t="s">
        <v>257</v>
      </c>
      <c r="G68" s="2" t="s">
        <v>223</v>
      </c>
      <c r="H68" s="2" t="s">
        <v>112</v>
      </c>
      <c r="I68" s="2" t="s">
        <v>1132</v>
      </c>
      <c r="J68" s="2" t="s">
        <v>1088</v>
      </c>
      <c r="K68" s="2" t="s">
        <v>1134</v>
      </c>
      <c r="L68" s="2" t="str">
        <f t="shared" si="10"/>
        <v>02_Slots/Gaben/0040_Rinder/0020_kA_NR_01.png &lt;sup&gt;(NR)&lt;/sup&gt;</v>
      </c>
    </row>
    <row r="69" spans="1:12">
      <c r="A69" s="2" t="s">
        <v>194</v>
      </c>
      <c r="B69" s="40">
        <v>3</v>
      </c>
      <c r="C69" s="2" t="s">
        <v>105</v>
      </c>
      <c r="E69" s="2" t="s">
        <v>257</v>
      </c>
      <c r="G69" s="2" t="s">
        <v>224</v>
      </c>
      <c r="H69" s="2" t="s">
        <v>112</v>
      </c>
      <c r="I69" s="2" t="s">
        <v>1132</v>
      </c>
      <c r="J69" s="2" t="s">
        <v>1088</v>
      </c>
      <c r="K69" s="2" t="s">
        <v>1134</v>
      </c>
      <c r="L69" s="2" t="str">
        <f t="shared" si="10"/>
        <v>02_Slots/Gaben/0040_Rinder/0030_kA_NR_02.png &lt;sup&gt;(NR)&lt;/sup&gt;</v>
      </c>
    </row>
    <row r="70" spans="1:12">
      <c r="A70" s="2" t="s">
        <v>194</v>
      </c>
      <c r="B70" s="40">
        <v>3</v>
      </c>
      <c r="C70" s="2" t="s">
        <v>274</v>
      </c>
      <c r="E70" s="2" t="s">
        <v>257</v>
      </c>
      <c r="G70" s="2" t="s">
        <v>225</v>
      </c>
      <c r="H70" s="2" t="s">
        <v>112</v>
      </c>
      <c r="L70" s="2" t="str">
        <f t="shared" ref="L70:L71" si="11">_xlfn.TEXTJOIN("", TRUE, D70:J70)</f>
        <v>02_Slots/Gaben/0040_Rinder/0040_kA_Abk_01.png</v>
      </c>
    </row>
    <row r="71" spans="1:12">
      <c r="A71" s="2" t="s">
        <v>194</v>
      </c>
      <c r="B71" s="40">
        <v>3</v>
      </c>
      <c r="C71" s="2" t="s">
        <v>190</v>
      </c>
      <c r="E71" s="2" t="s">
        <v>257</v>
      </c>
      <c r="F71" s="2" t="s">
        <v>110</v>
      </c>
      <c r="G71" s="2" t="s">
        <v>226</v>
      </c>
      <c r="H71" s="2" t="s">
        <v>112</v>
      </c>
      <c r="L71" s="2" t="str">
        <f t="shared" si="11"/>
        <v>02_Slots/Gaben/0040_Rinder/det/0001_kA_det_01.png</v>
      </c>
    </row>
    <row r="72" spans="1:12">
      <c r="A72" s="2" t="s">
        <v>194</v>
      </c>
      <c r="B72" s="40">
        <v>3</v>
      </c>
      <c r="C72" s="2" t="s">
        <v>27</v>
      </c>
      <c r="L72" s="2" t="s">
        <v>219</v>
      </c>
    </row>
    <row r="74" spans="1:12">
      <c r="A74" s="2" t="s">
        <v>194</v>
      </c>
      <c r="B74" s="40">
        <v>5</v>
      </c>
      <c r="C74" s="2" t="s">
        <v>39</v>
      </c>
      <c r="L74" s="2" t="s">
        <v>227</v>
      </c>
    </row>
    <row r="75" spans="1:12">
      <c r="A75" s="2" t="s">
        <v>194</v>
      </c>
      <c r="B75" s="40">
        <v>5</v>
      </c>
      <c r="C75" s="2" t="s">
        <v>105</v>
      </c>
      <c r="E75" s="2" t="s">
        <v>258</v>
      </c>
      <c r="G75" s="2" t="s">
        <v>232</v>
      </c>
      <c r="H75" s="2" t="s">
        <v>112</v>
      </c>
      <c r="I75" s="2" t="s">
        <v>1132</v>
      </c>
      <c r="J75" s="2" t="s">
        <v>1123</v>
      </c>
      <c r="K75" s="2" t="s">
        <v>1134</v>
      </c>
      <c r="L75" s="2" t="str">
        <f>_xlfn.TEXTJOIN("", TRUE, D75:K75)</f>
        <v>02_Slots/Gaben/0050_Alabaster/0001_Ss_AR-MR_01.png &lt;sup&gt;(AR; MR)&lt;/sup&gt;</v>
      </c>
    </row>
    <row r="76" spans="1:12">
      <c r="A76" s="2" t="s">
        <v>194</v>
      </c>
      <c r="B76" s="40">
        <v>5</v>
      </c>
      <c r="C76" s="2" t="s">
        <v>274</v>
      </c>
      <c r="E76" s="2" t="s">
        <v>258</v>
      </c>
      <c r="G76" s="2" t="s">
        <v>229</v>
      </c>
      <c r="H76" s="2" t="s">
        <v>112</v>
      </c>
      <c r="L76" s="2" t="str">
        <f t="shared" ref="L76:L78" si="12">_xlfn.TEXTJOIN("", TRUE, D76:J76)</f>
        <v>02_Slots/Gaben/0050_Alabaster/0010_Ss_Abk_01.png</v>
      </c>
    </row>
    <row r="77" spans="1:12">
      <c r="A77" s="2" t="s">
        <v>194</v>
      </c>
      <c r="B77" s="40">
        <v>5</v>
      </c>
      <c r="C77" s="2" t="s">
        <v>274</v>
      </c>
      <c r="E77" s="2" t="s">
        <v>258</v>
      </c>
      <c r="G77" s="2" t="s">
        <v>230</v>
      </c>
      <c r="H77" s="2" t="s">
        <v>112</v>
      </c>
      <c r="I77" s="2" t="s">
        <v>1132</v>
      </c>
      <c r="J77" s="2" t="s">
        <v>1136</v>
      </c>
      <c r="K77" s="2" t="s">
        <v>1134</v>
      </c>
      <c r="L77" s="2" t="str">
        <f>_xlfn.TEXTJOIN("", TRUE, D77:K77)</f>
        <v>02_Slots/Gaben/0050_Alabaster/0020_Ss_Abk_MR_01.png &lt;sup&gt;(MR)&lt;/sup&gt;</v>
      </c>
    </row>
    <row r="78" spans="1:12">
      <c r="A78" s="2" t="s">
        <v>194</v>
      </c>
      <c r="B78" s="40">
        <v>5</v>
      </c>
      <c r="C78" s="2" t="s">
        <v>190</v>
      </c>
      <c r="E78" s="2" t="s">
        <v>258</v>
      </c>
      <c r="F78" s="2" t="s">
        <v>110</v>
      </c>
      <c r="G78" s="2" t="s">
        <v>231</v>
      </c>
      <c r="H78" s="2" t="s">
        <v>112</v>
      </c>
      <c r="L78" s="2" t="str">
        <f t="shared" si="12"/>
        <v>02_Slots/Gaben/0050_Alabaster/det/0001_Ss_det_01.png</v>
      </c>
    </row>
    <row r="79" spans="1:12">
      <c r="A79" s="2" t="s">
        <v>194</v>
      </c>
      <c r="B79" s="40">
        <v>5</v>
      </c>
      <c r="C79" s="2" t="s">
        <v>27</v>
      </c>
      <c r="L79" s="2" t="s">
        <v>228</v>
      </c>
    </row>
    <row r="81" spans="1:12">
      <c r="A81" s="2" t="s">
        <v>194</v>
      </c>
      <c r="B81" s="40">
        <v>6</v>
      </c>
      <c r="C81" s="2" t="s">
        <v>39</v>
      </c>
      <c r="L81" s="2" t="s">
        <v>233</v>
      </c>
    </row>
    <row r="82" spans="1:12">
      <c r="A82" s="2" t="s">
        <v>194</v>
      </c>
      <c r="B82" s="40">
        <v>6</v>
      </c>
      <c r="C82" s="2" t="s">
        <v>105</v>
      </c>
      <c r="E82" s="2" t="s">
        <v>259</v>
      </c>
      <c r="G82" s="2" t="s">
        <v>235</v>
      </c>
      <c r="H82" s="2" t="s">
        <v>112</v>
      </c>
      <c r="L82" s="2" t="str">
        <f t="shared" ref="L82:L88" si="13">_xlfn.TEXTJOIN("", TRUE, D82:J82)</f>
        <v>02_Slots/Gaben/0060_Leinen/0001_mnx.t_01.png</v>
      </c>
    </row>
    <row r="83" spans="1:12">
      <c r="A83" s="2" t="s">
        <v>194</v>
      </c>
      <c r="B83" s="40">
        <v>6</v>
      </c>
      <c r="C83" s="2" t="s">
        <v>105</v>
      </c>
      <c r="E83" s="2" t="s">
        <v>259</v>
      </c>
      <c r="G83" s="2" t="s">
        <v>236</v>
      </c>
      <c r="H83" s="2" t="s">
        <v>112</v>
      </c>
      <c r="I83" s="2" t="s">
        <v>1132</v>
      </c>
      <c r="J83" s="2" t="s">
        <v>1088</v>
      </c>
      <c r="K83" s="2" t="s">
        <v>1134</v>
      </c>
      <c r="L83" s="2" t="str">
        <f>_xlfn.TEXTJOIN("", TRUE, D83:K83)</f>
        <v>02_Slots/Gaben/0060_Leinen/0010_mnx.t_NR_01.png &lt;sup&gt;(NR)&lt;/sup&gt;</v>
      </c>
    </row>
    <row r="84" spans="1:12">
      <c r="A84" s="2" t="s">
        <v>194</v>
      </c>
      <c r="B84" s="40">
        <v>6</v>
      </c>
      <c r="C84" s="2" t="s">
        <v>274</v>
      </c>
      <c r="E84" s="2" t="s">
        <v>259</v>
      </c>
      <c r="G84" s="2" t="s">
        <v>237</v>
      </c>
      <c r="H84" s="2" t="s">
        <v>112</v>
      </c>
      <c r="L84" s="2" t="str">
        <f t="shared" si="13"/>
        <v>02_Slots/Gaben/0060_Leinen/0030_mnx.t_Abk_01.png</v>
      </c>
    </row>
    <row r="85" spans="1:12">
      <c r="A85" s="2" t="s">
        <v>194</v>
      </c>
      <c r="B85" s="40">
        <v>6</v>
      </c>
      <c r="C85" s="2" t="s">
        <v>274</v>
      </c>
      <c r="E85" s="2" t="s">
        <v>259</v>
      </c>
      <c r="G85" s="2" t="s">
        <v>238</v>
      </c>
      <c r="H85" s="2" t="s">
        <v>112</v>
      </c>
      <c r="I85" s="2" t="s">
        <v>1132</v>
      </c>
      <c r="J85" s="2" t="s">
        <v>1088</v>
      </c>
      <c r="K85" s="2" t="s">
        <v>1134</v>
      </c>
      <c r="L85" s="2" t="str">
        <f t="shared" ref="L85:L87" si="14">_xlfn.TEXTJOIN("", TRUE, D85:K85)</f>
        <v>02_Slots/Gaben/0060_Leinen/0040_mnx.t_Abk_NR_02.png &lt;sup&gt;(NR)&lt;/sup&gt;</v>
      </c>
    </row>
    <row r="86" spans="1:12">
      <c r="A86" s="2" t="s">
        <v>194</v>
      </c>
      <c r="B86" s="40">
        <v>6</v>
      </c>
      <c r="C86" s="2" t="s">
        <v>274</v>
      </c>
      <c r="E86" s="2" t="s">
        <v>259</v>
      </c>
      <c r="G86" s="2" t="s">
        <v>239</v>
      </c>
      <c r="H86" s="2" t="s">
        <v>112</v>
      </c>
      <c r="I86" s="2" t="s">
        <v>1132</v>
      </c>
      <c r="J86" s="2" t="s">
        <v>1135</v>
      </c>
      <c r="K86" s="2" t="s">
        <v>1134</v>
      </c>
      <c r="L86" s="2" t="str">
        <f t="shared" si="14"/>
        <v>02_Slots/Gaben/0060_Leinen/0050_mnx.t_Abk_GR_01.png &lt;sup&gt;(Gr.)&lt;/sup&gt;</v>
      </c>
    </row>
    <row r="87" spans="1:12">
      <c r="A87" s="2" t="s">
        <v>194</v>
      </c>
      <c r="B87" s="40">
        <v>6</v>
      </c>
      <c r="C87" s="2" t="s">
        <v>274</v>
      </c>
      <c r="E87" s="2" t="s">
        <v>259</v>
      </c>
      <c r="G87" s="2" t="s">
        <v>240</v>
      </c>
      <c r="H87" s="2" t="s">
        <v>112</v>
      </c>
      <c r="I87" s="2" t="s">
        <v>1132</v>
      </c>
      <c r="J87" s="2" t="s">
        <v>1135</v>
      </c>
      <c r="K87" s="2" t="s">
        <v>1134</v>
      </c>
      <c r="L87" s="2" t="str">
        <f t="shared" si="14"/>
        <v>02_Slots/Gaben/0060_Leinen/0060_mnx.t_Abk_GR_02.png &lt;sup&gt;(Gr.)&lt;/sup&gt;</v>
      </c>
    </row>
    <row r="88" spans="1:12">
      <c r="A88" s="2" t="s">
        <v>194</v>
      </c>
      <c r="B88" s="40">
        <v>6</v>
      </c>
      <c r="C88" s="2" t="s">
        <v>190</v>
      </c>
      <c r="E88" s="2" t="s">
        <v>259</v>
      </c>
      <c r="F88" s="2" t="s">
        <v>110</v>
      </c>
      <c r="G88" s="2" t="s">
        <v>241</v>
      </c>
      <c r="H88" s="2" t="s">
        <v>112</v>
      </c>
      <c r="L88" s="2" t="str">
        <f t="shared" si="13"/>
        <v>02_Slots/Gaben/0060_Leinen/det/0001_mnx.t_det_01.png</v>
      </c>
    </row>
    <row r="89" spans="1:12">
      <c r="A89" s="2" t="s">
        <v>194</v>
      </c>
      <c r="B89" s="40">
        <v>6</v>
      </c>
      <c r="C89" s="2" t="s">
        <v>190</v>
      </c>
      <c r="E89" s="2" t="s">
        <v>259</v>
      </c>
      <c r="F89" s="2" t="s">
        <v>110</v>
      </c>
      <c r="G89" s="2" t="s">
        <v>242</v>
      </c>
      <c r="H89" s="2" t="s">
        <v>112</v>
      </c>
      <c r="L89" s="2" t="str">
        <f t="shared" ref="L89" si="15">_xlfn.TEXTJOIN("", TRUE, D89:J89)</f>
        <v>02_Slots/Gaben/0060_Leinen/det/0010_mnx.t_det_02.png</v>
      </c>
    </row>
    <row r="90" spans="1:12">
      <c r="A90" s="2" t="s">
        <v>194</v>
      </c>
      <c r="B90" s="40">
        <v>6</v>
      </c>
      <c r="C90" s="2" t="s">
        <v>190</v>
      </c>
      <c r="E90" s="2" t="s">
        <v>259</v>
      </c>
      <c r="F90" s="2" t="s">
        <v>110</v>
      </c>
      <c r="G90" s="2" t="s">
        <v>243</v>
      </c>
      <c r="H90" s="2" t="s">
        <v>112</v>
      </c>
      <c r="I90" s="2" t="s">
        <v>1132</v>
      </c>
      <c r="J90" s="2" t="s">
        <v>1088</v>
      </c>
      <c r="K90" s="2" t="s">
        <v>1134</v>
      </c>
      <c r="L90" s="2" t="str">
        <f t="shared" ref="L90:L91" si="16">_xlfn.TEXTJOIN("", TRUE, D90:K90)</f>
        <v>02_Slots/Gaben/0060_Leinen/det/0020_mnx.t_det_NR_01.png &lt;sup&gt;(NR)&lt;/sup&gt;</v>
      </c>
    </row>
    <row r="91" spans="1:12">
      <c r="A91" s="2" t="s">
        <v>194</v>
      </c>
      <c r="B91" s="40">
        <v>6</v>
      </c>
      <c r="C91" s="2" t="s">
        <v>190</v>
      </c>
      <c r="E91" s="2" t="s">
        <v>259</v>
      </c>
      <c r="F91" s="2" t="s">
        <v>110</v>
      </c>
      <c r="G91" s="2" t="s">
        <v>244</v>
      </c>
      <c r="H91" s="2" t="s">
        <v>112</v>
      </c>
      <c r="I91" s="2" t="s">
        <v>1132</v>
      </c>
      <c r="J91" s="2" t="s">
        <v>1088</v>
      </c>
      <c r="K91" s="2" t="s">
        <v>1134</v>
      </c>
      <c r="L91" s="2" t="str">
        <f t="shared" si="16"/>
        <v>02_Slots/Gaben/0060_Leinen/det/0030_mnx.t_det_NR_02.png &lt;sup&gt;(NR)&lt;/sup&gt;</v>
      </c>
    </row>
    <row r="92" spans="1:12">
      <c r="A92" s="2" t="s">
        <v>194</v>
      </c>
      <c r="B92" s="40">
        <v>6</v>
      </c>
      <c r="C92" s="2" t="s">
        <v>27</v>
      </c>
      <c r="L92" s="2" t="s">
        <v>234</v>
      </c>
    </row>
    <row r="94" spans="1:12">
      <c r="A94" s="2" t="s">
        <v>194</v>
      </c>
      <c r="B94" s="40">
        <v>7</v>
      </c>
      <c r="C94" s="2" t="s">
        <v>39</v>
      </c>
      <c r="L94" s="2" t="s">
        <v>251</v>
      </c>
    </row>
    <row r="95" spans="1:12">
      <c r="A95" s="2" t="s">
        <v>194</v>
      </c>
      <c r="B95" s="40">
        <v>7</v>
      </c>
      <c r="C95" s="2" t="s">
        <v>105</v>
      </c>
      <c r="E95" s="2" t="s">
        <v>260</v>
      </c>
      <c r="G95" s="2" t="s">
        <v>245</v>
      </c>
      <c r="H95" s="2" t="s">
        <v>112</v>
      </c>
      <c r="L95" s="2" t="str">
        <f t="shared" ref="L95:L100" si="17">_xlfn.TEXTJOIN("", TRUE, D95:J95)</f>
        <v>02_Slots/Gaben/0070_Salboel/0001_mrH.t_01.png</v>
      </c>
    </row>
    <row r="96" spans="1:12">
      <c r="A96" s="2" t="s">
        <v>194</v>
      </c>
      <c r="B96" s="40">
        <v>7</v>
      </c>
      <c r="C96" s="2" t="s">
        <v>274</v>
      </c>
      <c r="E96" s="2" t="s">
        <v>260</v>
      </c>
      <c r="G96" s="2" t="s">
        <v>246</v>
      </c>
      <c r="H96" s="2" t="s">
        <v>112</v>
      </c>
      <c r="L96" s="2" t="str">
        <f t="shared" si="17"/>
        <v>02_Slots/Gaben/0070_Salboel/0010_mrH.t_Abk_01.png</v>
      </c>
    </row>
    <row r="97" spans="1:12">
      <c r="A97" s="2" t="s">
        <v>194</v>
      </c>
      <c r="B97" s="40">
        <v>7</v>
      </c>
      <c r="C97" s="2" t="s">
        <v>274</v>
      </c>
      <c r="E97" s="2" t="s">
        <v>260</v>
      </c>
      <c r="G97" s="2" t="s">
        <v>247</v>
      </c>
      <c r="H97" s="2" t="s">
        <v>112</v>
      </c>
      <c r="L97" s="2" t="str">
        <f t="shared" ref="L97:L99" si="18">_xlfn.TEXTJOIN("", TRUE, D97:J97)</f>
        <v>02_Slots/Gaben/0070_Salboel/0020_mrH.t_Abk_02.png</v>
      </c>
    </row>
    <row r="98" spans="1:12">
      <c r="A98" s="2" t="s">
        <v>194</v>
      </c>
      <c r="B98" s="40">
        <v>7</v>
      </c>
      <c r="C98" s="2" t="s">
        <v>190</v>
      </c>
      <c r="E98" s="2" t="s">
        <v>260</v>
      </c>
      <c r="F98" s="2" t="s">
        <v>110</v>
      </c>
      <c r="G98" s="2" t="s">
        <v>248</v>
      </c>
      <c r="H98" s="2" t="s">
        <v>112</v>
      </c>
      <c r="L98" s="2" t="str">
        <f t="shared" ref="L98" si="19">_xlfn.TEXTJOIN("", TRUE, D98:J98)</f>
        <v>02_Slots/Gaben/0070_Salboel/det/0001_mrH.t_det_01.png</v>
      </c>
    </row>
    <row r="99" spans="1:12">
      <c r="A99" s="2" t="s">
        <v>194</v>
      </c>
      <c r="B99" s="40">
        <v>7</v>
      </c>
      <c r="C99" s="2" t="s">
        <v>190</v>
      </c>
      <c r="E99" s="2" t="s">
        <v>260</v>
      </c>
      <c r="F99" s="2" t="s">
        <v>110</v>
      </c>
      <c r="G99" s="2" t="s">
        <v>249</v>
      </c>
      <c r="H99" s="2" t="s">
        <v>112</v>
      </c>
      <c r="L99" s="2" t="str">
        <f t="shared" si="18"/>
        <v>02_Slots/Gaben/0070_Salboel/det/0010_mrH.t_det_02.png</v>
      </c>
    </row>
    <row r="100" spans="1:12">
      <c r="A100" s="2" t="s">
        <v>194</v>
      </c>
      <c r="B100" s="40">
        <v>7</v>
      </c>
      <c r="C100" s="2" t="s">
        <v>190</v>
      </c>
      <c r="E100" s="2" t="s">
        <v>260</v>
      </c>
      <c r="F100" s="2" t="s">
        <v>110</v>
      </c>
      <c r="G100" s="2" t="s">
        <v>250</v>
      </c>
      <c r="H100" s="2" t="s">
        <v>112</v>
      </c>
      <c r="L100" s="2" t="str">
        <f t="shared" si="17"/>
        <v>02_Slots/Gaben/0070_Salboel/det/0020_mrH.t_det_03.png</v>
      </c>
    </row>
    <row r="101" spans="1:12">
      <c r="A101" s="2" t="s">
        <v>194</v>
      </c>
      <c r="B101" s="40">
        <v>7</v>
      </c>
      <c r="C101" s="2" t="s">
        <v>27</v>
      </c>
      <c r="L101" s="2" t="s">
        <v>252</v>
      </c>
    </row>
    <row r="103" spans="1:12">
      <c r="A103" s="2" t="s">
        <v>194</v>
      </c>
      <c r="B103" s="40">
        <v>8</v>
      </c>
      <c r="C103" s="2" t="s">
        <v>39</v>
      </c>
      <c r="L103" s="2" t="s">
        <v>261</v>
      </c>
    </row>
    <row r="104" spans="1:12">
      <c r="A104" s="2" t="s">
        <v>194</v>
      </c>
      <c r="B104" s="40">
        <v>8</v>
      </c>
      <c r="C104" s="2" t="s">
        <v>105</v>
      </c>
      <c r="E104" s="2" t="s">
        <v>262</v>
      </c>
      <c r="G104" s="2" t="s">
        <v>263</v>
      </c>
      <c r="H104" s="2" t="s">
        <v>112</v>
      </c>
      <c r="L104" s="2" t="str">
        <f t="shared" ref="L104" si="20">_xlfn.TEXTJOIN("", TRUE, D104:J104)</f>
        <v>02_Slots/Gaben/0080_Weihrauch/0001_snTr_01.png</v>
      </c>
    </row>
    <row r="105" spans="1:12">
      <c r="A105" s="2" t="s">
        <v>194</v>
      </c>
      <c r="B105" s="40">
        <v>8</v>
      </c>
      <c r="C105" s="2" t="s">
        <v>105</v>
      </c>
      <c r="E105" s="2" t="s">
        <v>262</v>
      </c>
      <c r="G105" s="2" t="s">
        <v>264</v>
      </c>
      <c r="H105" s="2" t="s">
        <v>112</v>
      </c>
      <c r="I105" s="2" t="s">
        <v>1132</v>
      </c>
      <c r="J105" s="2" t="s">
        <v>1133</v>
      </c>
      <c r="K105" s="2" t="s">
        <v>1134</v>
      </c>
      <c r="L105" s="2" t="str">
        <f t="shared" ref="L105:L113" si="21">_xlfn.TEXTJOIN("", TRUE, D105:K105)</f>
        <v>02_Slots/Gaben/0080_Weihrauch/0010_snTr_AR_01.png &lt;sup&gt;(AR)&lt;/sup&gt;</v>
      </c>
    </row>
    <row r="106" spans="1:12">
      <c r="A106" s="2" t="s">
        <v>194</v>
      </c>
      <c r="B106" s="40">
        <v>8</v>
      </c>
      <c r="C106" s="2" t="s">
        <v>105</v>
      </c>
      <c r="E106" s="2" t="s">
        <v>262</v>
      </c>
      <c r="G106" s="2" t="s">
        <v>265</v>
      </c>
      <c r="H106" s="2" t="s">
        <v>112</v>
      </c>
      <c r="I106" s="2" t="s">
        <v>1132</v>
      </c>
      <c r="J106" s="2" t="s">
        <v>1133</v>
      </c>
      <c r="K106" s="2" t="s">
        <v>1134</v>
      </c>
      <c r="L106" s="2" t="str">
        <f t="shared" si="21"/>
        <v>02_Slots/Gaben/0080_Weihrauch/0020_snTr_AR_02.png &lt;sup&gt;(AR)&lt;/sup&gt;</v>
      </c>
    </row>
    <row r="107" spans="1:12">
      <c r="A107" s="2" t="s">
        <v>194</v>
      </c>
      <c r="B107" s="40">
        <v>8</v>
      </c>
      <c r="C107" s="2" t="s">
        <v>105</v>
      </c>
      <c r="E107" s="2" t="s">
        <v>262</v>
      </c>
      <c r="G107" s="2" t="s">
        <v>266</v>
      </c>
      <c r="H107" s="2" t="s">
        <v>112</v>
      </c>
      <c r="I107" s="2" t="s">
        <v>1132</v>
      </c>
      <c r="J107" s="2" t="s">
        <v>1133</v>
      </c>
      <c r="K107" s="2" t="s">
        <v>1134</v>
      </c>
      <c r="L107" s="2" t="str">
        <f t="shared" si="21"/>
        <v>02_Slots/Gaben/0080_Weihrauch/0030_snTr_AR_03.png &lt;sup&gt;(AR)&lt;/sup&gt;</v>
      </c>
    </row>
    <row r="108" spans="1:12">
      <c r="A108" s="2" t="s">
        <v>194</v>
      </c>
      <c r="B108" s="40">
        <v>8</v>
      </c>
      <c r="C108" s="2" t="s">
        <v>105</v>
      </c>
      <c r="E108" s="2" t="s">
        <v>262</v>
      </c>
      <c r="G108" s="2" t="s">
        <v>279</v>
      </c>
      <c r="H108" s="2" t="s">
        <v>112</v>
      </c>
      <c r="I108" s="2" t="s">
        <v>1132</v>
      </c>
      <c r="J108" s="2" t="s">
        <v>1146</v>
      </c>
      <c r="K108" s="2" t="s">
        <v>1134</v>
      </c>
      <c r="L108" s="2" t="str">
        <f t="shared" si="21"/>
        <v>02_Slots/Gaben/0080_Weihrauch/0040_snTr_Ende-AR_01.png &lt;sup&gt;(Ende AR)&lt;/sup&gt;</v>
      </c>
    </row>
    <row r="109" spans="1:12">
      <c r="A109" s="2" t="s">
        <v>194</v>
      </c>
      <c r="B109" s="40">
        <v>8</v>
      </c>
      <c r="C109" s="2" t="s">
        <v>105</v>
      </c>
      <c r="E109" s="2" t="s">
        <v>262</v>
      </c>
      <c r="G109" s="2" t="s">
        <v>267</v>
      </c>
      <c r="H109" s="2" t="s">
        <v>112</v>
      </c>
      <c r="I109" s="2" t="s">
        <v>1132</v>
      </c>
      <c r="J109" s="2" t="s">
        <v>1136</v>
      </c>
      <c r="K109" s="2" t="s">
        <v>1134</v>
      </c>
      <c r="L109" s="2" t="str">
        <f t="shared" si="21"/>
        <v>02_Slots/Gaben/0080_Weihrauch/0050_snTr_MR_01.png &lt;sup&gt;(MR)&lt;/sup&gt;</v>
      </c>
    </row>
    <row r="110" spans="1:12">
      <c r="A110" s="2" t="s">
        <v>194</v>
      </c>
      <c r="B110" s="40">
        <v>8</v>
      </c>
      <c r="C110" s="2" t="s">
        <v>105</v>
      </c>
      <c r="E110" s="2" t="s">
        <v>262</v>
      </c>
      <c r="G110" s="2" t="s">
        <v>268</v>
      </c>
      <c r="H110" s="2" t="s">
        <v>112</v>
      </c>
      <c r="I110" s="2" t="s">
        <v>1132</v>
      </c>
      <c r="J110" s="2" t="s">
        <v>1136</v>
      </c>
      <c r="K110" s="2" t="s">
        <v>1134</v>
      </c>
      <c r="L110" s="2" t="str">
        <f t="shared" si="21"/>
        <v>02_Slots/Gaben/0080_Weihrauch/0060_snTr_MR_02.png &lt;sup&gt;(MR)&lt;/sup&gt;</v>
      </c>
    </row>
    <row r="111" spans="1:12">
      <c r="A111" s="2" t="s">
        <v>194</v>
      </c>
      <c r="B111" s="40">
        <v>8</v>
      </c>
      <c r="C111" s="2" t="s">
        <v>105</v>
      </c>
      <c r="E111" s="2" t="s">
        <v>262</v>
      </c>
      <c r="G111" s="2" t="s">
        <v>269</v>
      </c>
      <c r="H111" s="2" t="s">
        <v>112</v>
      </c>
      <c r="I111" s="2" t="s">
        <v>1132</v>
      </c>
      <c r="J111" s="2" t="s">
        <v>1136</v>
      </c>
      <c r="K111" s="2" t="s">
        <v>1134</v>
      </c>
      <c r="L111" s="2" t="str">
        <f t="shared" si="21"/>
        <v>02_Slots/Gaben/0080_Weihrauch/0070_snTr_MR_03.png &lt;sup&gt;(MR)&lt;/sup&gt;</v>
      </c>
    </row>
    <row r="112" spans="1:12">
      <c r="A112" s="2" t="s">
        <v>194</v>
      </c>
      <c r="B112" s="40">
        <v>8</v>
      </c>
      <c r="C112" s="2" t="s">
        <v>105</v>
      </c>
      <c r="E112" s="2" t="s">
        <v>262</v>
      </c>
      <c r="G112" s="2" t="s">
        <v>270</v>
      </c>
      <c r="H112" s="2" t="s">
        <v>112</v>
      </c>
      <c r="I112" s="2" t="s">
        <v>1132</v>
      </c>
      <c r="J112" s="2" t="s">
        <v>1137</v>
      </c>
      <c r="K112" s="2" t="s">
        <v>1134</v>
      </c>
      <c r="L112" s="2" t="str">
        <f t="shared" si="21"/>
        <v>02_Slots/Gaben/0080_Weihrauch/0080_snTr_D.18_01.png &lt;sup&gt;(Dyn.18)&lt;/sup&gt;</v>
      </c>
    </row>
    <row r="113" spans="1:12">
      <c r="A113" s="2" t="s">
        <v>194</v>
      </c>
      <c r="B113" s="40">
        <v>8</v>
      </c>
      <c r="C113" s="2" t="s">
        <v>105</v>
      </c>
      <c r="E113" s="2" t="s">
        <v>262</v>
      </c>
      <c r="G113" s="2" t="s">
        <v>271</v>
      </c>
      <c r="H113" s="2" t="s">
        <v>112</v>
      </c>
      <c r="I113" s="2" t="s">
        <v>1132</v>
      </c>
      <c r="J113" s="2" t="s">
        <v>1138</v>
      </c>
      <c r="K113" s="2" t="s">
        <v>1134</v>
      </c>
      <c r="L113" s="2" t="str">
        <f t="shared" si="21"/>
        <v>02_Slots/Gaben/0080_Weihrauch/0090_snTr_D.19_01.png &lt;sup&gt;(Dyn.19)&lt;/sup&gt;</v>
      </c>
    </row>
    <row r="114" spans="1:12">
      <c r="A114" s="2" t="s">
        <v>194</v>
      </c>
      <c r="B114" s="40">
        <v>8</v>
      </c>
      <c r="C114" s="2" t="s">
        <v>274</v>
      </c>
      <c r="E114" s="2" t="s">
        <v>262</v>
      </c>
      <c r="G114" s="2" t="s">
        <v>272</v>
      </c>
      <c r="H114" s="2" t="s">
        <v>112</v>
      </c>
      <c r="L114" s="2" t="str">
        <f t="shared" ref="L114" si="22">_xlfn.TEXTJOIN("", TRUE, D114:J114)</f>
        <v>02_Slots/Gaben/0080_Weihrauch/0100_snTr_Abk_01.png</v>
      </c>
    </row>
    <row r="115" spans="1:12">
      <c r="A115" s="2" t="s">
        <v>194</v>
      </c>
      <c r="B115" s="40">
        <v>8</v>
      </c>
      <c r="C115" s="2" t="s">
        <v>274</v>
      </c>
      <c r="E115" s="2" t="s">
        <v>262</v>
      </c>
      <c r="G115" s="2" t="s">
        <v>272</v>
      </c>
      <c r="H115" s="2" t="s">
        <v>112</v>
      </c>
      <c r="L115" s="2" t="str">
        <f t="shared" ref="L115:L116" si="23">_xlfn.TEXTJOIN("", TRUE, D115:J115)</f>
        <v>02_Slots/Gaben/0080_Weihrauch/0100_snTr_Abk_01.png</v>
      </c>
    </row>
    <row r="116" spans="1:12">
      <c r="A116" s="2" t="s">
        <v>194</v>
      </c>
      <c r="B116" s="40">
        <v>8</v>
      </c>
      <c r="C116" s="2" t="s">
        <v>274</v>
      </c>
      <c r="E116" s="2" t="s">
        <v>262</v>
      </c>
      <c r="G116" s="2" t="s">
        <v>273</v>
      </c>
      <c r="H116" s="2" t="s">
        <v>112</v>
      </c>
      <c r="L116" s="2" t="str">
        <f t="shared" si="23"/>
        <v>02_Slots/Gaben/0080_Weihrauch/0120_snTr_Abk_03.png</v>
      </c>
    </row>
    <row r="117" spans="1:12">
      <c r="A117" s="2" t="s">
        <v>194</v>
      </c>
      <c r="B117" s="40">
        <v>8</v>
      </c>
      <c r="C117" s="2" t="s">
        <v>190</v>
      </c>
      <c r="E117" s="2" t="s">
        <v>262</v>
      </c>
      <c r="F117" s="2" t="s">
        <v>110</v>
      </c>
      <c r="G117" s="2" t="s">
        <v>275</v>
      </c>
      <c r="H117" s="2" t="s">
        <v>112</v>
      </c>
      <c r="L117" s="2" t="str">
        <f t="shared" ref="L117" si="24">_xlfn.TEXTJOIN("", TRUE, D117:J117)</f>
        <v>02_Slots/Gaben/0080_Weihrauch/det/0001_snTr_det_01.png</v>
      </c>
    </row>
    <row r="118" spans="1:12">
      <c r="A118" s="2" t="s">
        <v>194</v>
      </c>
      <c r="B118" s="40">
        <v>8</v>
      </c>
      <c r="C118" s="2" t="s">
        <v>190</v>
      </c>
      <c r="E118" s="2" t="s">
        <v>262</v>
      </c>
      <c r="F118" s="2" t="s">
        <v>110</v>
      </c>
      <c r="G118" s="2" t="s">
        <v>276</v>
      </c>
      <c r="H118" s="2" t="s">
        <v>112</v>
      </c>
      <c r="L118" s="2" t="str">
        <f t="shared" ref="L118:L119" si="25">_xlfn.TEXTJOIN("", TRUE, D118:J118)</f>
        <v>02_Slots/Gaben/0080_Weihrauch/det/0010_snTr_det_02.png</v>
      </c>
    </row>
    <row r="119" spans="1:12">
      <c r="A119" s="2" t="s">
        <v>194</v>
      </c>
      <c r="B119" s="40">
        <v>8</v>
      </c>
      <c r="C119" s="2" t="s">
        <v>190</v>
      </c>
      <c r="E119" s="2" t="s">
        <v>262</v>
      </c>
      <c r="F119" s="2" t="s">
        <v>110</v>
      </c>
      <c r="G119" s="2" t="s">
        <v>277</v>
      </c>
      <c r="H119" s="2" t="s">
        <v>112</v>
      </c>
      <c r="L119" s="2" t="str">
        <f t="shared" si="25"/>
        <v>02_Slots/Gaben/0080_Weihrauch/det/0020_snTr_det_03.png</v>
      </c>
    </row>
    <row r="120" spans="1:12">
      <c r="A120" s="2" t="s">
        <v>194</v>
      </c>
      <c r="B120" s="40">
        <v>8</v>
      </c>
      <c r="C120" s="2" t="s">
        <v>190</v>
      </c>
      <c r="E120" s="2" t="s">
        <v>262</v>
      </c>
      <c r="F120" s="2" t="s">
        <v>110</v>
      </c>
      <c r="G120" s="2" t="s">
        <v>278</v>
      </c>
      <c r="H120" s="2" t="s">
        <v>112</v>
      </c>
      <c r="I120" s="2" t="s">
        <v>1132</v>
      </c>
      <c r="J120" s="2" t="s">
        <v>1136</v>
      </c>
      <c r="K120" s="2" t="s">
        <v>1134</v>
      </c>
      <c r="L120" s="2" t="str">
        <f>_xlfn.TEXTJOIN("", TRUE, D120:K120)</f>
        <v>02_Slots/Gaben/0080_Weihrauch/det/0030_snTr_det_MR_01.png &lt;sup&gt;(MR)&lt;/sup&gt;</v>
      </c>
    </row>
    <row r="121" spans="1:12">
      <c r="A121" s="2" t="s">
        <v>194</v>
      </c>
      <c r="B121" s="40">
        <v>8</v>
      </c>
      <c r="C121" s="2" t="s">
        <v>27</v>
      </c>
      <c r="L121" s="2" t="s">
        <v>280</v>
      </c>
    </row>
    <row r="123" spans="1:12">
      <c r="A123" s="2" t="s">
        <v>194</v>
      </c>
      <c r="B123" s="40">
        <v>9</v>
      </c>
      <c r="C123" s="2" t="s">
        <v>39</v>
      </c>
      <c r="L123" s="2" t="s">
        <v>281</v>
      </c>
    </row>
    <row r="124" spans="1:12">
      <c r="A124" s="2" t="s">
        <v>194</v>
      </c>
      <c r="B124" s="40">
        <v>9</v>
      </c>
      <c r="C124" s="2" t="s">
        <v>105</v>
      </c>
      <c r="E124" s="2" t="s">
        <v>282</v>
      </c>
      <c r="G124" s="2" t="s">
        <v>283</v>
      </c>
      <c r="H124" s="2" t="s">
        <v>112</v>
      </c>
      <c r="L124" s="2" t="str">
        <f t="shared" ref="L124" si="26">_xlfn.TEXTJOIN("", TRUE, D124:J124)</f>
        <v>02_Slots/Gaben/0090_Wein/0001_jrp_01.png</v>
      </c>
    </row>
    <row r="125" spans="1:12">
      <c r="A125" s="2" t="s">
        <v>194</v>
      </c>
      <c r="B125" s="40">
        <v>9</v>
      </c>
      <c r="C125" s="2" t="s">
        <v>274</v>
      </c>
      <c r="E125" s="2" t="s">
        <v>282</v>
      </c>
      <c r="G125" s="2" t="s">
        <v>284</v>
      </c>
      <c r="H125" s="2" t="s">
        <v>112</v>
      </c>
      <c r="L125" s="2" t="str">
        <f t="shared" ref="L125" si="27">_xlfn.TEXTJOIN("", TRUE, D125:J125)</f>
        <v>02_Slots/Gaben/0090_Wein/0010_jrp_Abk_01.png</v>
      </c>
    </row>
    <row r="126" spans="1:12">
      <c r="A126" s="2" t="s">
        <v>194</v>
      </c>
      <c r="B126" s="40">
        <v>9</v>
      </c>
      <c r="C126" s="2" t="s">
        <v>274</v>
      </c>
      <c r="E126" s="2" t="s">
        <v>282</v>
      </c>
      <c r="G126" s="2" t="s">
        <v>285</v>
      </c>
      <c r="H126" s="2" t="s">
        <v>112</v>
      </c>
      <c r="L126" s="2" t="str">
        <f t="shared" ref="L126" si="28">_xlfn.TEXTJOIN("", TRUE, D126:J126)</f>
        <v>02_Slots/Gaben/0090_Wein/0020_jrp_Abk_02.png</v>
      </c>
    </row>
    <row r="127" spans="1:12">
      <c r="A127" s="2" t="s">
        <v>194</v>
      </c>
      <c r="B127" s="40">
        <v>9</v>
      </c>
      <c r="C127" s="2" t="s">
        <v>274</v>
      </c>
      <c r="E127" s="2" t="s">
        <v>282</v>
      </c>
      <c r="G127" s="2" t="s">
        <v>286</v>
      </c>
      <c r="H127" s="2" t="s">
        <v>112</v>
      </c>
      <c r="I127" s="2" t="s">
        <v>1132</v>
      </c>
      <c r="J127" s="2" t="s">
        <v>1088</v>
      </c>
      <c r="K127" s="2" t="s">
        <v>1134</v>
      </c>
      <c r="L127" s="2" t="str">
        <f>_xlfn.TEXTJOIN("", TRUE, D127:K127)</f>
        <v>02_Slots/Gaben/0090_Wein/0030_jrp_Abk_NR_01.png &lt;sup&gt;(NR)&lt;/sup&gt;</v>
      </c>
    </row>
    <row r="128" spans="1:12">
      <c r="A128" s="2" t="s">
        <v>194</v>
      </c>
      <c r="B128" s="40">
        <v>9</v>
      </c>
      <c r="C128" s="2" t="s">
        <v>190</v>
      </c>
      <c r="E128" s="2" t="s">
        <v>282</v>
      </c>
      <c r="F128" s="2" t="s">
        <v>110</v>
      </c>
      <c r="G128" s="2" t="s">
        <v>287</v>
      </c>
      <c r="H128" s="2" t="s">
        <v>112</v>
      </c>
      <c r="L128" s="2" t="str">
        <f t="shared" ref="L128" si="29">_xlfn.TEXTJOIN("", TRUE, D128:J128)</f>
        <v>02_Slots/Gaben/0090_Wein/det/0001_jrp_det_01.png</v>
      </c>
    </row>
    <row r="129" spans="1:12">
      <c r="A129" s="2" t="s">
        <v>194</v>
      </c>
      <c r="B129" s="40">
        <v>9</v>
      </c>
      <c r="C129" s="2" t="s">
        <v>190</v>
      </c>
      <c r="E129" s="2" t="s">
        <v>282</v>
      </c>
      <c r="F129" s="2" t="s">
        <v>110</v>
      </c>
      <c r="G129" s="2" t="s">
        <v>288</v>
      </c>
      <c r="H129" s="2" t="s">
        <v>112</v>
      </c>
      <c r="I129" s="2" t="s">
        <v>1132</v>
      </c>
      <c r="J129" s="2" t="s">
        <v>1133</v>
      </c>
      <c r="K129" s="2" t="s">
        <v>1134</v>
      </c>
      <c r="L129" s="2" t="str">
        <f>_xlfn.TEXTJOIN("", TRUE, D129:K129)</f>
        <v>02_Slots/Gaben/0090_Wein/det/0010_jrp_det_AR_01.png &lt;sup&gt;(AR)&lt;/sup&gt;</v>
      </c>
    </row>
    <row r="130" spans="1:12">
      <c r="A130" s="2" t="s">
        <v>194</v>
      </c>
      <c r="B130" s="40">
        <v>9</v>
      </c>
      <c r="C130" s="2" t="s">
        <v>27</v>
      </c>
      <c r="L130" s="2" t="s">
        <v>289</v>
      </c>
    </row>
    <row r="132" spans="1:12">
      <c r="A132" s="2" t="s">
        <v>195</v>
      </c>
      <c r="B132" s="40">
        <v>1</v>
      </c>
      <c r="C132" s="2" t="s">
        <v>39</v>
      </c>
      <c r="L132" s="2" t="s">
        <v>1047</v>
      </c>
    </row>
    <row r="133" spans="1:12">
      <c r="A133" s="2" t="s">
        <v>195</v>
      </c>
      <c r="B133" s="40">
        <v>1</v>
      </c>
      <c r="C133" s="2" t="s">
        <v>105</v>
      </c>
      <c r="E133" s="2" t="s">
        <v>291</v>
      </c>
      <c r="G133" s="2" t="s">
        <v>292</v>
      </c>
      <c r="H133" s="2" t="s">
        <v>112</v>
      </c>
      <c r="L133" s="2" t="str">
        <f t="shared" ref="L133" si="30">_xlfn.TEXTJOIN("", TRUE, D133:J133)</f>
        <v>02_Slots/Gaben/0100_tausend-an/0001_xA-m-n_01.png</v>
      </c>
    </row>
    <row r="134" spans="1:12">
      <c r="A134" s="2" t="s">
        <v>195</v>
      </c>
      <c r="B134" s="40">
        <v>1</v>
      </c>
      <c r="C134" s="2" t="s">
        <v>27</v>
      </c>
      <c r="L134" s="2" t="s">
        <v>290</v>
      </c>
    </row>
    <row r="136" spans="1:12">
      <c r="A136" s="2" t="s">
        <v>196</v>
      </c>
      <c r="B136" s="40">
        <v>1</v>
      </c>
      <c r="C136" s="2" t="s">
        <v>39</v>
      </c>
      <c r="L136" s="2" t="s">
        <v>294</v>
      </c>
    </row>
    <row r="137" spans="1:12">
      <c r="A137" s="2" t="s">
        <v>196</v>
      </c>
      <c r="B137" s="40">
        <v>1</v>
      </c>
      <c r="C137" s="2" t="s">
        <v>105</v>
      </c>
      <c r="E137" s="2" t="s">
        <v>293</v>
      </c>
      <c r="G137" s="2" t="s">
        <v>296</v>
      </c>
      <c r="H137" s="2" t="s">
        <v>112</v>
      </c>
      <c r="L137" s="2" t="str">
        <f t="shared" ref="L137" si="31">_xlfn.TEXTJOIN("", TRUE, D137:J137)</f>
        <v>02_Slots/Gaben/0110_was-der-Himmel-gibt/0001_dd.t-p.t_01.png</v>
      </c>
    </row>
    <row r="138" spans="1:12">
      <c r="A138" s="2" t="s">
        <v>196</v>
      </c>
      <c r="B138" s="40">
        <v>1</v>
      </c>
      <c r="C138" s="2" t="s">
        <v>27</v>
      </c>
      <c r="L138" s="2" t="s">
        <v>295</v>
      </c>
    </row>
    <row r="140" spans="1:12">
      <c r="A140" s="2" t="s">
        <v>196</v>
      </c>
      <c r="B140" s="40">
        <v>2</v>
      </c>
      <c r="C140" s="2" t="s">
        <v>39</v>
      </c>
      <c r="L140" s="2" t="s">
        <v>297</v>
      </c>
    </row>
    <row r="141" spans="1:12">
      <c r="A141" s="2" t="s">
        <v>196</v>
      </c>
      <c r="B141" s="40">
        <v>2</v>
      </c>
      <c r="C141" s="2" t="s">
        <v>105</v>
      </c>
      <c r="E141" s="2" t="s">
        <v>299</v>
      </c>
      <c r="G141" s="2" t="s">
        <v>300</v>
      </c>
      <c r="H141" s="2" t="s">
        <v>112</v>
      </c>
      <c r="L141" s="2" t="str">
        <f t="shared" ref="L141" si="32">_xlfn.TEXTJOIN("", TRUE, D141:J141)</f>
        <v>02_Slots/Gaben/0120_was-die-Erde-hervorbringt/0001_qmA.t-tA_01.png</v>
      </c>
    </row>
    <row r="142" spans="1:12">
      <c r="A142" s="2" t="s">
        <v>196</v>
      </c>
      <c r="B142" s="40">
        <v>2</v>
      </c>
      <c r="C142" s="2" t="s">
        <v>105</v>
      </c>
      <c r="E142" s="2" t="s">
        <v>299</v>
      </c>
      <c r="G142" s="2" t="s">
        <v>301</v>
      </c>
      <c r="H142" s="2" t="s">
        <v>112</v>
      </c>
      <c r="L142" s="2" t="str">
        <f t="shared" ref="L142" si="33">_xlfn.TEXTJOIN("", TRUE, D142:J142)</f>
        <v>02_Slots/Gaben/0120_was-die-Erde-hervorbringt/0010_qmA.t-tA_02.png</v>
      </c>
    </row>
    <row r="143" spans="1:12">
      <c r="A143" s="2" t="s">
        <v>196</v>
      </c>
      <c r="B143" s="40">
        <v>2</v>
      </c>
      <c r="C143" s="2" t="s">
        <v>27</v>
      </c>
      <c r="L143" s="2" t="s">
        <v>298</v>
      </c>
    </row>
    <row r="145" spans="1:12">
      <c r="A145" s="2" t="s">
        <v>196</v>
      </c>
      <c r="B145" s="40">
        <v>3</v>
      </c>
      <c r="C145" s="2" t="s">
        <v>39</v>
      </c>
      <c r="L145" s="2" t="s">
        <v>304</v>
      </c>
    </row>
    <row r="146" spans="1:12">
      <c r="A146" s="2" t="s">
        <v>196</v>
      </c>
      <c r="B146" s="40">
        <v>3</v>
      </c>
      <c r="C146" s="2" t="s">
        <v>105</v>
      </c>
      <c r="E146" s="2" t="s">
        <v>303</v>
      </c>
      <c r="G146" s="2" t="s">
        <v>305</v>
      </c>
      <c r="H146" s="2" t="s">
        <v>112</v>
      </c>
      <c r="L146" s="2" t="str">
        <f t="shared" ref="L146:L147" si="34">_xlfn.TEXTJOIN("", TRUE, D146:J146)</f>
        <v>02_Slots/Gaben/0130_was-der-Nil-bringt/0001_jnn.t-Hapy_01.png</v>
      </c>
    </row>
    <row r="147" spans="1:12">
      <c r="A147" s="2" t="s">
        <v>196</v>
      </c>
      <c r="B147" s="40">
        <v>3</v>
      </c>
      <c r="C147" s="2" t="s">
        <v>105</v>
      </c>
      <c r="E147" s="2" t="s">
        <v>303</v>
      </c>
      <c r="G147" s="2" t="s">
        <v>306</v>
      </c>
      <c r="H147" s="2" t="s">
        <v>112</v>
      </c>
      <c r="L147" s="2" t="str">
        <f t="shared" si="34"/>
        <v>02_Slots/Gaben/0130_was-der-Nil-bringt/0010_jnn.t-Hapy_02.png</v>
      </c>
    </row>
    <row r="148" spans="1:12">
      <c r="A148" s="2" t="s">
        <v>196</v>
      </c>
      <c r="B148" s="40">
        <v>3</v>
      </c>
      <c r="C148" s="2" t="s">
        <v>27</v>
      </c>
      <c r="L148" s="2" t="s">
        <v>302</v>
      </c>
    </row>
    <row r="150" spans="1:12">
      <c r="A150" s="2" t="s">
        <v>196</v>
      </c>
      <c r="B150" s="40">
        <v>4</v>
      </c>
      <c r="C150" s="2" t="s">
        <v>39</v>
      </c>
      <c r="L150" s="2" t="s">
        <v>309</v>
      </c>
    </row>
    <row r="151" spans="1:12">
      <c r="A151" s="2" t="s">
        <v>196</v>
      </c>
      <c r="B151" s="40">
        <v>4</v>
      </c>
      <c r="C151" s="2" t="s">
        <v>105</v>
      </c>
      <c r="E151" s="2" t="s">
        <v>307</v>
      </c>
      <c r="G151" s="2" t="s">
        <v>308</v>
      </c>
      <c r="H151" s="2" t="s">
        <v>112</v>
      </c>
      <c r="L151" s="2" t="str">
        <f t="shared" ref="L151" si="35">_xlfn.TEXTJOIN("", TRUE, D151:J151)</f>
        <v>02_Slots/Gaben/0140_wovon-ein-Gott-lebt/0001_anx.t-nTr-jm_01.png</v>
      </c>
    </row>
    <row r="152" spans="1:12">
      <c r="A152" s="2" t="s">
        <v>196</v>
      </c>
      <c r="B152" s="40">
        <v>4</v>
      </c>
      <c r="C152" s="2" t="s">
        <v>27</v>
      </c>
      <c r="L152" s="2" t="s">
        <v>313</v>
      </c>
    </row>
    <row r="154" spans="1:12">
      <c r="A154" s="2" t="s">
        <v>196</v>
      </c>
      <c r="B154" s="40">
        <v>5</v>
      </c>
      <c r="C154" s="2" t="s">
        <v>39</v>
      </c>
      <c r="L154" s="2" t="s">
        <v>312</v>
      </c>
    </row>
    <row r="155" spans="1:12">
      <c r="A155" s="2" t="s">
        <v>196</v>
      </c>
      <c r="B155" s="40">
        <v>5</v>
      </c>
      <c r="C155" s="2" t="s">
        <v>105</v>
      </c>
      <c r="E155" s="2" t="s">
        <v>310</v>
      </c>
      <c r="G155" s="2" t="s">
        <v>311</v>
      </c>
      <c r="H155" s="2" t="s">
        <v>112</v>
      </c>
      <c r="L155" s="2" t="str">
        <f t="shared" ref="L155" si="36">_xlfn.TEXTJOIN("", TRUE, D155:J155)</f>
        <v>02_Slots/Gaben/0150_wovon-die-Ach-Geister/0001_mrr.t-Ax.w-wnm-jm_01.png</v>
      </c>
    </row>
    <row r="156" spans="1:12">
      <c r="A156" s="2" t="s">
        <v>196</v>
      </c>
      <c r="B156" s="40">
        <v>5</v>
      </c>
      <c r="C156" s="2" t="s">
        <v>27</v>
      </c>
      <c r="L156" s="2" t="s">
        <v>314</v>
      </c>
    </row>
    <row r="158" spans="1:12">
      <c r="A158" s="2" t="s">
        <v>196</v>
      </c>
      <c r="B158" s="40">
        <v>6</v>
      </c>
      <c r="C158" s="2" t="s">
        <v>39</v>
      </c>
      <c r="L158" s="2" t="s">
        <v>315</v>
      </c>
    </row>
    <row r="159" spans="1:12">
      <c r="A159" s="2" t="s">
        <v>196</v>
      </c>
      <c r="B159" s="40">
        <v>6</v>
      </c>
      <c r="C159" s="2" t="s">
        <v>105</v>
      </c>
      <c r="E159" s="2" t="s">
        <v>316</v>
      </c>
      <c r="G159" s="2" t="s">
        <v>318</v>
      </c>
      <c r="H159" s="2" t="s">
        <v>112</v>
      </c>
      <c r="L159" s="2" t="str">
        <f t="shared" ref="L159:L161" si="37">_xlfn.TEXTJOIN("", TRUE, D159:J159)</f>
        <v>02_Slots/Gaben/0160_Alles/0001_(j)x.t-nb.t-nfr.t-wab.t_01.png</v>
      </c>
    </row>
    <row r="160" spans="1:12">
      <c r="A160" s="2" t="s">
        <v>196</v>
      </c>
      <c r="B160" s="40">
        <v>6</v>
      </c>
      <c r="C160" s="2" t="s">
        <v>105</v>
      </c>
      <c r="E160" s="2" t="s">
        <v>316</v>
      </c>
      <c r="G160" s="2" t="s">
        <v>319</v>
      </c>
      <c r="H160" s="2" t="s">
        <v>112</v>
      </c>
      <c r="L160" s="2" t="str">
        <f t="shared" si="37"/>
        <v>02_Slots/Gaben/0160_Alles/0010_(j)x.t-nb.t-nfr.t-wab.t_02.png</v>
      </c>
    </row>
    <row r="161" spans="1:12">
      <c r="A161" s="2" t="s">
        <v>196</v>
      </c>
      <c r="B161" s="40">
        <v>6</v>
      </c>
      <c r="C161" s="2" t="s">
        <v>105</v>
      </c>
      <c r="E161" s="2" t="s">
        <v>316</v>
      </c>
      <c r="G161" s="2" t="s">
        <v>320</v>
      </c>
      <c r="H161" s="2" t="s">
        <v>112</v>
      </c>
      <c r="L161" s="2" t="str">
        <f t="shared" si="37"/>
        <v>02_Slots/Gaben/0160_Alles/0020_(j)x.t-nb.t_01.png</v>
      </c>
    </row>
    <row r="162" spans="1:12">
      <c r="A162" s="2" t="s">
        <v>196</v>
      </c>
      <c r="B162" s="40">
        <v>6</v>
      </c>
      <c r="C162" s="2" t="s">
        <v>27</v>
      </c>
      <c r="L162" s="2" t="s">
        <v>317</v>
      </c>
    </row>
    <row r="164" spans="1:12">
      <c r="A164" s="2" t="s">
        <v>378</v>
      </c>
      <c r="B164" s="40">
        <v>1</v>
      </c>
      <c r="C164" s="2" t="s">
        <v>39</v>
      </c>
      <c r="L164" s="2" t="s">
        <v>381</v>
      </c>
    </row>
    <row r="165" spans="1:12">
      <c r="A165" s="2" t="s">
        <v>378</v>
      </c>
      <c r="B165" s="40">
        <v>1</v>
      </c>
      <c r="C165" s="2" t="s">
        <v>105</v>
      </c>
      <c r="E165" s="2" t="s">
        <v>382</v>
      </c>
      <c r="G165" s="2" t="s">
        <v>379</v>
      </c>
      <c r="H165" s="2" t="s">
        <v>112</v>
      </c>
      <c r="L165" s="2" t="str">
        <f t="shared" ref="L165:L166" si="38">_xlfn.TEXTJOIN("", TRUE, D165:J165)</f>
        <v>02_Slots/Titel/01_jmj-rA_01.png</v>
      </c>
    </row>
    <row r="166" spans="1:12">
      <c r="A166" s="2" t="s">
        <v>378</v>
      </c>
      <c r="B166" s="40">
        <v>1</v>
      </c>
      <c r="C166" s="2" t="s">
        <v>105</v>
      </c>
      <c r="E166" s="2" t="s">
        <v>382</v>
      </c>
      <c r="G166" s="2" t="s">
        <v>380</v>
      </c>
      <c r="H166" s="2" t="s">
        <v>112</v>
      </c>
      <c r="L166" s="2" t="str">
        <f t="shared" si="38"/>
        <v>02_Slots/Titel/01_jmj-rA_02.png</v>
      </c>
    </row>
    <row r="167" spans="1:12">
      <c r="A167" s="2" t="s">
        <v>378</v>
      </c>
      <c r="B167" s="40">
        <v>1</v>
      </c>
      <c r="C167" s="2" t="s">
        <v>27</v>
      </c>
      <c r="L167" s="2" t="s">
        <v>383</v>
      </c>
    </row>
    <row r="169" spans="1:12">
      <c r="A169" s="2" t="s">
        <v>378</v>
      </c>
      <c r="B169" s="40">
        <v>2</v>
      </c>
      <c r="C169" s="2" t="s">
        <v>39</v>
      </c>
      <c r="L169" s="2" t="s">
        <v>385</v>
      </c>
    </row>
    <row r="170" spans="1:12">
      <c r="A170" s="2" t="s">
        <v>378</v>
      </c>
      <c r="B170" s="40">
        <v>2</v>
      </c>
      <c r="C170" s="2" t="s">
        <v>105</v>
      </c>
      <c r="E170" s="2" t="s">
        <v>382</v>
      </c>
      <c r="G170" s="2" t="s">
        <v>392</v>
      </c>
      <c r="H170" s="2" t="s">
        <v>112</v>
      </c>
      <c r="I170" s="2" t="s">
        <v>1132</v>
      </c>
      <c r="J170" s="2" t="s">
        <v>1136</v>
      </c>
      <c r="K170" s="2" t="s">
        <v>1134</v>
      </c>
      <c r="L170" s="2" t="str">
        <f>_xlfn.TEXTJOIN("", TRUE, D170:K170)</f>
        <v>02_Slots/Titel/02_Hry_MR_01.png &lt;sup&gt;(MR)&lt;/sup&gt;</v>
      </c>
    </row>
    <row r="171" spans="1:12">
      <c r="A171" s="2" t="s">
        <v>378</v>
      </c>
      <c r="B171" s="40">
        <v>2</v>
      </c>
      <c r="C171" s="2" t="s">
        <v>27</v>
      </c>
      <c r="L171" s="2" t="s">
        <v>384</v>
      </c>
    </row>
    <row r="173" spans="1:12">
      <c r="A173" s="2" t="s">
        <v>378</v>
      </c>
      <c r="B173" s="40">
        <v>3</v>
      </c>
      <c r="C173" s="2" t="s">
        <v>39</v>
      </c>
      <c r="L173" s="2" t="s">
        <v>386</v>
      </c>
    </row>
    <row r="174" spans="1:12">
      <c r="A174" s="2" t="s">
        <v>378</v>
      </c>
      <c r="B174" s="40">
        <v>3</v>
      </c>
      <c r="C174" s="2" t="s">
        <v>105</v>
      </c>
      <c r="E174" s="2" t="s">
        <v>382</v>
      </c>
      <c r="G174" s="2" t="s">
        <v>388</v>
      </c>
      <c r="H174" s="2" t="s">
        <v>112</v>
      </c>
      <c r="L174" s="2" t="str">
        <f t="shared" ref="L174" si="39">_xlfn.TEXTJOIN("", TRUE, D174:J174)</f>
        <v>02_Slots/Titel/03_jmAx_01.png</v>
      </c>
    </row>
    <row r="175" spans="1:12">
      <c r="A175" s="2" t="s">
        <v>378</v>
      </c>
      <c r="B175" s="40">
        <v>3</v>
      </c>
      <c r="C175" s="2" t="s">
        <v>105</v>
      </c>
      <c r="E175" s="2" t="s">
        <v>382</v>
      </c>
      <c r="G175" s="2" t="s">
        <v>389</v>
      </c>
      <c r="H175" s="2" t="s">
        <v>112</v>
      </c>
      <c r="L175" s="2" t="str">
        <f t="shared" ref="L175:L178" si="40">_xlfn.TEXTJOIN("", TRUE, D175:J175)</f>
        <v>02_Slots/Titel/03_jmAx_02.png</v>
      </c>
    </row>
    <row r="176" spans="1:12">
      <c r="A176" s="2" t="s">
        <v>378</v>
      </c>
      <c r="B176" s="40">
        <v>3</v>
      </c>
      <c r="C176" s="2" t="s">
        <v>105</v>
      </c>
      <c r="E176" s="2" t="s">
        <v>382</v>
      </c>
      <c r="G176" s="2" t="s">
        <v>390</v>
      </c>
      <c r="H176" s="2" t="s">
        <v>112</v>
      </c>
      <c r="L176" s="2" t="str">
        <f t="shared" si="40"/>
        <v>02_Slots/Titel/03_jmAx_03.png</v>
      </c>
    </row>
    <row r="177" spans="1:12">
      <c r="A177" s="2" t="s">
        <v>378</v>
      </c>
      <c r="B177" s="40">
        <v>3</v>
      </c>
      <c r="C177" s="2" t="s">
        <v>105</v>
      </c>
      <c r="E177" s="2" t="s">
        <v>382</v>
      </c>
      <c r="G177" s="2" t="s">
        <v>391</v>
      </c>
      <c r="H177" s="2" t="s">
        <v>112</v>
      </c>
      <c r="L177" s="2" t="str">
        <f t="shared" si="40"/>
        <v>02_Slots/Titel/03_jmAx_04.png</v>
      </c>
    </row>
    <row r="178" spans="1:12">
      <c r="A178" s="2" t="s">
        <v>378</v>
      </c>
      <c r="B178" s="40">
        <v>3</v>
      </c>
      <c r="C178" s="2" t="s">
        <v>105</v>
      </c>
      <c r="E178" s="2" t="s">
        <v>382</v>
      </c>
      <c r="G178" s="2" t="s">
        <v>391</v>
      </c>
      <c r="H178" s="2" t="s">
        <v>112</v>
      </c>
      <c r="L178" s="2" t="str">
        <f t="shared" si="40"/>
        <v>02_Slots/Titel/03_jmAx_04.png</v>
      </c>
    </row>
    <row r="179" spans="1:12">
      <c r="A179" s="2" t="s">
        <v>378</v>
      </c>
      <c r="B179" s="40">
        <v>3</v>
      </c>
      <c r="C179" s="2" t="s">
        <v>105</v>
      </c>
      <c r="E179" s="2" t="s">
        <v>382</v>
      </c>
      <c r="G179" s="2" t="s">
        <v>393</v>
      </c>
      <c r="H179" s="2" t="s">
        <v>112</v>
      </c>
      <c r="I179" s="2" t="s">
        <v>1132</v>
      </c>
      <c r="J179" s="2" t="s">
        <v>1136</v>
      </c>
      <c r="K179" s="2" t="s">
        <v>1134</v>
      </c>
      <c r="L179" s="2" t="str">
        <f>_xlfn.TEXTJOIN("", TRUE, D179:K179)</f>
        <v>02_Slots/Titel/03_jmAx_MR_01.png &lt;sup&gt;(MR)&lt;/sup&gt;</v>
      </c>
    </row>
    <row r="180" spans="1:12">
      <c r="A180" s="2" t="s">
        <v>378</v>
      </c>
      <c r="B180" s="40">
        <v>3</v>
      </c>
      <c r="C180" s="2" t="s">
        <v>27</v>
      </c>
      <c r="L180" s="2" t="s">
        <v>387</v>
      </c>
    </row>
    <row r="182" spans="1:12">
      <c r="A182" s="2" t="s">
        <v>378</v>
      </c>
      <c r="B182" s="40">
        <v>4</v>
      </c>
      <c r="C182" s="2" t="s">
        <v>39</v>
      </c>
      <c r="L182" s="2" t="s">
        <v>394</v>
      </c>
    </row>
    <row r="183" spans="1:12">
      <c r="A183" s="2" t="s">
        <v>378</v>
      </c>
      <c r="B183" s="40">
        <v>4</v>
      </c>
      <c r="C183" s="2" t="s">
        <v>105</v>
      </c>
      <c r="E183" s="2" t="s">
        <v>382</v>
      </c>
      <c r="G183" s="2" t="s">
        <v>400</v>
      </c>
      <c r="H183" s="2" t="s">
        <v>112</v>
      </c>
      <c r="L183" s="2" t="str">
        <f t="shared" ref="L183" si="41">_xlfn.TEXTJOIN("", TRUE, D183:J183)</f>
        <v>02_Slots/Titel/04_nb-jmAx_01.png</v>
      </c>
    </row>
    <row r="184" spans="1:12">
      <c r="A184" s="2" t="s">
        <v>378</v>
      </c>
      <c r="B184" s="40">
        <v>4</v>
      </c>
      <c r="C184" s="2" t="s">
        <v>27</v>
      </c>
      <c r="L184" s="2" t="s">
        <v>395</v>
      </c>
    </row>
    <row r="186" spans="1:12">
      <c r="A186" s="2" t="s">
        <v>378</v>
      </c>
      <c r="B186" s="40">
        <v>5</v>
      </c>
      <c r="C186" s="2" t="s">
        <v>39</v>
      </c>
      <c r="L186" s="2" t="s">
        <v>399</v>
      </c>
    </row>
    <row r="187" spans="1:12">
      <c r="A187" s="2" t="s">
        <v>378</v>
      </c>
      <c r="B187" s="40">
        <v>5</v>
      </c>
      <c r="C187" s="2" t="s">
        <v>105</v>
      </c>
      <c r="E187" s="2" t="s">
        <v>382</v>
      </c>
      <c r="G187" s="2" t="s">
        <v>396</v>
      </c>
      <c r="H187" s="2" t="s">
        <v>112</v>
      </c>
      <c r="L187" s="2" t="str">
        <f t="shared" ref="L187:L189" si="42">_xlfn.TEXTJOIN("", TRUE, D187:J187)</f>
        <v>02_Slots/Titel/05_wsjr_01.png</v>
      </c>
    </row>
    <row r="188" spans="1:12">
      <c r="A188" s="2" t="s">
        <v>378</v>
      </c>
      <c r="B188" s="40">
        <v>5</v>
      </c>
      <c r="C188" s="2" t="s">
        <v>105</v>
      </c>
      <c r="E188" s="2" t="s">
        <v>382</v>
      </c>
      <c r="G188" s="2" t="s">
        <v>397</v>
      </c>
      <c r="H188" s="2" t="s">
        <v>112</v>
      </c>
      <c r="L188" s="2" t="str">
        <f t="shared" si="42"/>
        <v>02_Slots/Titel/05_wsjr_02.png</v>
      </c>
    </row>
    <row r="189" spans="1:12">
      <c r="A189" s="2" t="s">
        <v>378</v>
      </c>
      <c r="B189" s="40">
        <v>5</v>
      </c>
      <c r="C189" s="2" t="s">
        <v>105</v>
      </c>
      <c r="E189" s="2" t="s">
        <v>382</v>
      </c>
      <c r="G189" s="2" t="s">
        <v>398</v>
      </c>
      <c r="H189" s="2" t="s">
        <v>112</v>
      </c>
      <c r="L189" s="2" t="str">
        <f t="shared" si="42"/>
        <v>02_Slots/Titel/05_wsjr_03.png</v>
      </c>
    </row>
    <row r="190" spans="1:12">
      <c r="A190" s="2" t="s">
        <v>378</v>
      </c>
      <c r="B190" s="40">
        <v>5</v>
      </c>
      <c r="C190" s="2" t="s">
        <v>27</v>
      </c>
      <c r="L190" s="2" t="s">
        <v>134</v>
      </c>
    </row>
    <row r="192" spans="1:12">
      <c r="A192" s="2" t="s">
        <v>403</v>
      </c>
      <c r="B192" s="40">
        <v>1</v>
      </c>
      <c r="C192" s="2" t="s">
        <v>39</v>
      </c>
      <c r="L192" s="2" t="s">
        <v>406</v>
      </c>
    </row>
    <row r="193" spans="1:12">
      <c r="A193" s="2" t="s">
        <v>403</v>
      </c>
      <c r="B193" s="40">
        <v>1</v>
      </c>
      <c r="C193" s="2" t="s">
        <v>105</v>
      </c>
      <c r="E193" s="2" t="s">
        <v>382</v>
      </c>
      <c r="F193" s="2" t="s">
        <v>404</v>
      </c>
      <c r="G193" s="2" t="s">
        <v>405</v>
      </c>
      <c r="H193" s="2" t="s">
        <v>112</v>
      </c>
      <c r="L193" s="2" t="str">
        <f t="shared" ref="L193" si="43">_xlfn.TEXTJOIN("", TRUE, D193:J193)</f>
        <v>02_Slots/Titel/f/01_nb.t-pr_01.png</v>
      </c>
    </row>
    <row r="194" spans="1:12">
      <c r="A194" s="2" t="s">
        <v>403</v>
      </c>
      <c r="B194" s="40">
        <v>1</v>
      </c>
      <c r="C194" s="2" t="s">
        <v>27</v>
      </c>
      <c r="L194" s="2" t="s">
        <v>407</v>
      </c>
    </row>
    <row r="196" spans="1:12">
      <c r="A196" s="2" t="s">
        <v>403</v>
      </c>
      <c r="B196" s="40">
        <v>2</v>
      </c>
      <c r="C196" s="2" t="s">
        <v>39</v>
      </c>
      <c r="L196" s="2" t="s">
        <v>409</v>
      </c>
    </row>
    <row r="197" spans="1:12">
      <c r="A197" s="2" t="s">
        <v>403</v>
      </c>
      <c r="B197" s="40">
        <v>2</v>
      </c>
      <c r="C197" s="2" t="s">
        <v>105</v>
      </c>
      <c r="E197" s="2" t="s">
        <v>382</v>
      </c>
      <c r="F197" s="2" t="s">
        <v>404</v>
      </c>
      <c r="G197" s="2" t="s">
        <v>408</v>
      </c>
      <c r="H197" s="2" t="s">
        <v>112</v>
      </c>
      <c r="I197" s="2" t="s">
        <v>1132</v>
      </c>
      <c r="J197" s="2" t="s">
        <v>1133</v>
      </c>
      <c r="K197" s="2" t="s">
        <v>1134</v>
      </c>
      <c r="L197" s="2" t="str">
        <f>_xlfn.TEXTJOIN("", TRUE, D197:K197)</f>
        <v>02_Slots/Titel/f/02_Hm.t-nTr-Hw.t-Hr_AR_01.png &lt;sup&gt;(AR)&lt;/sup&gt;</v>
      </c>
    </row>
    <row r="198" spans="1:12">
      <c r="A198" s="2" t="s">
        <v>403</v>
      </c>
      <c r="B198" s="40">
        <v>2</v>
      </c>
      <c r="C198" s="2" t="s">
        <v>27</v>
      </c>
      <c r="L198" s="2" t="s">
        <v>410</v>
      </c>
    </row>
    <row r="200" spans="1:12">
      <c r="A200" s="2" t="s">
        <v>403</v>
      </c>
      <c r="B200" s="40">
        <v>3</v>
      </c>
      <c r="C200" s="2" t="s">
        <v>39</v>
      </c>
      <c r="L200" s="2" t="s">
        <v>412</v>
      </c>
    </row>
    <row r="201" spans="1:12">
      <c r="A201" s="2" t="s">
        <v>403</v>
      </c>
      <c r="B201" s="40">
        <v>3</v>
      </c>
      <c r="C201" s="2" t="s">
        <v>105</v>
      </c>
      <c r="E201" s="2" t="s">
        <v>382</v>
      </c>
      <c r="F201" s="2" t="s">
        <v>404</v>
      </c>
      <c r="G201" s="2" t="s">
        <v>411</v>
      </c>
      <c r="H201" s="2" t="s">
        <v>112</v>
      </c>
      <c r="I201" s="2" t="s">
        <v>1132</v>
      </c>
      <c r="J201" s="2" t="s">
        <v>1139</v>
      </c>
      <c r="K201" s="2" t="s">
        <v>1134</v>
      </c>
      <c r="L201" s="2" t="str">
        <f>_xlfn.TEXTJOIN("", TRUE, D201:K201)</f>
        <v>02_Slots/Titel/f/02_Hw.t-Hr_Roem._01.png &lt;sup&gt;(röm.)&lt;/sup&gt;</v>
      </c>
    </row>
    <row r="202" spans="1:12">
      <c r="A202" s="2" t="s">
        <v>403</v>
      </c>
      <c r="B202" s="40">
        <v>3</v>
      </c>
      <c r="C202" s="2" t="s">
        <v>27</v>
      </c>
      <c r="L202" s="2" t="s">
        <v>152</v>
      </c>
    </row>
    <row r="204" spans="1:12">
      <c r="A204" s="2" t="s">
        <v>403</v>
      </c>
      <c r="B204" s="40">
        <v>4</v>
      </c>
      <c r="C204" s="2" t="s">
        <v>39</v>
      </c>
      <c r="L204" s="2" t="s">
        <v>414</v>
      </c>
    </row>
    <row r="205" spans="1:12">
      <c r="A205" s="2" t="s">
        <v>403</v>
      </c>
      <c r="B205" s="40">
        <v>4</v>
      </c>
      <c r="C205" s="2" t="s">
        <v>105</v>
      </c>
      <c r="E205" s="2" t="s">
        <v>382</v>
      </c>
      <c r="F205" s="2" t="s">
        <v>404</v>
      </c>
      <c r="G205" s="2" t="s">
        <v>413</v>
      </c>
      <c r="H205" s="2" t="s">
        <v>112</v>
      </c>
      <c r="I205" s="2" t="s">
        <v>1132</v>
      </c>
      <c r="J205" s="2" t="s">
        <v>1147</v>
      </c>
      <c r="K205" s="2" t="s">
        <v>1134</v>
      </c>
      <c r="L205" s="2" t="str">
        <f>_xlfn.TEXTJOIN("", TRUE, D205:K205)</f>
        <v>02_Slots/Titel/f/03_Smay.t-jmn_NR-3.Zw.Zt._01.png &lt;sup&gt;(NR; 3.Zw.Zt.)&lt;/sup&gt;</v>
      </c>
    </row>
    <row r="206" spans="1:12">
      <c r="A206" s="2" t="s">
        <v>403</v>
      </c>
      <c r="B206" s="40">
        <v>4</v>
      </c>
      <c r="C206" s="2" t="s">
        <v>27</v>
      </c>
      <c r="L206" s="2" t="s">
        <v>415</v>
      </c>
    </row>
    <row r="220" spans="1:12">
      <c r="A220" s="2" t="s">
        <v>425</v>
      </c>
      <c r="B220" s="40">
        <v>1</v>
      </c>
      <c r="C220" s="2" t="s">
        <v>102</v>
      </c>
      <c r="E220" s="2" t="s">
        <v>426</v>
      </c>
      <c r="F220" s="2" t="s">
        <v>427</v>
      </c>
      <c r="G220" s="2" t="s">
        <v>431</v>
      </c>
      <c r="H220" s="2" t="s">
        <v>112</v>
      </c>
      <c r="L220" s="2" t="str">
        <f t="shared" ref="L220:L221" si="44">_xlfn.TEXTJOIN("", TRUE, D220:J220)</f>
        <v>02_Slots/Personennamen/Determinative/m/01_A1_01.png</v>
      </c>
    </row>
    <row r="221" spans="1:12">
      <c r="A221" s="2" t="s">
        <v>425</v>
      </c>
      <c r="B221" s="40">
        <v>1</v>
      </c>
      <c r="C221" s="2" t="s">
        <v>102</v>
      </c>
      <c r="E221" s="2" t="s">
        <v>426</v>
      </c>
      <c r="F221" s="2" t="s">
        <v>427</v>
      </c>
      <c r="G221" s="2" t="s">
        <v>432</v>
      </c>
      <c r="H221" s="2" t="s">
        <v>112</v>
      </c>
      <c r="L221" s="2" t="str">
        <f t="shared" si="44"/>
        <v>02_Slots/Personennamen/Determinative/m/02_A52_01.png</v>
      </c>
    </row>
    <row r="222" spans="1:12">
      <c r="A222" s="2" t="s">
        <v>425</v>
      </c>
      <c r="B222" s="40">
        <v>1</v>
      </c>
      <c r="C222" s="2" t="s">
        <v>103</v>
      </c>
      <c r="E222" s="2" t="s">
        <v>426</v>
      </c>
      <c r="F222" s="2" t="s">
        <v>404</v>
      </c>
      <c r="G222" s="2" t="s">
        <v>428</v>
      </c>
      <c r="H222" s="2" t="s">
        <v>112</v>
      </c>
      <c r="L222" s="2" t="str">
        <f t="shared" ref="L222:L224" si="45">_xlfn.TEXTJOIN("", TRUE, D222:J222)</f>
        <v>02_Slots/Personennamen/Determinative/f/01_B1_01.png</v>
      </c>
    </row>
    <row r="223" spans="1:12">
      <c r="A223" s="2" t="s">
        <v>425</v>
      </c>
      <c r="B223" s="40">
        <v>1</v>
      </c>
      <c r="C223" s="2" t="s">
        <v>103</v>
      </c>
      <c r="E223" s="2" t="s">
        <v>426</v>
      </c>
      <c r="F223" s="2" t="s">
        <v>404</v>
      </c>
      <c r="G223" s="2" t="s">
        <v>429</v>
      </c>
      <c r="H223" s="2" t="s">
        <v>112</v>
      </c>
      <c r="L223" s="2" t="str">
        <f t="shared" si="45"/>
        <v>02_Slots/Personennamen/Determinative/f/02_B1G_01.png</v>
      </c>
    </row>
    <row r="224" spans="1:12">
      <c r="A224" s="2" t="s">
        <v>425</v>
      </c>
      <c r="B224" s="40">
        <v>1</v>
      </c>
      <c r="C224" s="2" t="s">
        <v>103</v>
      </c>
      <c r="E224" s="2" t="s">
        <v>426</v>
      </c>
      <c r="F224" s="2" t="s">
        <v>404</v>
      </c>
      <c r="G224" s="2" t="s">
        <v>430</v>
      </c>
      <c r="H224" s="2" t="s">
        <v>112</v>
      </c>
      <c r="L224" s="2" t="str">
        <f t="shared" si="45"/>
        <v>02_Slots/Personennamen/Determinative/f/03_B8_01.png</v>
      </c>
    </row>
    <row r="226" spans="1:12">
      <c r="A226" s="2" t="s">
        <v>433</v>
      </c>
      <c r="B226" s="40">
        <v>1</v>
      </c>
      <c r="C226" s="2" t="s">
        <v>39</v>
      </c>
      <c r="L226" s="2" t="s">
        <v>434</v>
      </c>
    </row>
    <row r="227" spans="1:12">
      <c r="A227" s="2" t="s">
        <v>433</v>
      </c>
      <c r="B227" s="40">
        <v>1</v>
      </c>
      <c r="C227" s="2" t="s">
        <v>105</v>
      </c>
      <c r="E227" s="2" t="s">
        <v>436</v>
      </c>
      <c r="G227" s="2" t="s">
        <v>437</v>
      </c>
      <c r="H227" s="2" t="s">
        <v>112</v>
      </c>
      <c r="L227" s="2" t="str">
        <f t="shared" ref="L227:L228" si="46">_xlfn.TEXTJOIN("", TRUE, D227:J227)</f>
        <v>02_Slots/Menschenepitheta/03_mAa-xrw_01.png</v>
      </c>
    </row>
    <row r="228" spans="1:12">
      <c r="A228" s="2" t="s">
        <v>433</v>
      </c>
      <c r="B228" s="40">
        <v>1</v>
      </c>
      <c r="C228" s="2" t="s">
        <v>105</v>
      </c>
      <c r="E228" s="2" t="s">
        <v>436</v>
      </c>
      <c r="G228" s="2" t="s">
        <v>438</v>
      </c>
      <c r="H228" s="2" t="s">
        <v>112</v>
      </c>
      <c r="L228" s="2" t="str">
        <f t="shared" si="46"/>
        <v>02_Slots/Menschenepitheta/03_mAa-xrw_02.png</v>
      </c>
    </row>
    <row r="229" spans="1:12">
      <c r="A229" s="2" t="s">
        <v>433</v>
      </c>
      <c r="B229" s="40">
        <v>1</v>
      </c>
      <c r="C229" s="2" t="s">
        <v>105</v>
      </c>
      <c r="E229" s="2" t="s">
        <v>436</v>
      </c>
      <c r="G229" s="2" t="s">
        <v>439</v>
      </c>
      <c r="H229" s="2" t="s">
        <v>112</v>
      </c>
      <c r="L229" s="2" t="str">
        <f t="shared" ref="L229" si="47">_xlfn.TEXTJOIN("", TRUE, D229:J229)</f>
        <v>02_Slots/Menschenepitheta/03_mAa-xrw_03.png</v>
      </c>
    </row>
    <row r="230" spans="1:12">
      <c r="A230" s="2" t="s">
        <v>433</v>
      </c>
      <c r="B230" s="40">
        <v>1</v>
      </c>
      <c r="C230" s="2" t="s">
        <v>105</v>
      </c>
      <c r="E230" s="2" t="s">
        <v>436</v>
      </c>
      <c r="G230" s="2" t="s">
        <v>440</v>
      </c>
      <c r="H230" s="2" t="s">
        <v>112</v>
      </c>
      <c r="I230" s="2" t="s">
        <v>1132</v>
      </c>
      <c r="J230" s="2" t="s">
        <v>1088</v>
      </c>
      <c r="K230" s="2" t="s">
        <v>1134</v>
      </c>
      <c r="L230" s="2" t="str">
        <f t="shared" ref="L230:L232" si="48">_xlfn.TEXTJOIN("", TRUE, D230:K230)</f>
        <v>02_Slots/Menschenepitheta/03_mAa-xrw_NR_01.png &lt;sup&gt;(NR)&lt;/sup&gt;</v>
      </c>
    </row>
    <row r="231" spans="1:12">
      <c r="A231" s="2" t="s">
        <v>433</v>
      </c>
      <c r="B231" s="40">
        <v>1</v>
      </c>
      <c r="C231" s="2" t="s">
        <v>105</v>
      </c>
      <c r="E231" s="2" t="s">
        <v>436</v>
      </c>
      <c r="G231" s="2" t="s">
        <v>441</v>
      </c>
      <c r="H231" s="2" t="s">
        <v>112</v>
      </c>
      <c r="I231" s="2" t="s">
        <v>1132</v>
      </c>
      <c r="J231" s="2" t="s">
        <v>1124</v>
      </c>
      <c r="K231" s="2" t="s">
        <v>1134</v>
      </c>
      <c r="L231" s="2" t="str">
        <f t="shared" si="48"/>
        <v>02_Slots/Menschenepitheta/03_mAa-xrw_Spaet._01.png &lt;sup&gt;(Spät.)&lt;/sup&gt;</v>
      </c>
    </row>
    <row r="232" spans="1:12">
      <c r="A232" s="2" t="s">
        <v>433</v>
      </c>
      <c r="B232" s="40">
        <v>1</v>
      </c>
      <c r="C232" s="2" t="s">
        <v>105</v>
      </c>
      <c r="E232" s="2" t="s">
        <v>436</v>
      </c>
      <c r="G232" s="2" t="s">
        <v>442</v>
      </c>
      <c r="H232" s="2" t="s">
        <v>112</v>
      </c>
      <c r="I232" s="2" t="s">
        <v>1132</v>
      </c>
      <c r="J232" s="2" t="s">
        <v>1124</v>
      </c>
      <c r="K232" s="2" t="s">
        <v>1134</v>
      </c>
      <c r="L232" s="2" t="str">
        <f t="shared" si="48"/>
        <v>02_Slots/Menschenepitheta/03_mAa-xrw_Spaet._02.png &lt;sup&gt;(Spät.)&lt;/sup&gt;</v>
      </c>
    </row>
    <row r="233" spans="1:12">
      <c r="A233" s="2" t="s">
        <v>433</v>
      </c>
      <c r="B233" s="40">
        <v>1</v>
      </c>
      <c r="C233" s="2" t="s">
        <v>27</v>
      </c>
      <c r="L233" s="2" t="s">
        <v>435</v>
      </c>
    </row>
    <row r="235" spans="1:12">
      <c r="A235" s="2" t="s">
        <v>477</v>
      </c>
      <c r="B235" s="40">
        <v>1</v>
      </c>
      <c r="C235" s="2" t="s">
        <v>39</v>
      </c>
      <c r="L235" s="2" t="s">
        <v>484</v>
      </c>
    </row>
    <row r="236" spans="1:12">
      <c r="A236" s="2" t="s">
        <v>477</v>
      </c>
      <c r="B236" s="40">
        <v>1</v>
      </c>
      <c r="C236" s="2" t="s">
        <v>105</v>
      </c>
      <c r="E236" s="2" t="s">
        <v>482</v>
      </c>
      <c r="F236" s="2" t="s">
        <v>483</v>
      </c>
      <c r="G236" s="2" t="s">
        <v>1417</v>
      </c>
      <c r="L236" s="2" t="str">
        <f t="shared" ref="L236:L242" si="49">_xlfn.TEXTJOIN("", TRUE, D236:K236)</f>
        <v>02_Slots/Datum/01_Jahr/0001_HA.t-sp_01.png</v>
      </c>
    </row>
    <row r="237" spans="1:12">
      <c r="A237" s="2" t="s">
        <v>477</v>
      </c>
      <c r="B237" s="40">
        <v>1</v>
      </c>
      <c r="C237" s="2" t="s">
        <v>105</v>
      </c>
      <c r="E237" s="2" t="s">
        <v>482</v>
      </c>
      <c r="F237" s="2" t="s">
        <v>483</v>
      </c>
      <c r="G237" s="2" t="s">
        <v>1418</v>
      </c>
      <c r="L237" s="2" t="str">
        <f t="shared" si="49"/>
        <v>02_Slots/Datum/01_Jahr/0010_HA.t-sp_02.png</v>
      </c>
    </row>
    <row r="238" spans="1:12">
      <c r="A238" s="2" t="s">
        <v>477</v>
      </c>
      <c r="B238" s="40">
        <v>1</v>
      </c>
      <c r="C238" s="2" t="s">
        <v>105</v>
      </c>
      <c r="E238" s="2" t="s">
        <v>482</v>
      </c>
      <c r="F238" s="2" t="s">
        <v>483</v>
      </c>
      <c r="G238" s="2" t="s">
        <v>1419</v>
      </c>
      <c r="L238" s="2" t="str">
        <f t="shared" si="49"/>
        <v>02_Slots/Datum/01_Jahr/0020_HA.t-sp_03.png</v>
      </c>
    </row>
    <row r="239" spans="1:12">
      <c r="A239" s="2" t="s">
        <v>477</v>
      </c>
      <c r="B239" s="40">
        <v>1</v>
      </c>
      <c r="C239" s="2" t="s">
        <v>105</v>
      </c>
      <c r="E239" s="2" t="s">
        <v>482</v>
      </c>
      <c r="F239" s="2" t="s">
        <v>483</v>
      </c>
      <c r="G239" s="2" t="s">
        <v>1420</v>
      </c>
      <c r="L239" s="2" t="str">
        <f t="shared" si="49"/>
        <v>02_Slots/Datum/01_Jahr/0030_HA.t-sp_04.png</v>
      </c>
    </row>
    <row r="240" spans="1:12">
      <c r="A240" s="2" t="s">
        <v>477</v>
      </c>
      <c r="B240" s="40">
        <v>1</v>
      </c>
      <c r="C240" s="2" t="s">
        <v>105</v>
      </c>
      <c r="E240" s="2" t="s">
        <v>482</v>
      </c>
      <c r="F240" s="2" t="s">
        <v>483</v>
      </c>
      <c r="G240" s="2" t="s">
        <v>1421</v>
      </c>
      <c r="I240" s="2" t="s">
        <v>1132</v>
      </c>
      <c r="J240" s="2" t="s">
        <v>1124</v>
      </c>
      <c r="K240" s="2" t="s">
        <v>1134</v>
      </c>
      <c r="L240" s="2" t="str">
        <f t="shared" si="49"/>
        <v>02_Slots/Datum/01_Jahr/0040_HA.t-sp_Sp_01.png &lt;sup&gt;(Spät.)&lt;/sup&gt;</v>
      </c>
    </row>
    <row r="241" spans="1:12">
      <c r="A241" s="2" t="s">
        <v>477</v>
      </c>
      <c r="B241" s="40">
        <v>1</v>
      </c>
      <c r="C241" s="2" t="s">
        <v>105</v>
      </c>
      <c r="E241" s="2" t="s">
        <v>482</v>
      </c>
      <c r="F241" s="2" t="s">
        <v>483</v>
      </c>
      <c r="G241" s="2" t="s">
        <v>1422</v>
      </c>
      <c r="I241" s="2" t="s">
        <v>1132</v>
      </c>
      <c r="J241" s="2" t="s">
        <v>1124</v>
      </c>
      <c r="K241" s="2" t="s">
        <v>1134</v>
      </c>
      <c r="L241" s="2" t="str">
        <f t="shared" si="49"/>
        <v>02_Slots/Datum/01_Jahr/0050_HA.t-sp_Sp_02.png &lt;sup&gt;(Spät.)&lt;/sup&gt;</v>
      </c>
    </row>
    <row r="242" spans="1:12">
      <c r="A242" s="2" t="s">
        <v>477</v>
      </c>
      <c r="B242" s="40">
        <v>1</v>
      </c>
      <c r="C242" s="2" t="s">
        <v>105</v>
      </c>
      <c r="E242" s="2" t="s">
        <v>482</v>
      </c>
      <c r="F242" s="2" t="s">
        <v>483</v>
      </c>
      <c r="G242" s="2" t="s">
        <v>1423</v>
      </c>
      <c r="I242" s="2" t="s">
        <v>1132</v>
      </c>
      <c r="J242" s="2" t="s">
        <v>1124</v>
      </c>
      <c r="K242" s="2" t="s">
        <v>1134</v>
      </c>
      <c r="L242" s="2" t="str">
        <f t="shared" si="49"/>
        <v>02_Slots/Datum/01_Jahr/0060_HA.t-sp_Sp_03.png &lt;sup&gt;(Spät.)&lt;/sup&gt;</v>
      </c>
    </row>
    <row r="243" spans="1:12">
      <c r="A243" s="2" t="s">
        <v>477</v>
      </c>
      <c r="B243" s="40">
        <v>1</v>
      </c>
      <c r="C243" s="2" t="s">
        <v>27</v>
      </c>
      <c r="L243" s="2" t="s">
        <v>485</v>
      </c>
    </row>
    <row r="245" spans="1:12">
      <c r="A245" s="2" t="s">
        <v>479</v>
      </c>
      <c r="B245" s="40">
        <v>1</v>
      </c>
      <c r="C245" s="2" t="s">
        <v>39</v>
      </c>
      <c r="L245" s="2" t="s">
        <v>490</v>
      </c>
    </row>
    <row r="246" spans="1:12">
      <c r="A246" s="2" t="s">
        <v>479</v>
      </c>
      <c r="B246" s="40">
        <v>1</v>
      </c>
      <c r="C246" s="2" t="s">
        <v>105</v>
      </c>
      <c r="E246" s="2" t="s">
        <v>482</v>
      </c>
      <c r="F246" s="2" t="s">
        <v>486</v>
      </c>
      <c r="G246" s="2" t="s">
        <v>487</v>
      </c>
      <c r="H246" s="2" t="s">
        <v>112</v>
      </c>
      <c r="L246" s="2" t="str">
        <f t="shared" ref="L246" si="50">_xlfn.TEXTJOIN("", TRUE, D246:J246)</f>
        <v>02_Slots/Datum/02_Monat/0001_Abd-1_01.png</v>
      </c>
    </row>
    <row r="247" spans="1:12">
      <c r="A247" s="2" t="s">
        <v>479</v>
      </c>
      <c r="B247" s="40">
        <v>1</v>
      </c>
      <c r="C247" s="2" t="s">
        <v>27</v>
      </c>
      <c r="L247" s="2" t="s">
        <v>489</v>
      </c>
    </row>
    <row r="248" spans="1:12">
      <c r="A248" s="2" t="s">
        <v>479</v>
      </c>
      <c r="B248" s="40">
        <v>2</v>
      </c>
      <c r="C248" s="2" t="s">
        <v>39</v>
      </c>
      <c r="L248" s="2" t="s">
        <v>1052</v>
      </c>
    </row>
    <row r="249" spans="1:12">
      <c r="A249" s="2" t="s">
        <v>479</v>
      </c>
      <c r="B249" s="40">
        <v>2</v>
      </c>
      <c r="C249" s="2" t="s">
        <v>105</v>
      </c>
      <c r="E249" s="2" t="s">
        <v>482</v>
      </c>
      <c r="F249" s="2" t="s">
        <v>486</v>
      </c>
      <c r="G249" s="2" t="s">
        <v>488</v>
      </c>
      <c r="H249" s="2" t="s">
        <v>112</v>
      </c>
      <c r="L249" s="2" t="str">
        <f t="shared" ref="L249" si="51">_xlfn.TEXTJOIN("", TRUE, D249:J249)</f>
        <v>02_Slots/Datum/02_Monat/0010_tpy_01.png</v>
      </c>
    </row>
    <row r="250" spans="1:12">
      <c r="A250" s="2" t="s">
        <v>479</v>
      </c>
      <c r="B250" s="40">
        <v>2</v>
      </c>
      <c r="C250" s="2" t="s">
        <v>27</v>
      </c>
      <c r="L250" s="2" t="s">
        <v>489</v>
      </c>
    </row>
    <row r="251" spans="1:12">
      <c r="A251" s="2" t="s">
        <v>479</v>
      </c>
      <c r="B251" s="40">
        <v>3</v>
      </c>
      <c r="C251" s="2" t="s">
        <v>39</v>
      </c>
      <c r="L251" s="2" t="s">
        <v>1054</v>
      </c>
    </row>
    <row r="252" spans="1:12">
      <c r="A252" s="2" t="s">
        <v>479</v>
      </c>
      <c r="B252" s="40">
        <v>3</v>
      </c>
      <c r="C252" s="2" t="s">
        <v>105</v>
      </c>
      <c r="E252" s="2" t="s">
        <v>482</v>
      </c>
      <c r="F252" s="2" t="s">
        <v>486</v>
      </c>
      <c r="G252" s="2" t="s">
        <v>1056</v>
      </c>
      <c r="H252" s="2" t="s">
        <v>112</v>
      </c>
      <c r="L252" s="2" t="str">
        <f t="shared" ref="L252:L253" si="52">_xlfn.TEXTJOIN("", TRUE, D252:J252)</f>
        <v>02_Slots/Datum/02_Monat/0020_Abd-2_01.png</v>
      </c>
    </row>
    <row r="253" spans="1:12">
      <c r="A253" s="2" t="s">
        <v>479</v>
      </c>
      <c r="B253" s="40">
        <v>3</v>
      </c>
      <c r="C253" s="2" t="s">
        <v>105</v>
      </c>
      <c r="E253" s="2" t="s">
        <v>482</v>
      </c>
      <c r="F253" s="2" t="s">
        <v>486</v>
      </c>
      <c r="G253" s="2" t="s">
        <v>1057</v>
      </c>
      <c r="H253" s="2" t="s">
        <v>112</v>
      </c>
      <c r="L253" s="2" t="str">
        <f t="shared" si="52"/>
        <v>02_Slots/Datum/02_Monat/0030_Abd-2_02.png</v>
      </c>
    </row>
    <row r="254" spans="1:12">
      <c r="A254" s="2" t="s">
        <v>479</v>
      </c>
      <c r="B254" s="40">
        <v>3</v>
      </c>
      <c r="C254" s="2" t="s">
        <v>105</v>
      </c>
      <c r="E254" s="2" t="s">
        <v>482</v>
      </c>
      <c r="F254" s="2" t="s">
        <v>486</v>
      </c>
      <c r="G254" s="2" t="s">
        <v>1065</v>
      </c>
      <c r="H254" s="2" t="s">
        <v>112</v>
      </c>
      <c r="L254" s="2" t="str">
        <f t="shared" ref="L254" si="53">_xlfn.TEXTJOIN("", TRUE, D254:J254)</f>
        <v>02_Slots/Datum/02_Monat/0035_Abd-2_03.png</v>
      </c>
    </row>
    <row r="255" spans="1:12">
      <c r="A255" s="2" t="s">
        <v>479</v>
      </c>
      <c r="B255" s="40">
        <v>3</v>
      </c>
      <c r="C255" s="2" t="s">
        <v>27</v>
      </c>
      <c r="L255" s="2" t="s">
        <v>1063</v>
      </c>
    </row>
    <row r="256" spans="1:12">
      <c r="A256" s="2" t="s">
        <v>479</v>
      </c>
      <c r="B256" s="40">
        <v>4</v>
      </c>
      <c r="C256" s="2" t="s">
        <v>39</v>
      </c>
      <c r="L256" s="2" t="s">
        <v>1055</v>
      </c>
    </row>
    <row r="257" spans="1:12">
      <c r="A257" s="2" t="s">
        <v>479</v>
      </c>
      <c r="B257" s="40">
        <v>4</v>
      </c>
      <c r="C257" s="2" t="s">
        <v>105</v>
      </c>
      <c r="E257" s="2" t="s">
        <v>482</v>
      </c>
      <c r="F257" s="2" t="s">
        <v>486</v>
      </c>
      <c r="G257" s="2" t="s">
        <v>1058</v>
      </c>
      <c r="H257" s="2" t="s">
        <v>112</v>
      </c>
      <c r="L257" s="2" t="str">
        <f t="shared" ref="L257" si="54">_xlfn.TEXTJOIN("", TRUE, D257:J257)</f>
        <v>02_Slots/Datum/02_Monat/0040_Abd-3_01.png</v>
      </c>
    </row>
    <row r="258" spans="1:12">
      <c r="A258" s="2" t="s">
        <v>479</v>
      </c>
      <c r="B258" s="40">
        <v>4</v>
      </c>
      <c r="C258" s="2" t="s">
        <v>105</v>
      </c>
      <c r="E258" s="2" t="s">
        <v>482</v>
      </c>
      <c r="F258" s="2" t="s">
        <v>486</v>
      </c>
      <c r="G258" s="2" t="s">
        <v>1059</v>
      </c>
      <c r="H258" s="2" t="s">
        <v>112</v>
      </c>
      <c r="L258" s="2" t="str">
        <f t="shared" ref="L258" si="55">_xlfn.TEXTJOIN("", TRUE, D258:J258)</f>
        <v>02_Slots/Datum/02_Monat/0050_Abd-3_02.png</v>
      </c>
    </row>
    <row r="259" spans="1:12">
      <c r="A259" s="2" t="s">
        <v>479</v>
      </c>
      <c r="B259" s="40">
        <v>4</v>
      </c>
      <c r="C259" s="2" t="s">
        <v>27</v>
      </c>
      <c r="L259" s="2" t="s">
        <v>1064</v>
      </c>
    </row>
    <row r="260" spans="1:12">
      <c r="A260" s="2" t="s">
        <v>479</v>
      </c>
      <c r="B260" s="40">
        <v>5</v>
      </c>
      <c r="C260" s="2" t="s">
        <v>39</v>
      </c>
      <c r="L260" s="2" t="s">
        <v>492</v>
      </c>
    </row>
    <row r="261" spans="1:12">
      <c r="A261" s="2" t="s">
        <v>479</v>
      </c>
      <c r="B261" s="40">
        <v>5</v>
      </c>
      <c r="C261" s="2" t="s">
        <v>105</v>
      </c>
      <c r="E261" s="2" t="s">
        <v>482</v>
      </c>
      <c r="F261" s="2" t="s">
        <v>486</v>
      </c>
      <c r="G261" s="2" t="s">
        <v>1060</v>
      </c>
      <c r="H261" s="2" t="s">
        <v>112</v>
      </c>
      <c r="L261" s="2" t="str">
        <f t="shared" ref="L261" si="56">_xlfn.TEXTJOIN("", TRUE, D261:J261)</f>
        <v>02_Slots/Datum/02_Monat/0060_Abd-4_01.png</v>
      </c>
    </row>
    <row r="262" spans="1:12">
      <c r="A262" s="2" t="s">
        <v>479</v>
      </c>
      <c r="B262" s="40">
        <v>5</v>
      </c>
      <c r="C262" s="2" t="s">
        <v>105</v>
      </c>
      <c r="E262" s="2" t="s">
        <v>482</v>
      </c>
      <c r="F262" s="2" t="s">
        <v>486</v>
      </c>
      <c r="G262" s="2" t="s">
        <v>1062</v>
      </c>
      <c r="H262" s="2" t="s">
        <v>112</v>
      </c>
      <c r="L262" s="2" t="str">
        <f t="shared" ref="L262" si="57">_xlfn.TEXTJOIN("", TRUE, D262:J262)</f>
        <v>02_Slots/Datum/02_Monat/0070_Abd-4_02.png</v>
      </c>
    </row>
    <row r="263" spans="1:12">
      <c r="A263" s="2" t="s">
        <v>479</v>
      </c>
      <c r="B263" s="40">
        <v>5</v>
      </c>
      <c r="C263" s="2" t="s">
        <v>27</v>
      </c>
      <c r="L263" s="2" t="s">
        <v>491</v>
      </c>
    </row>
    <row r="265" spans="1:12">
      <c r="A265" s="2" t="s">
        <v>480</v>
      </c>
      <c r="B265" s="40">
        <v>1</v>
      </c>
      <c r="C265" s="2" t="s">
        <v>39</v>
      </c>
      <c r="L265" s="2" t="s">
        <v>493</v>
      </c>
    </row>
    <row r="266" spans="1:12">
      <c r="A266" s="2" t="s">
        <v>480</v>
      </c>
      <c r="B266" s="40">
        <v>1</v>
      </c>
      <c r="C266" s="2" t="s">
        <v>105</v>
      </c>
      <c r="E266" s="2" t="s">
        <v>482</v>
      </c>
      <c r="F266" s="2" t="s">
        <v>1424</v>
      </c>
      <c r="G266" s="2" t="s">
        <v>1427</v>
      </c>
      <c r="L266" s="2" t="str">
        <f t="shared" ref="L266:L270" si="58">_xlfn.TEXTJOIN("", TRUE, D266:K266)</f>
        <v>02_Slots/Datum/03_Jahreszeiten/01_Ax.t/0001_Ax.t_01.png</v>
      </c>
    </row>
    <row r="267" spans="1:12">
      <c r="A267" s="2" t="s">
        <v>480</v>
      </c>
      <c r="B267" s="40">
        <v>1</v>
      </c>
      <c r="C267" s="2" t="s">
        <v>105</v>
      </c>
      <c r="E267" s="2" t="s">
        <v>482</v>
      </c>
      <c r="F267" s="2" t="s">
        <v>1424</v>
      </c>
      <c r="G267" s="2" t="s">
        <v>1428</v>
      </c>
      <c r="L267" s="2" t="str">
        <f t="shared" si="58"/>
        <v>02_Slots/Datum/03_Jahreszeiten/01_Ax.t/0010_Ax.t_02.png</v>
      </c>
    </row>
    <row r="268" spans="1:12">
      <c r="A268" s="2" t="s">
        <v>480</v>
      </c>
      <c r="B268" s="40">
        <v>1</v>
      </c>
      <c r="C268" s="2" t="s">
        <v>105</v>
      </c>
      <c r="E268" s="2" t="s">
        <v>482</v>
      </c>
      <c r="F268" s="2" t="s">
        <v>1424</v>
      </c>
      <c r="G268" s="2" t="s">
        <v>1429</v>
      </c>
      <c r="L268" s="2" t="str">
        <f t="shared" si="58"/>
        <v>02_Slots/Datum/03_Jahreszeiten/01_Ax.t/0020_Ax.t_03.png</v>
      </c>
    </row>
    <row r="269" spans="1:12">
      <c r="A269" s="2" t="s">
        <v>480</v>
      </c>
      <c r="B269" s="40">
        <v>1</v>
      </c>
      <c r="C269" s="2" t="s">
        <v>105</v>
      </c>
      <c r="E269" s="2" t="s">
        <v>482</v>
      </c>
      <c r="F269" s="2" t="s">
        <v>1424</v>
      </c>
      <c r="G269" s="2" t="s">
        <v>1430</v>
      </c>
      <c r="L269" s="2" t="str">
        <f t="shared" si="58"/>
        <v>02_Slots/Datum/03_Jahreszeiten/01_Ax.t/0030_Ax.t_04.png</v>
      </c>
    </row>
    <row r="270" spans="1:12">
      <c r="A270" s="2" t="s">
        <v>480</v>
      </c>
      <c r="B270" s="40">
        <v>1</v>
      </c>
      <c r="C270" s="2" t="s">
        <v>105</v>
      </c>
      <c r="E270" s="2" t="s">
        <v>482</v>
      </c>
      <c r="F270" s="2" t="s">
        <v>1424</v>
      </c>
      <c r="G270" s="2" t="s">
        <v>1431</v>
      </c>
      <c r="I270" s="2" t="s">
        <v>1132</v>
      </c>
      <c r="J270" s="2" t="s">
        <v>1088</v>
      </c>
      <c r="K270" s="2" t="s">
        <v>1134</v>
      </c>
      <c r="L270" s="2" t="str">
        <f t="shared" si="58"/>
        <v>02_Slots/Datum/03_Jahreszeiten/01_Ax.t/0040_Ax.t_NR_01.png &lt;sup&gt;(NR)&lt;/sup&gt;</v>
      </c>
    </row>
    <row r="271" spans="1:12">
      <c r="A271" s="2" t="s">
        <v>480</v>
      </c>
      <c r="B271" s="40">
        <v>1</v>
      </c>
      <c r="C271" s="2" t="s">
        <v>27</v>
      </c>
      <c r="L271" s="2" t="s">
        <v>494</v>
      </c>
    </row>
    <row r="272" spans="1:12">
      <c r="A272" s="2" t="s">
        <v>480</v>
      </c>
      <c r="B272" s="40">
        <v>2</v>
      </c>
      <c r="C272" s="2" t="s">
        <v>39</v>
      </c>
      <c r="L272" s="2" t="s">
        <v>495</v>
      </c>
    </row>
    <row r="273" spans="1:12">
      <c r="A273" s="2" t="s">
        <v>480</v>
      </c>
      <c r="B273" s="40">
        <v>2</v>
      </c>
      <c r="C273" s="2" t="s">
        <v>105</v>
      </c>
      <c r="E273" s="2" t="s">
        <v>482</v>
      </c>
      <c r="F273" s="2" t="s">
        <v>1425</v>
      </c>
      <c r="G273" s="2" t="s">
        <v>1432</v>
      </c>
      <c r="L273" s="2" t="str">
        <f t="shared" ref="L273:L278" si="59">_xlfn.TEXTJOIN("", TRUE, D273:K273)</f>
        <v>02_Slots/Datum/03_Jahreszeiten/02_pr.t/0001_pr.t_01.png</v>
      </c>
    </row>
    <row r="274" spans="1:12">
      <c r="A274" s="2" t="s">
        <v>480</v>
      </c>
      <c r="B274" s="40">
        <v>2</v>
      </c>
      <c r="C274" s="2" t="s">
        <v>105</v>
      </c>
      <c r="E274" s="2" t="s">
        <v>482</v>
      </c>
      <c r="F274" s="2" t="s">
        <v>1425</v>
      </c>
      <c r="G274" s="2" t="s">
        <v>1433</v>
      </c>
      <c r="L274" s="2" t="str">
        <f t="shared" si="59"/>
        <v>02_Slots/Datum/03_Jahreszeiten/02_pr.t/0010_pr.t_02.png</v>
      </c>
    </row>
    <row r="275" spans="1:12">
      <c r="A275" s="2" t="s">
        <v>480</v>
      </c>
      <c r="B275" s="40">
        <v>2</v>
      </c>
      <c r="C275" s="2" t="s">
        <v>105</v>
      </c>
      <c r="E275" s="2" t="s">
        <v>482</v>
      </c>
      <c r="F275" s="2" t="s">
        <v>1425</v>
      </c>
      <c r="G275" s="2" t="s">
        <v>1434</v>
      </c>
      <c r="I275" s="2" t="s">
        <v>1132</v>
      </c>
      <c r="J275" s="2" t="s">
        <v>1133</v>
      </c>
      <c r="K275" s="2" t="s">
        <v>1134</v>
      </c>
      <c r="L275" s="2" t="str">
        <f t="shared" si="59"/>
        <v>02_Slots/Datum/03_Jahreszeiten/02_pr.t/0020_pr.t_AR_01.png &lt;sup&gt;(AR)&lt;/sup&gt;</v>
      </c>
    </row>
    <row r="276" spans="1:12">
      <c r="A276" s="2" t="s">
        <v>480</v>
      </c>
      <c r="B276" s="40">
        <v>2</v>
      </c>
      <c r="C276" s="2" t="s">
        <v>105</v>
      </c>
      <c r="E276" s="2" t="s">
        <v>482</v>
      </c>
      <c r="F276" s="2" t="s">
        <v>1425</v>
      </c>
      <c r="G276" s="2" t="s">
        <v>1435</v>
      </c>
      <c r="I276" s="2" t="s">
        <v>1132</v>
      </c>
      <c r="J276" s="2" t="s">
        <v>1136</v>
      </c>
      <c r="K276" s="2" t="s">
        <v>1134</v>
      </c>
      <c r="L276" s="2" t="str">
        <f t="shared" si="59"/>
        <v>02_Slots/Datum/03_Jahreszeiten/02_pr.t/0030_pr.t_MR_01.png &lt;sup&gt;(MR)&lt;/sup&gt;</v>
      </c>
    </row>
    <row r="277" spans="1:12">
      <c r="A277" s="2" t="s">
        <v>480</v>
      </c>
      <c r="B277" s="40">
        <v>2</v>
      </c>
      <c r="C277" s="2" t="s">
        <v>105</v>
      </c>
      <c r="E277" s="2" t="s">
        <v>482</v>
      </c>
      <c r="F277" s="2" t="s">
        <v>1425</v>
      </c>
      <c r="G277" s="2" t="s">
        <v>1436</v>
      </c>
      <c r="I277" s="2" t="s">
        <v>1132</v>
      </c>
      <c r="J277" s="2" t="s">
        <v>1141</v>
      </c>
      <c r="K277" s="2" t="s">
        <v>1134</v>
      </c>
      <c r="L277" s="2" t="str">
        <f t="shared" si="59"/>
        <v>02_Slots/Datum/03_Jahreszeiten/02_pr.t/0040_pr.t_Sp_01.png &lt;sup&gt;(Sp.)&lt;/sup&gt;</v>
      </c>
    </row>
    <row r="278" spans="1:12">
      <c r="A278" s="2" t="s">
        <v>480</v>
      </c>
      <c r="B278" s="40">
        <v>2</v>
      </c>
      <c r="C278" s="2" t="s">
        <v>105</v>
      </c>
      <c r="E278" s="2" t="s">
        <v>482</v>
      </c>
      <c r="F278" s="2" t="s">
        <v>1425</v>
      </c>
      <c r="G278" s="2" t="s">
        <v>1437</v>
      </c>
      <c r="I278" s="2" t="s">
        <v>1132</v>
      </c>
      <c r="J278" s="2" t="s">
        <v>1135</v>
      </c>
      <c r="K278" s="2" t="s">
        <v>1134</v>
      </c>
      <c r="L278" s="2" t="str">
        <f t="shared" si="59"/>
        <v>02_Slots/Datum/03_Jahreszeiten/02_pr.t/0050_pr.t_Gr_01.png &lt;sup&gt;(Gr.)&lt;/sup&gt;</v>
      </c>
    </row>
    <row r="279" spans="1:12">
      <c r="A279" s="2" t="s">
        <v>480</v>
      </c>
      <c r="B279" s="40">
        <v>2</v>
      </c>
      <c r="C279" s="2" t="s">
        <v>27</v>
      </c>
      <c r="L279" s="2" t="s">
        <v>496</v>
      </c>
    </row>
    <row r="280" spans="1:12">
      <c r="A280" s="2" t="s">
        <v>480</v>
      </c>
      <c r="B280" s="40">
        <v>3</v>
      </c>
      <c r="C280" s="2" t="s">
        <v>39</v>
      </c>
      <c r="L280" s="2" t="s">
        <v>498</v>
      </c>
    </row>
    <row r="281" spans="1:12">
      <c r="A281" s="2" t="s">
        <v>480</v>
      </c>
      <c r="B281" s="40">
        <v>3</v>
      </c>
      <c r="C281" s="2" t="s">
        <v>105</v>
      </c>
      <c r="E281" s="2" t="s">
        <v>482</v>
      </c>
      <c r="F281" s="2" t="s">
        <v>1426</v>
      </c>
      <c r="G281" s="2" t="s">
        <v>1438</v>
      </c>
      <c r="L281" s="2" t="str">
        <f t="shared" ref="L281:L290" si="60">_xlfn.TEXTJOIN("", TRUE, D281:K281)</f>
        <v>02_Slots/Datum/03_Jahreszeiten/03_Smw/0001_Smw_01.png</v>
      </c>
    </row>
    <row r="282" spans="1:12">
      <c r="A282" s="2" t="s">
        <v>480</v>
      </c>
      <c r="B282" s="40">
        <v>3</v>
      </c>
      <c r="C282" s="2" t="s">
        <v>105</v>
      </c>
      <c r="E282" s="2" t="s">
        <v>482</v>
      </c>
      <c r="F282" s="2" t="s">
        <v>1426</v>
      </c>
      <c r="G282" s="2" t="s">
        <v>1439</v>
      </c>
      <c r="L282" s="2" t="str">
        <f t="shared" si="60"/>
        <v>02_Slots/Datum/03_Jahreszeiten/03_Smw/0010_Smw_02.png</v>
      </c>
    </row>
    <row r="283" spans="1:12">
      <c r="A283" s="2" t="s">
        <v>480</v>
      </c>
      <c r="B283" s="40">
        <v>3</v>
      </c>
      <c r="C283" s="2" t="s">
        <v>105</v>
      </c>
      <c r="E283" s="2" t="s">
        <v>482</v>
      </c>
      <c r="F283" s="2" t="s">
        <v>1426</v>
      </c>
      <c r="G283" s="2" t="s">
        <v>1440</v>
      </c>
      <c r="L283" s="2" t="str">
        <f t="shared" si="60"/>
        <v>02_Slots/Datum/03_Jahreszeiten/03_Smw/0020_Smw_03.png</v>
      </c>
    </row>
    <row r="284" spans="1:12">
      <c r="A284" s="2" t="s">
        <v>480</v>
      </c>
      <c r="B284" s="40">
        <v>3</v>
      </c>
      <c r="C284" s="2" t="s">
        <v>105</v>
      </c>
      <c r="E284" s="2" t="s">
        <v>482</v>
      </c>
      <c r="F284" s="2" t="s">
        <v>1426</v>
      </c>
      <c r="G284" s="2" t="s">
        <v>1441</v>
      </c>
      <c r="I284" s="2" t="s">
        <v>1132</v>
      </c>
      <c r="J284" s="2" t="s">
        <v>1448</v>
      </c>
      <c r="K284" s="2" t="s">
        <v>1134</v>
      </c>
      <c r="L284" s="2" t="str">
        <f t="shared" si="60"/>
        <v>02_Slots/Datum/03_Jahreszeiten/03_Smw/0030_Smw_D.20_01.png &lt;sup&gt;(D.20)&lt;/sup&gt;</v>
      </c>
    </row>
    <row r="285" spans="1:12">
      <c r="A285" s="2" t="s">
        <v>480</v>
      </c>
      <c r="B285" s="40">
        <v>3</v>
      </c>
      <c r="C285" s="2" t="s">
        <v>105</v>
      </c>
      <c r="E285" s="2" t="s">
        <v>482</v>
      </c>
      <c r="F285" s="2" t="s">
        <v>1426</v>
      </c>
      <c r="G285" s="2" t="s">
        <v>1442</v>
      </c>
      <c r="I285" s="2" t="s">
        <v>1132</v>
      </c>
      <c r="J285" s="2" t="s">
        <v>1449</v>
      </c>
      <c r="K285" s="2" t="s">
        <v>1134</v>
      </c>
      <c r="L285" s="2" t="str">
        <f t="shared" si="60"/>
        <v>02_Slots/Datum/03_Jahreszeiten/03_Smw/0040_Smw_Sp_Gr_Abk_01.png &lt;sup&gt;(Sp.–Gr.; Abk.)&lt;/sup&gt;</v>
      </c>
    </row>
    <row r="286" spans="1:12">
      <c r="A286" s="2" t="s">
        <v>480</v>
      </c>
      <c r="B286" s="40">
        <v>3</v>
      </c>
      <c r="C286" s="2" t="s">
        <v>105</v>
      </c>
      <c r="E286" s="2" t="s">
        <v>482</v>
      </c>
      <c r="F286" s="2" t="s">
        <v>1426</v>
      </c>
      <c r="G286" s="2" t="s">
        <v>1443</v>
      </c>
      <c r="I286" s="2" t="s">
        <v>1132</v>
      </c>
      <c r="J286" s="2" t="s">
        <v>1449</v>
      </c>
      <c r="K286" s="2" t="s">
        <v>1134</v>
      </c>
      <c r="L286" s="2" t="str">
        <f t="shared" si="60"/>
        <v>02_Slots/Datum/03_Jahreszeiten/03_Smw/0050_Smw_Sp_Gr_Abk_02.png &lt;sup&gt;(Sp.–Gr.; Abk.)&lt;/sup&gt;</v>
      </c>
    </row>
    <row r="287" spans="1:12">
      <c r="A287" s="2" t="s">
        <v>480</v>
      </c>
      <c r="B287" s="40">
        <v>3</v>
      </c>
      <c r="C287" s="2" t="s">
        <v>105</v>
      </c>
      <c r="E287" s="2" t="s">
        <v>482</v>
      </c>
      <c r="F287" s="2" t="s">
        <v>1426</v>
      </c>
      <c r="G287" s="2" t="s">
        <v>1444</v>
      </c>
      <c r="I287" s="2" t="s">
        <v>1132</v>
      </c>
      <c r="J287" s="2" t="s">
        <v>1449</v>
      </c>
      <c r="K287" s="2" t="s">
        <v>1134</v>
      </c>
      <c r="L287" s="2" t="str">
        <f t="shared" si="60"/>
        <v>02_Slots/Datum/03_Jahreszeiten/03_Smw/0060_Smw_Sp_Gr_Abk_03.png &lt;sup&gt;(Sp.–Gr.; Abk.)&lt;/sup&gt;</v>
      </c>
    </row>
    <row r="288" spans="1:12">
      <c r="A288" s="2" t="s">
        <v>480</v>
      </c>
      <c r="B288" s="40">
        <v>3</v>
      </c>
      <c r="C288" s="2" t="s">
        <v>105</v>
      </c>
      <c r="E288" s="2" t="s">
        <v>482</v>
      </c>
      <c r="F288" s="2" t="s">
        <v>1426</v>
      </c>
      <c r="G288" s="2" t="s">
        <v>1445</v>
      </c>
      <c r="I288" s="2" t="s">
        <v>1132</v>
      </c>
      <c r="J288" s="2" t="s">
        <v>1135</v>
      </c>
      <c r="K288" s="2" t="s">
        <v>1134</v>
      </c>
      <c r="L288" s="2" t="str">
        <f t="shared" si="60"/>
        <v>02_Slots/Datum/03_Jahreszeiten/03_Smw/0070_Smw_Gr_01.png &lt;sup&gt;(Gr.)&lt;/sup&gt;</v>
      </c>
    </row>
    <row r="289" spans="1:12">
      <c r="A289" s="2" t="s">
        <v>480</v>
      </c>
      <c r="B289" s="40">
        <v>3</v>
      </c>
      <c r="C289" s="2" t="s">
        <v>105</v>
      </c>
      <c r="E289" s="2" t="s">
        <v>482</v>
      </c>
      <c r="F289" s="2" t="s">
        <v>1426</v>
      </c>
      <c r="G289" s="2" t="s">
        <v>1446</v>
      </c>
      <c r="I289" s="2" t="s">
        <v>1132</v>
      </c>
      <c r="J289" s="2" t="s">
        <v>1135</v>
      </c>
      <c r="K289" s="2" t="s">
        <v>1134</v>
      </c>
      <c r="L289" s="2" t="str">
        <f t="shared" si="60"/>
        <v>02_Slots/Datum/03_Jahreszeiten/03_Smw/0080_Smw_Gr_02.png &lt;sup&gt;(Gr.)&lt;/sup&gt;</v>
      </c>
    </row>
    <row r="290" spans="1:12">
      <c r="A290" s="2" t="s">
        <v>480</v>
      </c>
      <c r="B290" s="40">
        <v>3</v>
      </c>
      <c r="C290" s="2" t="s">
        <v>105</v>
      </c>
      <c r="E290" s="2" t="s">
        <v>482</v>
      </c>
      <c r="F290" s="2" t="s">
        <v>1426</v>
      </c>
      <c r="G290" s="2" t="s">
        <v>1447</v>
      </c>
      <c r="I290" s="2" t="s">
        <v>1132</v>
      </c>
      <c r="J290" s="2" t="s">
        <v>1135</v>
      </c>
      <c r="K290" s="2" t="s">
        <v>1134</v>
      </c>
      <c r="L290" s="2" t="str">
        <f t="shared" si="60"/>
        <v>02_Slots/Datum/03_Jahreszeiten/03_Smw/0090_Smw_Gr_03.png &lt;sup&gt;(Gr.)&lt;/sup&gt;</v>
      </c>
    </row>
    <row r="291" spans="1:12">
      <c r="A291" s="2" t="s">
        <v>480</v>
      </c>
      <c r="B291" s="40">
        <v>3</v>
      </c>
      <c r="C291" s="2" t="s">
        <v>27</v>
      </c>
      <c r="L291" s="2" t="s">
        <v>497</v>
      </c>
    </row>
    <row r="293" spans="1:12">
      <c r="A293" s="2" t="s">
        <v>481</v>
      </c>
      <c r="B293" s="40">
        <v>1</v>
      </c>
      <c r="C293" s="2" t="s">
        <v>39</v>
      </c>
      <c r="L293" s="2" t="s">
        <v>499</v>
      </c>
    </row>
    <row r="294" spans="1:12">
      <c r="A294" s="2" t="s">
        <v>481</v>
      </c>
      <c r="B294" s="40">
        <v>1</v>
      </c>
      <c r="C294" s="2" t="s">
        <v>105</v>
      </c>
      <c r="E294" s="2" t="s">
        <v>482</v>
      </c>
      <c r="F294" s="2" t="s">
        <v>1035</v>
      </c>
      <c r="G294" s="2" t="s">
        <v>1453</v>
      </c>
      <c r="L294" s="2" t="str">
        <f t="shared" ref="L294:L300" si="61">_xlfn.TEXTJOIN("", TRUE, D294:K294)</f>
        <v>02_Slots/Datum/04_Tag/0001_sw_01.png</v>
      </c>
    </row>
    <row r="295" spans="1:12">
      <c r="A295" s="2" t="s">
        <v>481</v>
      </c>
      <c r="B295" s="40">
        <v>1</v>
      </c>
      <c r="C295" s="2" t="s">
        <v>105</v>
      </c>
      <c r="E295" s="2" t="s">
        <v>482</v>
      </c>
      <c r="F295" s="2" t="s">
        <v>1035</v>
      </c>
      <c r="G295" s="2" t="s">
        <v>1454</v>
      </c>
      <c r="L295" s="2" t="str">
        <f t="shared" si="61"/>
        <v>02_Slots/Datum/04_Tag/0010_sw_02.png</v>
      </c>
    </row>
    <row r="296" spans="1:12">
      <c r="A296" s="2" t="s">
        <v>481</v>
      </c>
      <c r="B296" s="40">
        <v>1</v>
      </c>
      <c r="C296" s="2" t="s">
        <v>105</v>
      </c>
      <c r="E296" s="2" t="s">
        <v>482</v>
      </c>
      <c r="F296" s="2" t="s">
        <v>1035</v>
      </c>
      <c r="G296" s="2" t="s">
        <v>1455</v>
      </c>
      <c r="I296" s="2" t="s">
        <v>1132</v>
      </c>
      <c r="J296" s="2" t="s">
        <v>1136</v>
      </c>
      <c r="K296" s="2" t="s">
        <v>1134</v>
      </c>
      <c r="L296" s="2" t="str">
        <f t="shared" si="61"/>
        <v>02_Slots/Datum/04_Tag/0020_sw_MR_01.png &lt;sup&gt;(MR)&lt;/sup&gt;</v>
      </c>
    </row>
    <row r="297" spans="1:12">
      <c r="A297" s="2" t="s">
        <v>481</v>
      </c>
      <c r="B297" s="40">
        <v>1</v>
      </c>
      <c r="C297" s="2" t="s">
        <v>105</v>
      </c>
      <c r="E297" s="2" t="s">
        <v>482</v>
      </c>
      <c r="F297" s="2" t="s">
        <v>1035</v>
      </c>
      <c r="G297" s="2" t="s">
        <v>1456</v>
      </c>
      <c r="I297" s="2" t="s">
        <v>1132</v>
      </c>
      <c r="J297" s="2" t="s">
        <v>1088</v>
      </c>
      <c r="K297" s="2" t="s">
        <v>1134</v>
      </c>
      <c r="L297" s="2" t="str">
        <f t="shared" si="61"/>
        <v>02_Slots/Datum/04_Tag/0030_sw_NR_01.png &lt;sup&gt;(NR)&lt;/sup&gt;</v>
      </c>
    </row>
    <row r="298" spans="1:12">
      <c r="A298" s="2" t="s">
        <v>481</v>
      </c>
      <c r="B298" s="40">
        <v>1</v>
      </c>
      <c r="C298" s="2" t="s">
        <v>105</v>
      </c>
      <c r="E298" s="2" t="s">
        <v>482</v>
      </c>
      <c r="F298" s="2" t="s">
        <v>1035</v>
      </c>
      <c r="G298" s="2" t="s">
        <v>1457</v>
      </c>
      <c r="I298" s="2" t="s">
        <v>1132</v>
      </c>
      <c r="J298" s="2" t="s">
        <v>1141</v>
      </c>
      <c r="K298" s="2" t="s">
        <v>1134</v>
      </c>
      <c r="L298" s="2" t="str">
        <f t="shared" si="61"/>
        <v>02_Slots/Datum/04_Tag/0040_sw_Sp_01.png &lt;sup&gt;(Sp.)&lt;/sup&gt;</v>
      </c>
    </row>
    <row r="299" spans="1:12">
      <c r="A299" s="2" t="s">
        <v>481</v>
      </c>
      <c r="B299" s="40">
        <v>1</v>
      </c>
      <c r="C299" s="2" t="s">
        <v>105</v>
      </c>
      <c r="E299" s="2" t="s">
        <v>482</v>
      </c>
      <c r="F299" s="2" t="s">
        <v>1035</v>
      </c>
      <c r="G299" s="2" t="s">
        <v>1458</v>
      </c>
      <c r="I299" s="2" t="s">
        <v>1132</v>
      </c>
      <c r="J299" s="2" t="s">
        <v>1141</v>
      </c>
      <c r="K299" s="2" t="s">
        <v>1134</v>
      </c>
      <c r="L299" s="2" t="str">
        <f t="shared" si="61"/>
        <v>02_Slots/Datum/04_Tag/0050_sw_Sp_02.png &lt;sup&gt;(Sp.)&lt;/sup&gt;</v>
      </c>
    </row>
    <row r="300" spans="1:12">
      <c r="A300" s="2" t="s">
        <v>481</v>
      </c>
      <c r="B300" s="40">
        <v>1</v>
      </c>
      <c r="C300" s="2" t="s">
        <v>105</v>
      </c>
      <c r="E300" s="2" t="s">
        <v>482</v>
      </c>
      <c r="F300" s="2" t="s">
        <v>1035</v>
      </c>
      <c r="G300" s="2" t="s">
        <v>1459</v>
      </c>
      <c r="I300" s="2" t="s">
        <v>1132</v>
      </c>
      <c r="J300" s="2" t="s">
        <v>1141</v>
      </c>
      <c r="K300" s="2" t="s">
        <v>1134</v>
      </c>
      <c r="L300" s="2" t="str">
        <f t="shared" si="61"/>
        <v>02_Slots/Datum/04_Tag/0060_sw_Sp_03.png &lt;sup&gt;(Sp.)&lt;/sup&gt;</v>
      </c>
    </row>
    <row r="301" spans="1:12">
      <c r="A301" s="2" t="s">
        <v>481</v>
      </c>
      <c r="B301" s="40">
        <v>1</v>
      </c>
      <c r="C301" s="2" t="s">
        <v>27</v>
      </c>
      <c r="L301" s="2" t="s">
        <v>478</v>
      </c>
    </row>
    <row r="302" spans="1:12">
      <c r="A302" s="2" t="s">
        <v>481</v>
      </c>
      <c r="B302" s="40">
        <v>2</v>
      </c>
      <c r="C302" s="2" t="s">
        <v>39</v>
      </c>
      <c r="L302" s="2" t="s">
        <v>1061</v>
      </c>
    </row>
    <row r="303" spans="1:12">
      <c r="A303" s="2" t="s">
        <v>481</v>
      </c>
      <c r="B303" s="40">
        <v>2</v>
      </c>
      <c r="C303" s="2" t="s">
        <v>105</v>
      </c>
      <c r="E303" s="2" t="s">
        <v>482</v>
      </c>
      <c r="F303" s="2" t="s">
        <v>1450</v>
      </c>
      <c r="G303" s="2" t="s">
        <v>1451</v>
      </c>
      <c r="L303" s="2" t="str">
        <f t="shared" ref="L303:L306" si="62">_xlfn.TEXTJOIN("", TRUE, D303:K303)</f>
        <v>02_Slots/Datum/04_Tag/01_sw-arqy/0001_sw-arqy_01.png</v>
      </c>
    </row>
    <row r="304" spans="1:12">
      <c r="A304" s="2" t="s">
        <v>481</v>
      </c>
      <c r="B304" s="40">
        <v>2</v>
      </c>
      <c r="C304" s="2" t="s">
        <v>105</v>
      </c>
      <c r="E304" s="2" t="s">
        <v>482</v>
      </c>
      <c r="F304" s="2" t="s">
        <v>1450</v>
      </c>
      <c r="G304" s="2" t="s">
        <v>1452</v>
      </c>
      <c r="L304" s="2" t="str">
        <f t="shared" si="62"/>
        <v>02_Slots/Datum/04_Tag/01_sw-arqy/0010_sw-arqy_02.png</v>
      </c>
    </row>
    <row r="305" spans="1:12">
      <c r="A305" s="2" t="s">
        <v>481</v>
      </c>
      <c r="B305" s="40">
        <v>2</v>
      </c>
      <c r="C305" s="2" t="s">
        <v>105</v>
      </c>
      <c r="E305" s="2" t="s">
        <v>482</v>
      </c>
      <c r="F305" s="2" t="s">
        <v>1450</v>
      </c>
      <c r="G305" s="2" t="s">
        <v>1460</v>
      </c>
      <c r="I305" s="2" t="s">
        <v>1132</v>
      </c>
      <c r="J305" s="2" t="s">
        <v>1088</v>
      </c>
      <c r="K305" s="2" t="s">
        <v>1134</v>
      </c>
      <c r="L305" s="2" t="str">
        <f t="shared" si="62"/>
        <v>02_Slots/Datum/04_Tag/01_sw-arqy/0020_sw-arqy_NR_01.png &lt;sup&gt;(NR)&lt;/sup&gt;</v>
      </c>
    </row>
    <row r="306" spans="1:12">
      <c r="A306" s="2" t="s">
        <v>481</v>
      </c>
      <c r="B306" s="40">
        <v>2</v>
      </c>
      <c r="C306" s="2" t="s">
        <v>105</v>
      </c>
      <c r="E306" s="2" t="s">
        <v>482</v>
      </c>
      <c r="F306" s="2" t="s">
        <v>1450</v>
      </c>
      <c r="G306" s="2" t="s">
        <v>1461</v>
      </c>
      <c r="I306" s="2" t="s">
        <v>1132</v>
      </c>
      <c r="J306" s="2" t="s">
        <v>1088</v>
      </c>
      <c r="K306" s="2" t="s">
        <v>1134</v>
      </c>
      <c r="L306" s="2" t="str">
        <f t="shared" si="62"/>
        <v>02_Slots/Datum/04_Tag/01_sw-arqy/0030_sw-arqy_NR_02.png &lt;sup&gt;(NR)&lt;/sup&gt;</v>
      </c>
    </row>
    <row r="307" spans="1:12">
      <c r="A307" s="2" t="s">
        <v>481</v>
      </c>
      <c r="B307" s="40">
        <v>2</v>
      </c>
      <c r="C307" s="2" t="s">
        <v>27</v>
      </c>
      <c r="L307" s="2" t="s">
        <v>1073</v>
      </c>
    </row>
    <row r="309" spans="1:12">
      <c r="A309" s="2" t="s">
        <v>500</v>
      </c>
      <c r="B309" s="40">
        <v>1</v>
      </c>
      <c r="C309" s="2" t="s">
        <v>501</v>
      </c>
      <c r="L309" s="2" t="s">
        <v>502</v>
      </c>
    </row>
    <row r="310" spans="1:12">
      <c r="A310" s="2" t="s">
        <v>500</v>
      </c>
      <c r="B310" s="40">
        <v>1</v>
      </c>
      <c r="C310" s="2" t="s">
        <v>105</v>
      </c>
      <c r="E310" s="2" t="s">
        <v>468</v>
      </c>
      <c r="F310" s="2" t="s">
        <v>1556</v>
      </c>
      <c r="G310" s="2" t="s">
        <v>909</v>
      </c>
      <c r="L310" s="2" t="str">
        <f t="shared" ref="L310" si="63">_xlfn.TEXTJOIN("", TRUE, D310:J310)</f>
        <v>02_Slots/Koenig/01_Horusname_01/0001_Hr_01.png</v>
      </c>
    </row>
    <row r="311" spans="1:12">
      <c r="A311" s="2" t="s">
        <v>500</v>
      </c>
      <c r="B311" s="40">
        <v>1</v>
      </c>
      <c r="C311" s="2" t="s">
        <v>105</v>
      </c>
      <c r="E311" s="2" t="s">
        <v>468</v>
      </c>
      <c r="F311" s="2" t="s">
        <v>1556</v>
      </c>
      <c r="G311" s="2" t="s">
        <v>1561</v>
      </c>
      <c r="I311" s="2" t="s">
        <v>1132</v>
      </c>
      <c r="J311" s="2" t="s">
        <v>1133</v>
      </c>
      <c r="K311" s="2" t="s">
        <v>1134</v>
      </c>
      <c r="L311" s="2" t="str">
        <f>_xlfn.TEXTJOIN("", TRUE, D311:K311)</f>
        <v>02_Slots/Koenig/01_Horusname_01/0010_Hr_AR_01.png &lt;sup&gt;(AR)&lt;/sup&gt;</v>
      </c>
    </row>
    <row r="312" spans="1:12">
      <c r="A312" s="2" t="s">
        <v>500</v>
      </c>
      <c r="B312" s="40">
        <v>1</v>
      </c>
      <c r="C312" s="2" t="s">
        <v>105</v>
      </c>
      <c r="E312" s="2" t="s">
        <v>468</v>
      </c>
      <c r="F312" s="2" t="s">
        <v>1556</v>
      </c>
      <c r="G312" s="2" t="s">
        <v>1562</v>
      </c>
      <c r="I312" s="2" t="s">
        <v>1132</v>
      </c>
      <c r="J312" s="2" t="s">
        <v>1136</v>
      </c>
      <c r="K312" s="2" t="s">
        <v>1134</v>
      </c>
      <c r="L312" s="2" t="str">
        <f t="shared" ref="L312:L315" si="64">_xlfn.TEXTJOIN("", TRUE, D312:K312)</f>
        <v>02_Slots/Koenig/01_Horusname_01/0020_Hr_MR_01.png &lt;sup&gt;(MR)&lt;/sup&gt;</v>
      </c>
    </row>
    <row r="313" spans="1:12">
      <c r="A313" s="2" t="s">
        <v>500</v>
      </c>
      <c r="B313" s="40">
        <v>1</v>
      </c>
      <c r="C313" s="2" t="s">
        <v>105</v>
      </c>
      <c r="E313" s="2" t="s">
        <v>468</v>
      </c>
      <c r="F313" s="2" t="s">
        <v>1556</v>
      </c>
      <c r="G313" s="2" t="s">
        <v>1563</v>
      </c>
      <c r="I313" s="2" t="s">
        <v>1132</v>
      </c>
      <c r="J313" s="2" t="s">
        <v>1136</v>
      </c>
      <c r="K313" s="2" t="s">
        <v>1134</v>
      </c>
      <c r="L313" s="2" t="str">
        <f t="shared" si="64"/>
        <v>02_Slots/Koenig/01_Horusname_01/0030_Hr_MR_02.png &lt;sup&gt;(MR)&lt;/sup&gt;</v>
      </c>
    </row>
    <row r="314" spans="1:12">
      <c r="A314" s="2" t="s">
        <v>500</v>
      </c>
      <c r="B314" s="40">
        <v>1</v>
      </c>
      <c r="C314" s="2" t="s">
        <v>105</v>
      </c>
      <c r="E314" s="2" t="s">
        <v>468</v>
      </c>
      <c r="F314" s="2" t="s">
        <v>1556</v>
      </c>
      <c r="G314" s="2" t="s">
        <v>1564</v>
      </c>
      <c r="I314" s="2" t="s">
        <v>1132</v>
      </c>
      <c r="J314" s="2" t="s">
        <v>1145</v>
      </c>
      <c r="K314" s="2" t="s">
        <v>1134</v>
      </c>
      <c r="L314" s="2" t="str">
        <f t="shared" si="64"/>
        <v>02_Slots/Koenig/01_Horusname_01/0040_Hr_D.19_01.png &lt;sup&gt;(D.19)&lt;/sup&gt;</v>
      </c>
    </row>
    <row r="315" spans="1:12">
      <c r="A315" s="2" t="s">
        <v>500</v>
      </c>
      <c r="B315" s="40">
        <v>1</v>
      </c>
      <c r="C315" s="2" t="s">
        <v>105</v>
      </c>
      <c r="E315" s="2" t="s">
        <v>468</v>
      </c>
      <c r="F315" s="2" t="s">
        <v>1556</v>
      </c>
      <c r="G315" s="2" t="s">
        <v>1565</v>
      </c>
      <c r="I315" s="2" t="s">
        <v>1132</v>
      </c>
      <c r="J315" s="2" t="s">
        <v>1145</v>
      </c>
      <c r="K315" s="2" t="s">
        <v>1134</v>
      </c>
      <c r="L315" s="2" t="str">
        <f t="shared" si="64"/>
        <v>02_Slots/Koenig/01_Horusname_01/0050_Hr_D.19_02.png &lt;sup&gt;(D.19)&lt;/sup&gt;</v>
      </c>
    </row>
    <row r="316" spans="1:12">
      <c r="A316" s="2" t="s">
        <v>500</v>
      </c>
      <c r="B316" s="40">
        <v>1</v>
      </c>
      <c r="C316" s="2" t="s">
        <v>39</v>
      </c>
      <c r="L316" s="2" t="s">
        <v>503</v>
      </c>
    </row>
    <row r="317" spans="1:12">
      <c r="A317" s="2" t="s">
        <v>500</v>
      </c>
      <c r="B317" s="40">
        <v>1</v>
      </c>
      <c r="C317" s="2" t="s">
        <v>40</v>
      </c>
      <c r="L317" s="2" t="s">
        <v>504</v>
      </c>
    </row>
    <row r="318" spans="1:12">
      <c r="A318" s="2" t="s">
        <v>500</v>
      </c>
      <c r="B318" s="40">
        <v>1</v>
      </c>
      <c r="C318" s="2" t="s">
        <v>41</v>
      </c>
    </row>
    <row r="319" spans="1:12">
      <c r="A319" s="2" t="s">
        <v>500</v>
      </c>
      <c r="B319" s="40">
        <v>2</v>
      </c>
      <c r="C319" s="2" t="s">
        <v>501</v>
      </c>
      <c r="L319" s="2" t="s">
        <v>505</v>
      </c>
    </row>
    <row r="320" spans="1:12">
      <c r="A320" s="2" t="s">
        <v>500</v>
      </c>
      <c r="B320" s="40">
        <v>2</v>
      </c>
      <c r="C320" s="2" t="s">
        <v>105</v>
      </c>
      <c r="E320" s="2" t="s">
        <v>468</v>
      </c>
      <c r="F320" s="2" t="s">
        <v>1557</v>
      </c>
      <c r="G320" s="2" t="s">
        <v>1566</v>
      </c>
      <c r="L320" s="2" t="str">
        <f t="shared" ref="L320" si="65">_xlfn.TEXTJOIN("", TRUE, D320:J320)</f>
        <v>02_Slots/Koenig/02_Herrinname_01/0001_nbty_01.png</v>
      </c>
    </row>
    <row r="321" spans="1:12">
      <c r="A321" s="2" t="s">
        <v>500</v>
      </c>
      <c r="B321" s="40">
        <v>2</v>
      </c>
      <c r="C321" s="2" t="s">
        <v>105</v>
      </c>
      <c r="E321" s="2" t="s">
        <v>468</v>
      </c>
      <c r="F321" s="2" t="s">
        <v>1557</v>
      </c>
      <c r="G321" s="2" t="s">
        <v>1567</v>
      </c>
      <c r="I321" s="2" t="s">
        <v>1132</v>
      </c>
      <c r="J321" s="2" t="s">
        <v>1135</v>
      </c>
      <c r="K321" s="2" t="s">
        <v>1134</v>
      </c>
      <c r="L321" s="2" t="str">
        <f t="shared" ref="L321" si="66">_xlfn.TEXTJOIN("", TRUE, D321:K321)</f>
        <v>02_Slots/Koenig/02_Herrinname_01/0010_nbty_Gr_01.png &lt;sup&gt;(Gr.)&lt;/sup&gt;</v>
      </c>
    </row>
    <row r="322" spans="1:12">
      <c r="A322" s="2" t="s">
        <v>500</v>
      </c>
      <c r="B322" s="40">
        <v>2</v>
      </c>
      <c r="C322" s="2" t="s">
        <v>39</v>
      </c>
      <c r="L322" s="2" t="s">
        <v>509</v>
      </c>
    </row>
    <row r="323" spans="1:12">
      <c r="A323" s="2" t="s">
        <v>500</v>
      </c>
      <c r="B323" s="40">
        <v>2</v>
      </c>
      <c r="C323" s="2" t="s">
        <v>40</v>
      </c>
      <c r="L323" s="2" t="s">
        <v>513</v>
      </c>
    </row>
    <row r="324" spans="1:12">
      <c r="A324" s="2" t="s">
        <v>500</v>
      </c>
      <c r="B324" s="40">
        <v>2</v>
      </c>
      <c r="C324" s="2" t="s">
        <v>41</v>
      </c>
    </row>
    <row r="325" spans="1:12">
      <c r="A325" s="2" t="s">
        <v>500</v>
      </c>
      <c r="B325" s="40">
        <v>3</v>
      </c>
      <c r="C325" s="2" t="s">
        <v>501</v>
      </c>
      <c r="L325" s="2" t="s">
        <v>506</v>
      </c>
    </row>
    <row r="326" spans="1:12">
      <c r="A326" s="2" t="s">
        <v>500</v>
      </c>
      <c r="B326" s="40">
        <v>3</v>
      </c>
      <c r="C326" s="2" t="s">
        <v>105</v>
      </c>
      <c r="E326" s="2" t="s">
        <v>468</v>
      </c>
      <c r="F326" s="2" t="s">
        <v>1558</v>
      </c>
      <c r="G326" s="2" t="s">
        <v>1568</v>
      </c>
      <c r="L326" s="2" t="str">
        <f t="shared" ref="L326" si="67">_xlfn.TEXTJOIN("", TRUE, D326:K326)</f>
        <v>02_Slots/Koenig/03_Goldhorus_01/0001_Hr-m-nb.w_01.png</v>
      </c>
    </row>
    <row r="327" spans="1:12">
      <c r="A327" s="2" t="s">
        <v>500</v>
      </c>
      <c r="B327" s="40">
        <v>3</v>
      </c>
      <c r="C327" s="2" t="s">
        <v>39</v>
      </c>
      <c r="L327" s="2" t="s">
        <v>510</v>
      </c>
    </row>
    <row r="328" spans="1:12">
      <c r="A328" s="2" t="s">
        <v>500</v>
      </c>
      <c r="B328" s="40">
        <v>3</v>
      </c>
      <c r="C328" s="2" t="s">
        <v>40</v>
      </c>
      <c r="L328" s="2" t="s">
        <v>514</v>
      </c>
    </row>
    <row r="329" spans="1:12">
      <c r="A329" s="2" t="s">
        <v>500</v>
      </c>
      <c r="B329" s="40">
        <v>3</v>
      </c>
      <c r="C329" s="2" t="s">
        <v>41</v>
      </c>
      <c r="L329" s="2" t="s">
        <v>515</v>
      </c>
    </row>
    <row r="330" spans="1:12">
      <c r="A330" s="2" t="s">
        <v>500</v>
      </c>
      <c r="B330" s="40">
        <v>4</v>
      </c>
      <c r="C330" s="2" t="s">
        <v>501</v>
      </c>
      <c r="L330" s="2" t="s">
        <v>507</v>
      </c>
    </row>
    <row r="331" spans="1:12">
      <c r="A331" s="2" t="s">
        <v>500</v>
      </c>
      <c r="B331" s="40">
        <v>4</v>
      </c>
      <c r="C331" s="2" t="s">
        <v>105</v>
      </c>
      <c r="E331" s="2" t="s">
        <v>468</v>
      </c>
      <c r="F331" s="2" t="s">
        <v>1559</v>
      </c>
      <c r="G331" s="2" t="s">
        <v>1569</v>
      </c>
      <c r="L331" s="2" t="str">
        <f t="shared" ref="L331:L335" si="68">_xlfn.TEXTJOIN("", TRUE, D331:K331)</f>
        <v>02_Slots/Koenig/04_Thronname_01/0001_nsw-bit_01.png</v>
      </c>
    </row>
    <row r="332" spans="1:12">
      <c r="A332" s="2" t="s">
        <v>500</v>
      </c>
      <c r="B332" s="40">
        <v>4</v>
      </c>
      <c r="C332" s="2" t="s">
        <v>105</v>
      </c>
      <c r="E332" s="2" t="s">
        <v>468</v>
      </c>
      <c r="F332" s="2" t="s">
        <v>1559</v>
      </c>
      <c r="G332" s="2" t="s">
        <v>1570</v>
      </c>
      <c r="L332" s="2" t="str">
        <f t="shared" si="68"/>
        <v>02_Slots/Koenig/04_Thronname_01/0010_nsw-bit_02.png</v>
      </c>
    </row>
    <row r="333" spans="1:12">
      <c r="A333" s="2" t="s">
        <v>500</v>
      </c>
      <c r="B333" s="40">
        <v>4</v>
      </c>
      <c r="C333" s="2" t="s">
        <v>105</v>
      </c>
      <c r="E333" s="2" t="s">
        <v>468</v>
      </c>
      <c r="F333" s="2" t="s">
        <v>1559</v>
      </c>
      <c r="G333" s="2" t="s">
        <v>1571</v>
      </c>
      <c r="I333" s="2" t="s">
        <v>1132</v>
      </c>
      <c r="J333" s="2" t="s">
        <v>1088</v>
      </c>
      <c r="K333" s="2" t="s">
        <v>1134</v>
      </c>
      <c r="L333" s="2" t="str">
        <f t="shared" si="68"/>
        <v>02_Slots/Koenig/04_Thronname_01/0020_nsw-bit_NR_01.png &lt;sup&gt;(NR)&lt;/sup&gt;</v>
      </c>
    </row>
    <row r="334" spans="1:12">
      <c r="A334" s="2" t="s">
        <v>500</v>
      </c>
      <c r="B334" s="40">
        <v>4</v>
      </c>
      <c r="C334" s="2" t="s">
        <v>105</v>
      </c>
      <c r="E334" s="2" t="s">
        <v>468</v>
      </c>
      <c r="F334" s="2" t="s">
        <v>1559</v>
      </c>
      <c r="G334" s="2" t="s">
        <v>1572</v>
      </c>
      <c r="I334" s="2" t="s">
        <v>1132</v>
      </c>
      <c r="J334" s="2" t="s">
        <v>1088</v>
      </c>
      <c r="K334" s="2" t="s">
        <v>1134</v>
      </c>
      <c r="L334" s="2" t="str">
        <f t="shared" si="68"/>
        <v>02_Slots/Koenig/04_Thronname_01/0030_nsw-bit_NR_02.png &lt;sup&gt;(NR)&lt;/sup&gt;</v>
      </c>
    </row>
    <row r="335" spans="1:12">
      <c r="A335" s="2" t="s">
        <v>500</v>
      </c>
      <c r="B335" s="40">
        <v>4</v>
      </c>
      <c r="C335" s="2" t="s">
        <v>105</v>
      </c>
      <c r="E335" s="2" t="s">
        <v>468</v>
      </c>
      <c r="F335" s="2" t="s">
        <v>1559</v>
      </c>
      <c r="G335" s="2" t="s">
        <v>1573</v>
      </c>
      <c r="I335" s="2" t="s">
        <v>1132</v>
      </c>
      <c r="J335" s="2" t="s">
        <v>1088</v>
      </c>
      <c r="K335" s="2" t="s">
        <v>1134</v>
      </c>
      <c r="L335" s="2" t="str">
        <f t="shared" si="68"/>
        <v>02_Slots/Koenig/04_Thronname_01/0040_nsw-bit_NR_03.png &lt;sup&gt;(NR)&lt;/sup&gt;</v>
      </c>
    </row>
    <row r="336" spans="1:12">
      <c r="A336" s="2" t="s">
        <v>500</v>
      </c>
      <c r="B336" s="40">
        <v>4</v>
      </c>
      <c r="C336" s="2" t="s">
        <v>105</v>
      </c>
      <c r="E336" s="2" t="s">
        <v>468</v>
      </c>
      <c r="F336" s="2" t="s">
        <v>1559</v>
      </c>
      <c r="G336" s="2" t="s">
        <v>1574</v>
      </c>
      <c r="I336" s="2" t="s">
        <v>1132</v>
      </c>
      <c r="J336" s="2" t="s">
        <v>1088</v>
      </c>
      <c r="K336" s="2" t="s">
        <v>1134</v>
      </c>
      <c r="L336" s="2" t="str">
        <f t="shared" ref="L336" si="69">_xlfn.TEXTJOIN("", TRUE, D336:K336)</f>
        <v>02_Slots/Koenig/04_Thronname_01/0050_nsw-bit_NR_04.png &lt;sup&gt;(NR)&lt;/sup&gt;</v>
      </c>
    </row>
    <row r="337" spans="1:12">
      <c r="A337" s="2" t="s">
        <v>500</v>
      </c>
      <c r="B337" s="40">
        <v>4</v>
      </c>
      <c r="C337" s="2" t="s">
        <v>105</v>
      </c>
      <c r="E337" s="2" t="s">
        <v>468</v>
      </c>
      <c r="F337" s="2" t="s">
        <v>1559</v>
      </c>
      <c r="G337" s="2" t="s">
        <v>1575</v>
      </c>
      <c r="I337" s="2" t="s">
        <v>1132</v>
      </c>
      <c r="J337" s="2" t="s">
        <v>1135</v>
      </c>
      <c r="K337" s="2" t="s">
        <v>1134</v>
      </c>
      <c r="L337" s="2" t="str">
        <f t="shared" ref="L337:L338" si="70">_xlfn.TEXTJOIN("", TRUE, D337:K337)</f>
        <v>02_Slots/Koenig/04_Thronname_01/0060_nsw-bit_Gr_01.png &lt;sup&gt;(Gr.)&lt;/sup&gt;</v>
      </c>
    </row>
    <row r="338" spans="1:12">
      <c r="A338" s="2" t="s">
        <v>500</v>
      </c>
      <c r="B338" s="40">
        <v>4</v>
      </c>
      <c r="C338" s="2" t="s">
        <v>105</v>
      </c>
      <c r="E338" s="2" t="s">
        <v>468</v>
      </c>
      <c r="F338" s="2" t="s">
        <v>1559</v>
      </c>
      <c r="G338" s="2" t="s">
        <v>1576</v>
      </c>
      <c r="I338" s="2" t="s">
        <v>1132</v>
      </c>
      <c r="J338" s="2" t="s">
        <v>1135</v>
      </c>
      <c r="K338" s="2" t="s">
        <v>1134</v>
      </c>
      <c r="L338" s="2" t="str">
        <f t="shared" si="70"/>
        <v>02_Slots/Koenig/04_Thronname_01/0070_nsw-bit_Gr_02.png &lt;sup&gt;(Gr.)&lt;/sup&gt;</v>
      </c>
    </row>
    <row r="339" spans="1:12">
      <c r="A339" s="2" t="s">
        <v>500</v>
      </c>
      <c r="B339" s="40">
        <v>4</v>
      </c>
      <c r="C339" s="2" t="s">
        <v>105</v>
      </c>
      <c r="E339" s="2" t="s">
        <v>468</v>
      </c>
      <c r="F339" s="2" t="s">
        <v>1559</v>
      </c>
      <c r="G339" s="2" t="s">
        <v>1577</v>
      </c>
      <c r="I339" s="2" t="s">
        <v>1132</v>
      </c>
      <c r="J339" s="2" t="s">
        <v>1135</v>
      </c>
      <c r="K339" s="2" t="s">
        <v>1134</v>
      </c>
      <c r="L339" s="2" t="str">
        <f t="shared" ref="L339:L340" si="71">_xlfn.TEXTJOIN("", TRUE, D339:K339)</f>
        <v>02_Slots/Koenig/04_Thronname_01/0080_nsw-bit_Gr_03.png &lt;sup&gt;(Gr.)&lt;/sup&gt;</v>
      </c>
    </row>
    <row r="340" spans="1:12">
      <c r="A340" s="2" t="s">
        <v>500</v>
      </c>
      <c r="B340" s="40">
        <v>4</v>
      </c>
      <c r="C340" s="2" t="s">
        <v>105</v>
      </c>
      <c r="E340" s="2" t="s">
        <v>468</v>
      </c>
      <c r="F340" s="2" t="s">
        <v>1559</v>
      </c>
      <c r="G340" s="2" t="s">
        <v>1578</v>
      </c>
      <c r="I340" s="2" t="s">
        <v>1132</v>
      </c>
      <c r="J340" s="2" t="s">
        <v>1135</v>
      </c>
      <c r="K340" s="2" t="s">
        <v>1134</v>
      </c>
      <c r="L340" s="2" t="str">
        <f t="shared" si="71"/>
        <v>02_Slots/Koenig/04_Thronname_01/0090_nsw-bit_Gr_04.png &lt;sup&gt;(Gr.)&lt;/sup&gt;</v>
      </c>
    </row>
    <row r="341" spans="1:12">
      <c r="A341" s="2" t="s">
        <v>500</v>
      </c>
      <c r="B341" s="40">
        <v>4</v>
      </c>
      <c r="C341" s="2" t="s">
        <v>39</v>
      </c>
      <c r="L341" s="2" t="s">
        <v>511</v>
      </c>
    </row>
    <row r="342" spans="1:12">
      <c r="A342" s="2" t="s">
        <v>500</v>
      </c>
      <c r="B342" s="40">
        <v>4</v>
      </c>
      <c r="C342" s="2" t="s">
        <v>40</v>
      </c>
      <c r="L342" s="2" t="s">
        <v>516</v>
      </c>
    </row>
    <row r="343" spans="1:12">
      <c r="A343" s="2" t="s">
        <v>500</v>
      </c>
      <c r="B343" s="40">
        <v>4</v>
      </c>
      <c r="C343" s="2" t="s">
        <v>41</v>
      </c>
    </row>
    <row r="344" spans="1:12">
      <c r="A344" s="2" t="s">
        <v>500</v>
      </c>
      <c r="B344" s="40">
        <v>5</v>
      </c>
      <c r="C344" s="2" t="s">
        <v>501</v>
      </c>
      <c r="L344" s="2" t="s">
        <v>508</v>
      </c>
    </row>
    <row r="345" spans="1:12">
      <c r="A345" s="2" t="s">
        <v>500</v>
      </c>
      <c r="B345" s="40">
        <v>5</v>
      </c>
      <c r="C345" s="2" t="s">
        <v>105</v>
      </c>
      <c r="E345" s="2" t="s">
        <v>468</v>
      </c>
      <c r="F345" s="2" t="s">
        <v>1560</v>
      </c>
      <c r="G345" s="2" t="s">
        <v>1579</v>
      </c>
      <c r="L345" s="2" t="str">
        <f t="shared" ref="L345:L346" si="72">_xlfn.TEXTJOIN("", TRUE, D345:K345)</f>
        <v>02_Slots/Koenig/05_Eigenname_01/0001_sA-ra_01.png</v>
      </c>
    </row>
    <row r="346" spans="1:12">
      <c r="A346" s="2" t="s">
        <v>500</v>
      </c>
      <c r="B346" s="40">
        <v>5</v>
      </c>
      <c r="C346" s="2" t="s">
        <v>105</v>
      </c>
      <c r="E346" s="2" t="s">
        <v>468</v>
      </c>
      <c r="F346" s="2" t="s">
        <v>1560</v>
      </c>
      <c r="G346" s="2" t="s">
        <v>1580</v>
      </c>
      <c r="I346" s="2" t="s">
        <v>1132</v>
      </c>
      <c r="J346" s="2" t="s">
        <v>1133</v>
      </c>
      <c r="K346" s="2" t="s">
        <v>1134</v>
      </c>
      <c r="L346" s="2" t="str">
        <f t="shared" si="72"/>
        <v>02_Slots/Koenig/05_Eigenname_01/0010_sA-ra_AR_01.png &lt;sup&gt;(AR)&lt;/sup&gt;</v>
      </c>
    </row>
    <row r="347" spans="1:12">
      <c r="A347" s="2" t="s">
        <v>500</v>
      </c>
      <c r="B347" s="40">
        <v>5</v>
      </c>
      <c r="C347" s="2" t="s">
        <v>105</v>
      </c>
      <c r="E347" s="2" t="s">
        <v>468</v>
      </c>
      <c r="F347" s="2" t="s">
        <v>1560</v>
      </c>
      <c r="G347" s="2" t="s">
        <v>1581</v>
      </c>
      <c r="I347" s="2" t="s">
        <v>1132</v>
      </c>
      <c r="J347" s="2" t="s">
        <v>1136</v>
      </c>
      <c r="K347" s="2" t="s">
        <v>1134</v>
      </c>
      <c r="L347" s="2" t="str">
        <f t="shared" ref="L347:L348" si="73">_xlfn.TEXTJOIN("", TRUE, D347:K347)</f>
        <v>02_Slots/Koenig/05_Eigenname_01/0020_sA-ra_MR_01.png &lt;sup&gt;(MR)&lt;/sup&gt;</v>
      </c>
    </row>
    <row r="348" spans="1:12">
      <c r="A348" s="2" t="s">
        <v>500</v>
      </c>
      <c r="B348" s="40">
        <v>5</v>
      </c>
      <c r="C348" s="2" t="s">
        <v>105</v>
      </c>
      <c r="E348" s="2" t="s">
        <v>468</v>
      </c>
      <c r="F348" s="2" t="s">
        <v>1560</v>
      </c>
      <c r="G348" s="2" t="s">
        <v>1582</v>
      </c>
      <c r="I348" s="2" t="s">
        <v>1132</v>
      </c>
      <c r="J348" s="2" t="s">
        <v>1448</v>
      </c>
      <c r="K348" s="2" t="s">
        <v>1134</v>
      </c>
      <c r="L348" s="2" t="str">
        <f t="shared" si="73"/>
        <v>02_Slots/Koenig/05_Eigenname_01/0030_sA-ra_D.20_01.png &lt;sup&gt;(D.20)&lt;/sup&gt;</v>
      </c>
    </row>
    <row r="349" spans="1:12">
      <c r="A349" s="2" t="s">
        <v>500</v>
      </c>
      <c r="B349" s="40">
        <v>5</v>
      </c>
      <c r="C349" s="2" t="s">
        <v>105</v>
      </c>
      <c r="E349" s="2" t="s">
        <v>468</v>
      </c>
      <c r="F349" s="2" t="s">
        <v>1560</v>
      </c>
      <c r="G349" s="2" t="s">
        <v>1583</v>
      </c>
      <c r="I349" s="2" t="s">
        <v>1132</v>
      </c>
      <c r="J349" s="2" t="s">
        <v>1088</v>
      </c>
      <c r="K349" s="2" t="s">
        <v>1134</v>
      </c>
      <c r="L349" s="2" t="str">
        <f t="shared" ref="L349:L350" si="74">_xlfn.TEXTJOIN("", TRUE, D349:K349)</f>
        <v>02_Slots/Koenig/05_Eigenname_01/0040_sA-ra_NR_01.png &lt;sup&gt;(NR)&lt;/sup&gt;</v>
      </c>
    </row>
    <row r="350" spans="1:12">
      <c r="A350" s="2" t="s">
        <v>500</v>
      </c>
      <c r="B350" s="40">
        <v>5</v>
      </c>
      <c r="C350" s="2" t="s">
        <v>105</v>
      </c>
      <c r="E350" s="2" t="s">
        <v>468</v>
      </c>
      <c r="F350" s="2" t="s">
        <v>1560</v>
      </c>
      <c r="G350" s="2" t="s">
        <v>1584</v>
      </c>
      <c r="I350" s="2" t="s">
        <v>1132</v>
      </c>
      <c r="J350" s="2" t="s">
        <v>1135</v>
      </c>
      <c r="K350" s="2" t="s">
        <v>1134</v>
      </c>
      <c r="L350" s="2" t="str">
        <f t="shared" si="74"/>
        <v>02_Slots/Koenig/05_Eigenname_01/0050_sA-ra_Gr_01.png &lt;sup&gt;(Gr.)&lt;/sup&gt;</v>
      </c>
    </row>
    <row r="351" spans="1:12">
      <c r="A351" s="2" t="s">
        <v>500</v>
      </c>
      <c r="B351" s="40">
        <v>5</v>
      </c>
      <c r="C351" s="2" t="s">
        <v>39</v>
      </c>
      <c r="L351" s="2" t="s">
        <v>512</v>
      </c>
    </row>
    <row r="352" spans="1:12">
      <c r="A352" s="2" t="s">
        <v>500</v>
      </c>
      <c r="B352" s="40">
        <v>5</v>
      </c>
      <c r="C352" s="2" t="s">
        <v>40</v>
      </c>
      <c r="L352" s="2" t="s">
        <v>517</v>
      </c>
    </row>
    <row r="353" spans="1:12">
      <c r="A353" s="2" t="s">
        <v>500</v>
      </c>
      <c r="B353" s="40">
        <v>5</v>
      </c>
      <c r="C353" s="2" t="s">
        <v>41</v>
      </c>
    </row>
    <row r="355" spans="1:12">
      <c r="A355" s="2" t="s">
        <v>519</v>
      </c>
      <c r="B355" s="40">
        <v>6</v>
      </c>
      <c r="C355" s="2" t="s">
        <v>39</v>
      </c>
      <c r="L355" s="2" t="s">
        <v>520</v>
      </c>
    </row>
    <row r="356" spans="1:12">
      <c r="A356" s="2" t="s">
        <v>519</v>
      </c>
      <c r="B356" s="40">
        <v>6</v>
      </c>
      <c r="C356" s="2" t="s">
        <v>105</v>
      </c>
      <c r="E356" s="2" t="s">
        <v>1332</v>
      </c>
      <c r="F356" s="2" t="s">
        <v>1345</v>
      </c>
      <c r="G356" s="2" t="s">
        <v>1346</v>
      </c>
      <c r="L356" s="2" t="str">
        <f t="shared" ref="L356:L358" si="75">_xlfn.TEXTJOIN("", TRUE, D356:J356)</f>
        <v>02_Slots/Koenig/Epitheta/06_nsw/0001_nsw_01.png</v>
      </c>
    </row>
    <row r="357" spans="1:12">
      <c r="A357" s="2" t="s">
        <v>519</v>
      </c>
      <c r="B357" s="40">
        <v>6</v>
      </c>
      <c r="C357" s="2" t="s">
        <v>105</v>
      </c>
      <c r="E357" s="2" t="s">
        <v>1332</v>
      </c>
      <c r="F357" s="2" t="s">
        <v>1345</v>
      </c>
      <c r="G357" s="2" t="s">
        <v>1347</v>
      </c>
      <c r="L357" s="2" t="str">
        <f t="shared" si="75"/>
        <v>02_Slots/Koenig/Epitheta/06_nsw/0010_nsw_02.png</v>
      </c>
    </row>
    <row r="358" spans="1:12">
      <c r="A358" s="2" t="s">
        <v>519</v>
      </c>
      <c r="B358" s="40">
        <v>6</v>
      </c>
      <c r="C358" s="2" t="s">
        <v>105</v>
      </c>
      <c r="E358" s="2" t="s">
        <v>1332</v>
      </c>
      <c r="F358" s="2" t="s">
        <v>1345</v>
      </c>
      <c r="G358" s="2" t="s">
        <v>1348</v>
      </c>
      <c r="L358" s="2" t="str">
        <f t="shared" si="75"/>
        <v>02_Slots/Koenig/Epitheta/06_nsw/0020_nsw_03.png</v>
      </c>
    </row>
    <row r="359" spans="1:12">
      <c r="A359" s="2" t="s">
        <v>519</v>
      </c>
      <c r="B359" s="40">
        <v>6</v>
      </c>
      <c r="C359" s="2" t="s">
        <v>27</v>
      </c>
      <c r="L359" s="2" t="s">
        <v>324</v>
      </c>
    </row>
    <row r="361" spans="1:12">
      <c r="A361" s="2" t="s">
        <v>519</v>
      </c>
      <c r="B361" s="40">
        <v>5</v>
      </c>
      <c r="C361" s="2" t="s">
        <v>39</v>
      </c>
      <c r="L361" s="2" t="s">
        <v>521</v>
      </c>
    </row>
    <row r="362" spans="1:12">
      <c r="A362" s="2" t="s">
        <v>519</v>
      </c>
      <c r="B362" s="40">
        <v>5</v>
      </c>
      <c r="C362" s="2" t="s">
        <v>105</v>
      </c>
      <c r="E362" s="2" t="s">
        <v>1332</v>
      </c>
      <c r="F362" s="2" t="s">
        <v>1344</v>
      </c>
      <c r="G362" s="2" t="s">
        <v>1340</v>
      </c>
      <c r="L362" s="2" t="str">
        <f t="shared" ref="L362:L364" si="76">_xlfn.TEXTJOIN("", TRUE, D362:J362)</f>
        <v>02_Slots/Koenig/Epitheta/05_Hm/0001_Hm_01.png</v>
      </c>
    </row>
    <row r="363" spans="1:12">
      <c r="A363" s="2" t="s">
        <v>519</v>
      </c>
      <c r="B363" s="40">
        <v>5</v>
      </c>
      <c r="C363" s="2" t="s">
        <v>105</v>
      </c>
      <c r="E363" s="2" t="s">
        <v>1332</v>
      </c>
      <c r="F363" s="2" t="s">
        <v>1344</v>
      </c>
      <c r="G363" s="2" t="s">
        <v>1341</v>
      </c>
      <c r="L363" s="2" t="str">
        <f t="shared" si="76"/>
        <v>02_Slots/Koenig/Epitheta/05_Hm/0010_Hm_02.png</v>
      </c>
    </row>
    <row r="364" spans="1:12">
      <c r="A364" s="2" t="s">
        <v>519</v>
      </c>
      <c r="B364" s="40">
        <v>5</v>
      </c>
      <c r="C364" s="2" t="s">
        <v>105</v>
      </c>
      <c r="E364" s="2" t="s">
        <v>1332</v>
      </c>
      <c r="F364" s="2" t="s">
        <v>1344</v>
      </c>
      <c r="G364" s="2" t="s">
        <v>1342</v>
      </c>
      <c r="L364" s="2" t="str">
        <f t="shared" si="76"/>
        <v>02_Slots/Koenig/Epitheta/05_Hm/0020_Hm_03.png</v>
      </c>
    </row>
    <row r="365" spans="1:12">
      <c r="A365" s="2" t="s">
        <v>519</v>
      </c>
      <c r="B365" s="40">
        <v>5</v>
      </c>
      <c r="C365" s="2" t="s">
        <v>27</v>
      </c>
      <c r="L365" s="2" t="s">
        <v>522</v>
      </c>
    </row>
    <row r="367" spans="1:12">
      <c r="A367" s="2" t="s">
        <v>519</v>
      </c>
      <c r="B367" s="40">
        <v>4</v>
      </c>
      <c r="C367" s="2" t="s">
        <v>39</v>
      </c>
      <c r="L367" s="2" t="s">
        <v>1051</v>
      </c>
    </row>
    <row r="368" spans="1:12">
      <c r="A368" s="2" t="s">
        <v>519</v>
      </c>
      <c r="B368" s="40">
        <v>4</v>
      </c>
      <c r="C368" s="2" t="s">
        <v>105</v>
      </c>
      <c r="E368" s="2" t="s">
        <v>1332</v>
      </c>
      <c r="F368" s="2" t="s">
        <v>1343</v>
      </c>
      <c r="G368" s="2" t="s">
        <v>1338</v>
      </c>
      <c r="H368" s="2" t="s">
        <v>112</v>
      </c>
      <c r="L368" s="2" t="str">
        <f t="shared" ref="L368" si="77">_xlfn.TEXTJOIN("", TRUE, D368:J368)</f>
        <v>02_Slots/Koenig/Epitheta/04_Hm=f/0001_Hm=f_01.png</v>
      </c>
    </row>
    <row r="369" spans="1:12">
      <c r="A369" s="2" t="s">
        <v>519</v>
      </c>
      <c r="B369" s="40">
        <v>4</v>
      </c>
      <c r="C369" s="2" t="s">
        <v>27</v>
      </c>
      <c r="L369" s="2" t="s">
        <v>1120</v>
      </c>
    </row>
    <row r="371" spans="1:12">
      <c r="A371" s="2" t="s">
        <v>519</v>
      </c>
      <c r="B371" s="40">
        <v>2</v>
      </c>
      <c r="C371" s="2" t="s">
        <v>39</v>
      </c>
      <c r="L371" s="2" t="s">
        <v>523</v>
      </c>
    </row>
    <row r="372" spans="1:12">
      <c r="A372" s="2" t="s">
        <v>519</v>
      </c>
      <c r="B372" s="40">
        <v>2</v>
      </c>
      <c r="C372" s="2" t="s">
        <v>105</v>
      </c>
      <c r="E372" s="2" t="s">
        <v>1332</v>
      </c>
      <c r="F372" s="2" t="s">
        <v>1335</v>
      </c>
      <c r="G372" s="2" t="s">
        <v>1336</v>
      </c>
      <c r="H372" s="2" t="s">
        <v>112</v>
      </c>
      <c r="L372" s="2" t="str">
        <f t="shared" ref="L372" si="78">_xlfn.TEXTJOIN("", TRUE, D372:J372)</f>
        <v>02_Slots/Koenig/Epitheta/02_nb-tA.wj/0001_nb-tA.wj_01.png</v>
      </c>
    </row>
    <row r="373" spans="1:12">
      <c r="A373" s="2" t="s">
        <v>519</v>
      </c>
      <c r="B373" s="40">
        <v>2</v>
      </c>
      <c r="C373" s="2" t="s">
        <v>27</v>
      </c>
      <c r="L373" s="2" t="s">
        <v>524</v>
      </c>
    </row>
    <row r="375" spans="1:12">
      <c r="A375" s="2" t="s">
        <v>519</v>
      </c>
      <c r="B375" s="40">
        <v>1</v>
      </c>
      <c r="C375" s="2" t="s">
        <v>39</v>
      </c>
      <c r="L375" s="2" t="s">
        <v>1050</v>
      </c>
    </row>
    <row r="376" spans="1:12">
      <c r="A376" s="2" t="s">
        <v>519</v>
      </c>
      <c r="B376" s="40">
        <v>1</v>
      </c>
      <c r="C376" s="2" t="s">
        <v>105</v>
      </c>
      <c r="E376" s="2" t="s">
        <v>1332</v>
      </c>
      <c r="F376" s="2" t="s">
        <v>1333</v>
      </c>
      <c r="G376" s="2" t="s">
        <v>1334</v>
      </c>
      <c r="H376" s="2" t="s">
        <v>112</v>
      </c>
      <c r="L376" s="2" t="str">
        <f t="shared" ref="L376" si="79">_xlfn.TEXTJOIN("", TRUE, D376:J376)</f>
        <v>02_Slots/Koenig/Epitheta/01_nTr-nfr/0001_nTr-nfr_01.png</v>
      </c>
    </row>
    <row r="377" spans="1:12">
      <c r="A377" s="2" t="s">
        <v>519</v>
      </c>
      <c r="B377" s="40">
        <v>1</v>
      </c>
      <c r="C377" s="2" t="s">
        <v>27</v>
      </c>
      <c r="L377" s="2" t="s">
        <v>525</v>
      </c>
    </row>
    <row r="379" spans="1:12">
      <c r="A379" s="2" t="s">
        <v>519</v>
      </c>
      <c r="B379" s="40">
        <v>3</v>
      </c>
      <c r="C379" s="2" t="s">
        <v>39</v>
      </c>
      <c r="L379" s="2" t="s">
        <v>1328</v>
      </c>
    </row>
    <row r="380" spans="1:12">
      <c r="A380" s="2" t="s">
        <v>519</v>
      </c>
      <c r="B380" s="40">
        <v>3</v>
      </c>
      <c r="C380" s="2" t="s">
        <v>105</v>
      </c>
      <c r="E380" s="2" t="s">
        <v>1332</v>
      </c>
      <c r="F380" s="2" t="s">
        <v>1337</v>
      </c>
      <c r="G380" s="2" t="s">
        <v>1339</v>
      </c>
      <c r="H380" s="2" t="s">
        <v>112</v>
      </c>
      <c r="L380" s="2" t="str">
        <f>_xlfn.TEXTJOIN("", TRUE, D380:K380)</f>
        <v>02_Slots/Koenig/Epitheta/03_sA=f-n-X.t=f/0001_sA=f-n-X.t=f_01.png</v>
      </c>
    </row>
    <row r="381" spans="1:12">
      <c r="A381" s="2" t="s">
        <v>519</v>
      </c>
      <c r="B381" s="40">
        <v>3</v>
      </c>
      <c r="C381" s="2" t="s">
        <v>27</v>
      </c>
      <c r="L381" s="2" t="s">
        <v>1329</v>
      </c>
    </row>
    <row r="383" spans="1:12">
      <c r="A383" s="2" t="s">
        <v>519</v>
      </c>
      <c r="B383" s="40">
        <v>7</v>
      </c>
      <c r="C383" s="2" t="s">
        <v>39</v>
      </c>
      <c r="L383" s="2" t="s">
        <v>1330</v>
      </c>
    </row>
    <row r="384" spans="1:12">
      <c r="A384" s="2" t="s">
        <v>519</v>
      </c>
      <c r="B384" s="40">
        <v>7</v>
      </c>
      <c r="C384" s="2" t="s">
        <v>105</v>
      </c>
      <c r="E384" s="2" t="s">
        <v>1332</v>
      </c>
      <c r="F384" s="2" t="s">
        <v>1349</v>
      </c>
      <c r="G384" s="2" t="s">
        <v>1350</v>
      </c>
      <c r="H384" s="2" t="s">
        <v>112</v>
      </c>
      <c r="L384" s="2" t="str">
        <f>_xlfn.TEXTJOIN("", TRUE, D384:K384)</f>
        <v>02_Slots/Koenig/Epitheta/07_nb-xa.w/0001_nb-xa.w_01.png</v>
      </c>
    </row>
    <row r="385" spans="1:12">
      <c r="A385" s="2" t="s">
        <v>519</v>
      </c>
      <c r="B385" s="40">
        <v>7</v>
      </c>
      <c r="C385" s="2" t="s">
        <v>27</v>
      </c>
      <c r="L385" s="2" t="s">
        <v>1331</v>
      </c>
    </row>
    <row r="390" spans="1:12">
      <c r="A390" s="2" t="s">
        <v>544</v>
      </c>
      <c r="B390" s="40">
        <v>1</v>
      </c>
      <c r="C390" s="2" t="s">
        <v>39</v>
      </c>
      <c r="L390" s="2" t="s">
        <v>545</v>
      </c>
    </row>
    <row r="391" spans="1:12">
      <c r="A391" s="2" t="s">
        <v>544</v>
      </c>
      <c r="B391" s="40">
        <v>1</v>
      </c>
      <c r="C391" s="2" t="s">
        <v>27</v>
      </c>
      <c r="L391" s="2" t="s">
        <v>547</v>
      </c>
    </row>
    <row r="392" spans="1:12">
      <c r="A392" s="2" t="s">
        <v>544</v>
      </c>
      <c r="B392" s="40">
        <v>1</v>
      </c>
      <c r="C392" s="2" t="s">
        <v>40</v>
      </c>
      <c r="L392" s="2" t="s">
        <v>550</v>
      </c>
    </row>
    <row r="393" spans="1:12">
      <c r="A393" s="2" t="s">
        <v>544</v>
      </c>
      <c r="B393" s="40">
        <v>1</v>
      </c>
      <c r="C393" s="2" t="s">
        <v>41</v>
      </c>
      <c r="L393" s="2" t="s">
        <v>553</v>
      </c>
    </row>
    <row r="394" spans="1:12">
      <c r="A394" s="2" t="s">
        <v>544</v>
      </c>
      <c r="B394" s="40">
        <v>2</v>
      </c>
      <c r="C394" s="2" t="s">
        <v>39</v>
      </c>
      <c r="L394" s="2" t="s">
        <v>1155</v>
      </c>
    </row>
    <row r="395" spans="1:12">
      <c r="A395" s="2" t="s">
        <v>544</v>
      </c>
      <c r="B395" s="40">
        <v>2</v>
      </c>
      <c r="C395" s="2" t="s">
        <v>27</v>
      </c>
      <c r="L395" s="2" t="s">
        <v>548</v>
      </c>
    </row>
    <row r="396" spans="1:12">
      <c r="A396" s="2" t="s">
        <v>544</v>
      </c>
      <c r="B396" s="40">
        <v>2</v>
      </c>
      <c r="C396" s="2" t="s">
        <v>40</v>
      </c>
      <c r="L396" s="2" t="s">
        <v>551</v>
      </c>
    </row>
    <row r="397" spans="1:12">
      <c r="A397" s="2" t="s">
        <v>544</v>
      </c>
      <c r="B397" s="40">
        <v>2</v>
      </c>
      <c r="C397" s="2" t="s">
        <v>41</v>
      </c>
      <c r="L397" s="2" t="s">
        <v>554</v>
      </c>
    </row>
    <row r="398" spans="1:12">
      <c r="A398" s="2" t="s">
        <v>544</v>
      </c>
      <c r="B398" s="40">
        <v>3</v>
      </c>
      <c r="C398" s="2" t="s">
        <v>39</v>
      </c>
      <c r="L398" s="2" t="s">
        <v>546</v>
      </c>
    </row>
    <row r="399" spans="1:12">
      <c r="A399" s="2" t="s">
        <v>544</v>
      </c>
      <c r="B399" s="40">
        <v>3</v>
      </c>
      <c r="C399" s="2" t="s">
        <v>27</v>
      </c>
      <c r="L399" s="2" t="s">
        <v>549</v>
      </c>
    </row>
    <row r="400" spans="1:12">
      <c r="A400" s="2" t="s">
        <v>544</v>
      </c>
      <c r="B400" s="40">
        <v>3</v>
      </c>
      <c r="C400" s="2" t="s">
        <v>40</v>
      </c>
      <c r="L400" s="2" t="s">
        <v>552</v>
      </c>
    </row>
    <row r="401" spans="1:12">
      <c r="A401" s="2" t="s">
        <v>544</v>
      </c>
      <c r="B401" s="40">
        <v>3</v>
      </c>
      <c r="C401" s="2" t="s">
        <v>41</v>
      </c>
    </row>
    <row r="404" spans="1:12">
      <c r="A404" s="2" t="s">
        <v>57</v>
      </c>
      <c r="B404" s="40">
        <v>1</v>
      </c>
      <c r="C404" s="2" t="s">
        <v>102</v>
      </c>
      <c r="E404" s="2" t="s">
        <v>109</v>
      </c>
      <c r="G404" s="2" t="s">
        <v>113</v>
      </c>
      <c r="H404" s="2" t="s">
        <v>112</v>
      </c>
      <c r="L404" s="2" t="str">
        <f t="shared" ref="L404:L410" si="80">_xlfn.TEXTJOIN("", TRUE, D404:J404)</f>
        <v>02_Slots/Gottheit/Determinative_typisch/01_m/0001_A40_01.png</v>
      </c>
    </row>
    <row r="405" spans="1:12">
      <c r="A405" s="2" t="s">
        <v>57</v>
      </c>
      <c r="B405" s="40">
        <v>1</v>
      </c>
      <c r="C405" s="2" t="s">
        <v>102</v>
      </c>
      <c r="E405" s="2" t="s">
        <v>109</v>
      </c>
      <c r="G405" s="2" t="s">
        <v>114</v>
      </c>
      <c r="H405" s="2" t="s">
        <v>112</v>
      </c>
      <c r="L405" s="2" t="str">
        <f t="shared" si="80"/>
        <v>02_Slots/Gottheit/Determinative_typisch/01_m/0010_G7_01.png</v>
      </c>
    </row>
    <row r="406" spans="1:12">
      <c r="A406" s="2" t="s">
        <v>57</v>
      </c>
      <c r="B406" s="40">
        <v>1</v>
      </c>
      <c r="C406" s="2" t="s">
        <v>102</v>
      </c>
      <c r="E406" s="2" t="s">
        <v>109</v>
      </c>
      <c r="G406" s="2" t="s">
        <v>115</v>
      </c>
      <c r="H406" s="2" t="s">
        <v>112</v>
      </c>
      <c r="L406" s="2" t="str">
        <f t="shared" si="80"/>
        <v>02_Slots/Gottheit/Determinative_typisch/01_m/0020_R8_01.png</v>
      </c>
    </row>
    <row r="407" spans="1:12">
      <c r="A407" s="2" t="s">
        <v>57</v>
      </c>
      <c r="B407" s="40">
        <v>1</v>
      </c>
      <c r="C407" s="2" t="s">
        <v>103</v>
      </c>
      <c r="E407" s="2" t="s">
        <v>104</v>
      </c>
      <c r="G407" s="2" t="s">
        <v>116</v>
      </c>
      <c r="H407" s="2" t="s">
        <v>112</v>
      </c>
      <c r="L407" s="2" t="str">
        <f t="shared" si="80"/>
        <v>02_Slots/Gottheit/Determinative_typisch/02_f/0001_B7_01.png</v>
      </c>
    </row>
    <row r="408" spans="1:12">
      <c r="A408" s="2" t="s">
        <v>57</v>
      </c>
      <c r="B408" s="40">
        <v>1</v>
      </c>
      <c r="C408" s="2" t="s">
        <v>103</v>
      </c>
      <c r="E408" s="2" t="s">
        <v>104</v>
      </c>
      <c r="G408" s="2" t="s">
        <v>117</v>
      </c>
      <c r="H408" s="2" t="s">
        <v>112</v>
      </c>
      <c r="L408" s="2" t="str">
        <f t="shared" si="80"/>
        <v>02_Slots/Gottheit/Determinative_typisch/02_f/0010_I64_01.png</v>
      </c>
    </row>
    <row r="409" spans="1:12">
      <c r="A409" s="2" t="s">
        <v>57</v>
      </c>
      <c r="B409" s="40">
        <v>1</v>
      </c>
      <c r="C409" s="2" t="s">
        <v>103</v>
      </c>
      <c r="E409" s="2" t="s">
        <v>104</v>
      </c>
      <c r="G409" s="2" t="s">
        <v>118</v>
      </c>
      <c r="H409" s="2" t="s">
        <v>112</v>
      </c>
      <c r="L409" s="2" t="str">
        <f t="shared" si="80"/>
        <v>02_Slots/Gottheit/Determinative_typisch/02_f/0020_H8_01.png</v>
      </c>
    </row>
    <row r="410" spans="1:12">
      <c r="A410" s="2" t="s">
        <v>57</v>
      </c>
      <c r="B410" s="40">
        <v>1</v>
      </c>
      <c r="C410" s="2" t="s">
        <v>103</v>
      </c>
      <c r="E410" s="2" t="s">
        <v>104</v>
      </c>
      <c r="G410" s="2" t="s">
        <v>119</v>
      </c>
      <c r="H410" s="2" t="s">
        <v>112</v>
      </c>
      <c r="L410" s="2" t="str">
        <f t="shared" si="80"/>
        <v>02_Slots/Gottheit/Determinative_typisch/02_f/0030_H8_02.png</v>
      </c>
    </row>
    <row r="412" spans="1:12">
      <c r="A412" s="2" t="s">
        <v>60</v>
      </c>
      <c r="B412" s="40">
        <v>10</v>
      </c>
      <c r="C412" s="2" t="s">
        <v>39</v>
      </c>
      <c r="L412" s="2" t="s">
        <v>1156</v>
      </c>
    </row>
    <row r="413" spans="1:12">
      <c r="A413" s="2" t="s">
        <v>60</v>
      </c>
      <c r="B413" s="40">
        <v>10</v>
      </c>
      <c r="C413" s="2" t="s">
        <v>105</v>
      </c>
      <c r="E413" s="2" t="s">
        <v>1157</v>
      </c>
      <c r="G413" s="2" t="s">
        <v>973</v>
      </c>
      <c r="L413" s="2" t="str">
        <f t="shared" ref="L413" si="81">_xlfn.TEXTJOIN("", TRUE, D413:J413)</f>
        <v>02_Slots/Gottheit/Goetter-mit-Epitheta/0010_Isis/0001_st_01.png</v>
      </c>
    </row>
    <row r="414" spans="1:12">
      <c r="A414" s="2" t="s">
        <v>60</v>
      </c>
      <c r="B414" s="40">
        <v>10</v>
      </c>
      <c r="C414" s="2" t="s">
        <v>105</v>
      </c>
      <c r="E414" s="2" t="s">
        <v>1157</v>
      </c>
      <c r="G414" s="2" t="s">
        <v>974</v>
      </c>
      <c r="I414" s="2" t="s">
        <v>1132</v>
      </c>
      <c r="J414" s="2" t="s">
        <v>1133</v>
      </c>
      <c r="K414" s="2" t="s">
        <v>1134</v>
      </c>
      <c r="L414" s="2" t="str">
        <f t="shared" ref="L414:L417" si="82">_xlfn.TEXTJOIN("", TRUE, D414:K414)</f>
        <v>02_Slots/Gottheit/Goetter-mit-Epitheta/0010_Isis/0010_st_AR_01.png &lt;sup&gt;(AR)&lt;/sup&gt;</v>
      </c>
    </row>
    <row r="415" spans="1:12">
      <c r="A415" s="2" t="s">
        <v>60</v>
      </c>
      <c r="B415" s="40">
        <v>10</v>
      </c>
      <c r="C415" s="2" t="s">
        <v>105</v>
      </c>
      <c r="E415" s="2" t="s">
        <v>1157</v>
      </c>
      <c r="G415" s="2" t="s">
        <v>975</v>
      </c>
      <c r="I415" s="2" t="s">
        <v>1132</v>
      </c>
      <c r="J415" s="2" t="s">
        <v>1136</v>
      </c>
      <c r="K415" s="2" t="s">
        <v>1134</v>
      </c>
      <c r="L415" s="2" t="str">
        <f t="shared" si="82"/>
        <v>02_Slots/Gottheit/Goetter-mit-Epitheta/0010_Isis/0020_st_MR_01.png &lt;sup&gt;(MR)&lt;/sup&gt;</v>
      </c>
    </row>
    <row r="416" spans="1:12">
      <c r="A416" s="2" t="s">
        <v>60</v>
      </c>
      <c r="B416" s="40">
        <v>10</v>
      </c>
      <c r="C416" s="2" t="s">
        <v>105</v>
      </c>
      <c r="E416" s="2" t="s">
        <v>1157</v>
      </c>
      <c r="G416" s="2" t="s">
        <v>976</v>
      </c>
      <c r="I416" s="2" t="s">
        <v>1132</v>
      </c>
      <c r="J416" s="2" t="s">
        <v>1088</v>
      </c>
      <c r="K416" s="2" t="s">
        <v>1134</v>
      </c>
      <c r="L416" s="2" t="str">
        <f t="shared" si="82"/>
        <v>02_Slots/Gottheit/Goetter-mit-Epitheta/0010_Isis/0030_st_NR_01.png &lt;sup&gt;(NR)&lt;/sup&gt;</v>
      </c>
    </row>
    <row r="417" spans="1:12">
      <c r="A417" s="2" t="s">
        <v>60</v>
      </c>
      <c r="B417" s="40">
        <v>10</v>
      </c>
      <c r="C417" s="2" t="s">
        <v>105</v>
      </c>
      <c r="E417" s="2" t="s">
        <v>1157</v>
      </c>
      <c r="G417" s="2" t="s">
        <v>977</v>
      </c>
      <c r="I417" s="2" t="s">
        <v>1132</v>
      </c>
      <c r="J417" s="2" t="s">
        <v>1141</v>
      </c>
      <c r="K417" s="2" t="s">
        <v>1134</v>
      </c>
      <c r="L417" s="2" t="str">
        <f t="shared" si="82"/>
        <v>02_Slots/Gottheit/Goetter-mit-Epitheta/0010_Isis/0040_st_SP_01.png &lt;sup&gt;(Sp.)&lt;/sup&gt;</v>
      </c>
    </row>
    <row r="418" spans="1:12">
      <c r="A418" s="2" t="s">
        <v>60</v>
      </c>
      <c r="B418" s="40">
        <v>10</v>
      </c>
      <c r="C418" s="2" t="s">
        <v>106</v>
      </c>
      <c r="L418" s="2" t="str">
        <f t="shared" ref="L418" si="83">_xlfn.TEXTJOIN("", TRUE, D418:J418)</f>
        <v/>
      </c>
    </row>
    <row r="419" spans="1:12">
      <c r="A419" s="2" t="s">
        <v>60</v>
      </c>
      <c r="B419" s="40">
        <v>10</v>
      </c>
      <c r="C419" s="2" t="s">
        <v>107</v>
      </c>
      <c r="L419" s="2" t="s">
        <v>164</v>
      </c>
    </row>
    <row r="420" spans="1:12">
      <c r="A420" s="2" t="s">
        <v>60</v>
      </c>
      <c r="B420" s="40">
        <v>10</v>
      </c>
      <c r="C420" s="2" t="s">
        <v>108</v>
      </c>
      <c r="L420" s="2" t="s">
        <v>1116</v>
      </c>
    </row>
    <row r="422" spans="1:12">
      <c r="A422" s="2" t="s">
        <v>978</v>
      </c>
      <c r="B422" s="40">
        <v>1</v>
      </c>
      <c r="C422" s="2" t="s">
        <v>39</v>
      </c>
      <c r="L422" s="2" t="s">
        <v>980</v>
      </c>
    </row>
    <row r="423" spans="1:12">
      <c r="A423" s="2" t="s">
        <v>978</v>
      </c>
      <c r="B423" s="40">
        <v>1</v>
      </c>
      <c r="C423" s="2" t="s">
        <v>105</v>
      </c>
      <c r="E423" s="2" t="s">
        <v>1157</v>
      </c>
      <c r="F423" s="2" t="s">
        <v>979</v>
      </c>
      <c r="G423" s="2" t="s">
        <v>982</v>
      </c>
      <c r="L423" s="2" t="str">
        <f>_xlfn.TEXTJOIN("", TRUE, D423:J423)</f>
        <v>02_Slots/Gottheit/Goetter-mit-Epitheta/0010_Isis/epitheta/01_mw.t-nTr/0001_mw.t-nTr_01.png</v>
      </c>
    </row>
    <row r="424" spans="1:12">
      <c r="A424" s="2" t="s">
        <v>978</v>
      </c>
      <c r="B424" s="40">
        <v>1</v>
      </c>
      <c r="C424" s="2" t="s">
        <v>105</v>
      </c>
      <c r="E424" s="2" t="s">
        <v>1157</v>
      </c>
      <c r="F424" s="2" t="s">
        <v>979</v>
      </c>
      <c r="G424" s="2" t="s">
        <v>983</v>
      </c>
      <c r="L424" s="2" t="str">
        <f>_xlfn.TEXTJOIN("", TRUE, D424:J424)</f>
        <v>02_Slots/Gottheit/Goetter-mit-Epitheta/0010_Isis/epitheta/01_mw.t-nTr/0010_mw.t-nTr_02.png</v>
      </c>
    </row>
    <row r="425" spans="1:12">
      <c r="A425" s="2" t="s">
        <v>978</v>
      </c>
      <c r="B425" s="40">
        <v>1</v>
      </c>
      <c r="C425" s="2" t="s">
        <v>105</v>
      </c>
      <c r="E425" s="2" t="s">
        <v>1157</v>
      </c>
      <c r="F425" s="2" t="s">
        <v>979</v>
      </c>
      <c r="G425" s="2" t="s">
        <v>984</v>
      </c>
      <c r="I425" s="2" t="s">
        <v>1132</v>
      </c>
      <c r="J425" s="2" t="s">
        <v>1135</v>
      </c>
      <c r="K425" s="2" t="s">
        <v>1134</v>
      </c>
      <c r="L425" s="2" t="str">
        <f>_xlfn.TEXTJOIN("", TRUE, D425:K425)</f>
        <v>02_Slots/Gottheit/Goetter-mit-Epitheta/0010_Isis/epitheta/01_mw.t-nTr/0020_mw.t-nTr_GR_01.png &lt;sup&gt;(Gr.)&lt;/sup&gt;</v>
      </c>
    </row>
    <row r="426" spans="1:12">
      <c r="A426" s="2" t="s">
        <v>978</v>
      </c>
      <c r="B426" s="40">
        <v>1</v>
      </c>
      <c r="C426" s="2" t="s">
        <v>27</v>
      </c>
      <c r="L426" s="2" t="s">
        <v>981</v>
      </c>
    </row>
    <row r="428" spans="1:12">
      <c r="A428" s="2" t="s">
        <v>978</v>
      </c>
      <c r="B428" s="40">
        <v>2</v>
      </c>
      <c r="C428" s="2" t="s">
        <v>39</v>
      </c>
      <c r="L428" s="2" t="s">
        <v>1041</v>
      </c>
    </row>
    <row r="429" spans="1:12">
      <c r="A429" s="2" t="s">
        <v>978</v>
      </c>
      <c r="B429" s="40">
        <v>2</v>
      </c>
      <c r="C429" s="2" t="s">
        <v>105</v>
      </c>
      <c r="E429" s="2" t="s">
        <v>1157</v>
      </c>
      <c r="F429" s="2" t="s">
        <v>985</v>
      </c>
      <c r="G429" s="2" t="s">
        <v>986</v>
      </c>
      <c r="L429" s="2" t="str">
        <f>_xlfn.TEXTJOIN("", TRUE, D429:J429)</f>
        <v>02_Slots/Gottheit/Goetter-mit-Epitheta/0010_Isis/epitheta/02_wr.t/0010_wr.t_01.png</v>
      </c>
    </row>
    <row r="430" spans="1:12">
      <c r="A430" s="2" t="s">
        <v>978</v>
      </c>
      <c r="B430" s="40">
        <v>2</v>
      </c>
      <c r="C430" s="2" t="s">
        <v>105</v>
      </c>
      <c r="E430" s="2" t="s">
        <v>1157</v>
      </c>
      <c r="F430" s="2" t="s">
        <v>985</v>
      </c>
      <c r="G430" s="2" t="s">
        <v>987</v>
      </c>
      <c r="I430" s="2" t="s">
        <v>1132</v>
      </c>
      <c r="J430" s="2" t="s">
        <v>1141</v>
      </c>
      <c r="K430" s="2" t="s">
        <v>1134</v>
      </c>
      <c r="L430" s="2" t="str">
        <f>_xlfn.TEXTJOIN("", TRUE, D430:K430)</f>
        <v>02_Slots/Gottheit/Goetter-mit-Epitheta/0010_Isis/epitheta/02_wr.t/0010_wr.t_Sp._01.png &lt;sup&gt;(Sp.)&lt;/sup&gt;</v>
      </c>
    </row>
    <row r="431" spans="1:12">
      <c r="A431" s="2" t="s">
        <v>978</v>
      </c>
      <c r="B431" s="40">
        <v>2</v>
      </c>
      <c r="C431" s="2" t="s">
        <v>27</v>
      </c>
      <c r="L431" s="2" t="s">
        <v>1040</v>
      </c>
    </row>
    <row r="437" spans="1:12">
      <c r="A437" s="2" t="s">
        <v>60</v>
      </c>
      <c r="B437" s="46">
        <v>20</v>
      </c>
      <c r="C437" s="2" t="s">
        <v>39</v>
      </c>
      <c r="L437" s="2" t="s">
        <v>175</v>
      </c>
    </row>
    <row r="438" spans="1:12">
      <c r="A438" s="2" t="s">
        <v>60</v>
      </c>
      <c r="B438" s="46">
        <v>20</v>
      </c>
      <c r="C438" s="2" t="s">
        <v>105</v>
      </c>
      <c r="E438" s="2" t="s">
        <v>1158</v>
      </c>
      <c r="G438" s="2" t="s">
        <v>120</v>
      </c>
      <c r="H438" s="2" t="s">
        <v>112</v>
      </c>
      <c r="L438" s="2" t="str">
        <f>_xlfn.TEXTJOIN("", TRUE, D438:J438)</f>
        <v>02_Slots/Gottheit/Goetter-mit-Epitheta/0020_Amun/0001_Jmn_01.png</v>
      </c>
    </row>
    <row r="439" spans="1:12">
      <c r="A439" s="2" t="s">
        <v>60</v>
      </c>
      <c r="B439" s="46">
        <v>20</v>
      </c>
      <c r="C439" s="2" t="s">
        <v>105</v>
      </c>
      <c r="E439" s="2" t="s">
        <v>1158</v>
      </c>
      <c r="G439" s="2" t="s">
        <v>122</v>
      </c>
      <c r="H439" s="2" t="s">
        <v>112</v>
      </c>
      <c r="I439" s="2" t="s">
        <v>1132</v>
      </c>
      <c r="J439" s="2" t="s">
        <v>1135</v>
      </c>
      <c r="K439" s="2" t="s">
        <v>1134</v>
      </c>
      <c r="L439" s="2" t="str">
        <f t="shared" ref="L439:L440" si="84">_xlfn.TEXTJOIN("", TRUE, D439:K439)</f>
        <v>02_Slots/Gottheit/Goetter-mit-Epitheta/0020_Amun/0010_Jmn_GR_01.png &lt;sup&gt;(Gr.)&lt;/sup&gt;</v>
      </c>
    </row>
    <row r="440" spans="1:12">
      <c r="A440" s="2" t="s">
        <v>60</v>
      </c>
      <c r="B440" s="46">
        <v>20</v>
      </c>
      <c r="C440" s="2" t="s">
        <v>105</v>
      </c>
      <c r="E440" s="2" t="s">
        <v>1158</v>
      </c>
      <c r="G440" s="2" t="s">
        <v>123</v>
      </c>
      <c r="H440" s="2" t="s">
        <v>112</v>
      </c>
      <c r="I440" s="2" t="s">
        <v>1132</v>
      </c>
      <c r="J440" s="2" t="s">
        <v>1135</v>
      </c>
      <c r="K440" s="2" t="s">
        <v>1134</v>
      </c>
      <c r="L440" s="2" t="str">
        <f t="shared" si="84"/>
        <v>02_Slots/Gottheit/Goetter-mit-Epitheta/0020_Amun/0020_Jmn_GR_02.png &lt;sup&gt;(Gr.)&lt;/sup&gt;</v>
      </c>
    </row>
    <row r="441" spans="1:12">
      <c r="A441" s="2" t="s">
        <v>60</v>
      </c>
      <c r="B441" s="46">
        <v>20</v>
      </c>
      <c r="C441" s="2" t="s">
        <v>106</v>
      </c>
      <c r="E441" s="2" t="s">
        <v>1158</v>
      </c>
      <c r="F441" s="2" t="s">
        <v>110</v>
      </c>
      <c r="G441" s="2" t="s">
        <v>121</v>
      </c>
      <c r="H441" s="2" t="s">
        <v>112</v>
      </c>
      <c r="L441" s="2" t="str">
        <f>_xlfn.TEXTJOIN("", TRUE, D441:J441)</f>
        <v>02_Slots/Gottheit/Goetter-mit-Epitheta/0020_Amun/det/0001_Jmn_det_01.png</v>
      </c>
    </row>
    <row r="442" spans="1:12">
      <c r="A442" s="2" t="s">
        <v>60</v>
      </c>
      <c r="B442" s="46">
        <v>20</v>
      </c>
      <c r="C442" s="2" t="s">
        <v>107</v>
      </c>
      <c r="L442" s="2" t="s">
        <v>111</v>
      </c>
    </row>
    <row r="443" spans="1:12">
      <c r="A443" s="2" t="s">
        <v>60</v>
      </c>
      <c r="B443" s="46">
        <v>20</v>
      </c>
      <c r="C443" s="2" t="s">
        <v>108</v>
      </c>
      <c r="L443" s="2" t="s">
        <v>1105</v>
      </c>
    </row>
    <row r="445" spans="1:12">
      <c r="A445" s="2" t="s">
        <v>578</v>
      </c>
      <c r="B445" s="40">
        <v>1</v>
      </c>
      <c r="C445" s="2" t="s">
        <v>39</v>
      </c>
      <c r="L445" s="2" t="s">
        <v>172</v>
      </c>
    </row>
    <row r="446" spans="1:12">
      <c r="A446" s="2" t="s">
        <v>578</v>
      </c>
      <c r="B446" s="40">
        <v>1</v>
      </c>
      <c r="C446" s="2" t="s">
        <v>105</v>
      </c>
      <c r="E446" s="2" t="s">
        <v>1158</v>
      </c>
      <c r="F446" s="2" t="s">
        <v>124</v>
      </c>
      <c r="G446" s="2" t="s">
        <v>1326</v>
      </c>
      <c r="H446" s="2" t="s">
        <v>112</v>
      </c>
      <c r="L446" s="2" t="str">
        <f t="shared" ref="L446:L447" si="85">_xlfn.TEXTJOIN("", TRUE, D446:K446)</f>
        <v>02_Slots/Gottheit/Goetter-mit-Epitheta/0020_Amun/epitheta/01_m-jp.t/0010_m-jp.t_01.png</v>
      </c>
    </row>
    <row r="447" spans="1:12">
      <c r="A447" s="2" t="s">
        <v>578</v>
      </c>
      <c r="B447" s="40">
        <v>1</v>
      </c>
      <c r="C447" s="2" t="s">
        <v>105</v>
      </c>
      <c r="E447" s="2" t="s">
        <v>1158</v>
      </c>
      <c r="F447" s="2" t="s">
        <v>124</v>
      </c>
      <c r="G447" s="2" t="s">
        <v>1327</v>
      </c>
      <c r="H447" s="2" t="s">
        <v>112</v>
      </c>
      <c r="I447" s="2" t="s">
        <v>1132</v>
      </c>
      <c r="J447" s="2" t="s">
        <v>1141</v>
      </c>
      <c r="K447" s="2" t="s">
        <v>1134</v>
      </c>
      <c r="L447" s="2" t="str">
        <f t="shared" si="85"/>
        <v>02_Slots/Gottheit/Goetter-mit-Epitheta/0020_Amun/epitheta/01_m-jp.t/0020_m-jp.t_SP_01.png &lt;sup&gt;(Sp.)&lt;/sup&gt;</v>
      </c>
    </row>
    <row r="448" spans="1:12">
      <c r="A448" s="2" t="s">
        <v>578</v>
      </c>
      <c r="B448" s="40">
        <v>1</v>
      </c>
      <c r="C448" s="2" t="s">
        <v>27</v>
      </c>
      <c r="L448" s="2" t="s">
        <v>173</v>
      </c>
    </row>
    <row r="450" spans="1:12">
      <c r="A450" s="2" t="s">
        <v>60</v>
      </c>
      <c r="B450" s="46">
        <v>30</v>
      </c>
      <c r="C450" s="2" t="s">
        <v>39</v>
      </c>
      <c r="G450" s="2" t="s">
        <v>125</v>
      </c>
      <c r="L450" s="2" t="s">
        <v>174</v>
      </c>
    </row>
    <row r="451" spans="1:12">
      <c r="A451" s="2" t="s">
        <v>60</v>
      </c>
      <c r="B451" s="46">
        <v>30</v>
      </c>
      <c r="C451" s="2" t="s">
        <v>105</v>
      </c>
      <c r="E451" s="2" t="s">
        <v>1159</v>
      </c>
      <c r="G451" s="2" t="s">
        <v>125</v>
      </c>
      <c r="H451" s="2" t="s">
        <v>112</v>
      </c>
      <c r="L451" s="2" t="str">
        <f>_xlfn.TEXTJOIN("", TRUE, D451:J451)</f>
        <v>02_Slots/Gottheit/Goetter-mit-Epitheta/0030_Amun-Re/0001_Jmn-Ra_01.png</v>
      </c>
    </row>
    <row r="452" spans="1:12">
      <c r="A452" s="2" t="s">
        <v>60</v>
      </c>
      <c r="B452" s="46">
        <v>30</v>
      </c>
      <c r="C452" s="2" t="s">
        <v>106</v>
      </c>
    </row>
    <row r="453" spans="1:12">
      <c r="A453" s="2" t="s">
        <v>60</v>
      </c>
      <c r="B453" s="46">
        <v>30</v>
      </c>
      <c r="C453" s="2" t="s">
        <v>107</v>
      </c>
      <c r="L453" s="2" t="s">
        <v>126</v>
      </c>
    </row>
    <row r="454" spans="1:12">
      <c r="A454" s="2" t="s">
        <v>60</v>
      </c>
      <c r="B454" s="46">
        <v>30</v>
      </c>
      <c r="C454" s="2" t="s">
        <v>108</v>
      </c>
    </row>
    <row r="455" spans="1:12">
      <c r="B455" s="46"/>
    </row>
    <row r="456" spans="1:12">
      <c r="A456" s="2" t="s">
        <v>60</v>
      </c>
      <c r="B456" s="46">
        <v>40</v>
      </c>
      <c r="C456" s="2" t="s">
        <v>39</v>
      </c>
      <c r="L456" s="2" t="s">
        <v>1162</v>
      </c>
    </row>
    <row r="457" spans="1:12">
      <c r="A457" s="2" t="s">
        <v>60</v>
      </c>
      <c r="B457" s="46">
        <v>40</v>
      </c>
      <c r="C457" s="2" t="s">
        <v>105</v>
      </c>
      <c r="E457" s="2" t="s">
        <v>1160</v>
      </c>
      <c r="G457" s="2" t="s">
        <v>1161</v>
      </c>
      <c r="H457" s="2" t="s">
        <v>112</v>
      </c>
      <c r="L457" s="2" t="str">
        <f>_xlfn.TEXTJOIN("", TRUE, D457:J457)</f>
        <v>02_Slots/Gottheit/Goetter-mit-Epitheta/0040_Amun-Re-Harachte/0001_jmn-ra-Hr-Axtj_01.png</v>
      </c>
    </row>
    <row r="458" spans="1:12">
      <c r="A458" s="2" t="s">
        <v>60</v>
      </c>
      <c r="B458" s="46">
        <v>40</v>
      </c>
      <c r="C458" s="2" t="s">
        <v>106</v>
      </c>
    </row>
    <row r="459" spans="1:12">
      <c r="A459" s="2" t="s">
        <v>60</v>
      </c>
      <c r="B459" s="46">
        <v>40</v>
      </c>
      <c r="C459" s="2" t="s">
        <v>107</v>
      </c>
      <c r="L459" s="2" t="s">
        <v>127</v>
      </c>
    </row>
    <row r="460" spans="1:12">
      <c r="A460" s="2" t="s">
        <v>60</v>
      </c>
      <c r="B460" s="46">
        <v>40</v>
      </c>
      <c r="C460" s="2" t="s">
        <v>108</v>
      </c>
    </row>
    <row r="461" spans="1:12">
      <c r="B461" s="46"/>
    </row>
    <row r="462" spans="1:12">
      <c r="A462" s="2" t="s">
        <v>60</v>
      </c>
      <c r="B462" s="46">
        <v>50</v>
      </c>
      <c r="C462" s="2" t="s">
        <v>39</v>
      </c>
      <c r="L462" s="2" t="s">
        <v>556</v>
      </c>
    </row>
    <row r="463" spans="1:12">
      <c r="A463" s="2" t="s">
        <v>60</v>
      </c>
      <c r="B463" s="46">
        <v>50</v>
      </c>
      <c r="C463" s="2" t="s">
        <v>105</v>
      </c>
      <c r="E463" s="2" t="s">
        <v>1163</v>
      </c>
      <c r="G463" s="2" t="s">
        <v>557</v>
      </c>
      <c r="H463" s="2" t="s">
        <v>112</v>
      </c>
      <c r="L463" s="2" t="str">
        <f t="shared" ref="L463:L465" si="86">_xlfn.TEXTJOIN("", TRUE, D463:J463)</f>
        <v>02_Slots/Gottheit/Goetter-mit-Epitheta/0050_Amset/0001_jmstj_01.png</v>
      </c>
    </row>
    <row r="464" spans="1:12">
      <c r="A464" s="2" t="s">
        <v>60</v>
      </c>
      <c r="B464" s="46">
        <v>50</v>
      </c>
      <c r="C464" s="2" t="s">
        <v>105</v>
      </c>
      <c r="E464" s="2" t="s">
        <v>1163</v>
      </c>
      <c r="G464" s="2" t="s">
        <v>558</v>
      </c>
      <c r="H464" s="2" t="s">
        <v>112</v>
      </c>
      <c r="L464" s="2" t="str">
        <f t="shared" si="86"/>
        <v>02_Slots/Gottheit/Goetter-mit-Epitheta/0050_Amset/0010_jmstj_02.png</v>
      </c>
    </row>
    <row r="465" spans="1:12">
      <c r="A465" s="2" t="s">
        <v>60</v>
      </c>
      <c r="B465" s="46">
        <v>50</v>
      </c>
      <c r="C465" s="2" t="s">
        <v>105</v>
      </c>
      <c r="E465" s="2" t="s">
        <v>1163</v>
      </c>
      <c r="G465" s="2" t="s">
        <v>559</v>
      </c>
      <c r="H465" s="2" t="s">
        <v>112</v>
      </c>
      <c r="L465" s="2" t="str">
        <f t="shared" si="86"/>
        <v>02_Slots/Gottheit/Goetter-mit-Epitheta/0050_Amset/0020_jmstj_03.png</v>
      </c>
    </row>
    <row r="466" spans="1:12">
      <c r="A466" s="2" t="s">
        <v>60</v>
      </c>
      <c r="B466" s="46">
        <v>50</v>
      </c>
      <c r="C466" s="2" t="s">
        <v>105</v>
      </c>
      <c r="E466" s="2" t="s">
        <v>1163</v>
      </c>
      <c r="G466" s="2" t="s">
        <v>560</v>
      </c>
      <c r="H466" s="2" t="s">
        <v>112</v>
      </c>
      <c r="I466" s="2" t="s">
        <v>1132</v>
      </c>
      <c r="J466" s="2" t="s">
        <v>1133</v>
      </c>
      <c r="K466" s="2" t="s">
        <v>1134</v>
      </c>
      <c r="L466" s="2" t="str">
        <f t="shared" ref="L466:L469" si="87">_xlfn.TEXTJOIN("", TRUE, D466:K466)</f>
        <v>02_Slots/Gottheit/Goetter-mit-Epitheta/0050_Amset/0030_jmstj_AR_01.png &lt;sup&gt;(AR)&lt;/sup&gt;</v>
      </c>
    </row>
    <row r="467" spans="1:12">
      <c r="A467" s="2" t="s">
        <v>60</v>
      </c>
      <c r="B467" s="46">
        <v>50</v>
      </c>
      <c r="C467" s="2" t="s">
        <v>105</v>
      </c>
      <c r="E467" s="2" t="s">
        <v>1163</v>
      </c>
      <c r="G467" s="2" t="s">
        <v>561</v>
      </c>
      <c r="H467" s="2" t="s">
        <v>112</v>
      </c>
      <c r="I467" s="2" t="s">
        <v>1132</v>
      </c>
      <c r="J467" s="2" t="s">
        <v>1136</v>
      </c>
      <c r="K467" s="2" t="s">
        <v>1134</v>
      </c>
      <c r="L467" s="2" t="str">
        <f t="shared" si="87"/>
        <v>02_Slots/Gottheit/Goetter-mit-Epitheta/0050_Amset/0040_jmstj_MR_01.png &lt;sup&gt;(MR)&lt;/sup&gt;</v>
      </c>
    </row>
    <row r="468" spans="1:12">
      <c r="A468" s="2" t="s">
        <v>60</v>
      </c>
      <c r="B468" s="46">
        <v>50</v>
      </c>
      <c r="C468" s="2" t="s">
        <v>105</v>
      </c>
      <c r="E468" s="2" t="s">
        <v>1163</v>
      </c>
      <c r="G468" s="2" t="s">
        <v>562</v>
      </c>
      <c r="H468" s="2" t="s">
        <v>112</v>
      </c>
      <c r="I468" s="2" t="s">
        <v>1132</v>
      </c>
      <c r="J468" s="2" t="s">
        <v>1088</v>
      </c>
      <c r="K468" s="2" t="s">
        <v>1134</v>
      </c>
      <c r="L468" s="2" t="str">
        <f t="shared" si="87"/>
        <v>02_Slots/Gottheit/Goetter-mit-Epitheta/0050_Amset/0050_jmstj_NR_01.png &lt;sup&gt;(NR)&lt;/sup&gt;</v>
      </c>
    </row>
    <row r="469" spans="1:12">
      <c r="A469" s="2" t="s">
        <v>60</v>
      </c>
      <c r="B469" s="46">
        <v>50</v>
      </c>
      <c r="C469" s="2" t="s">
        <v>105</v>
      </c>
      <c r="E469" s="2" t="s">
        <v>1163</v>
      </c>
      <c r="G469" s="2" t="s">
        <v>563</v>
      </c>
      <c r="H469" s="2" t="s">
        <v>112</v>
      </c>
      <c r="I469" s="2" t="s">
        <v>1132</v>
      </c>
      <c r="J469" s="2" t="s">
        <v>1088</v>
      </c>
      <c r="K469" s="2" t="s">
        <v>1134</v>
      </c>
      <c r="L469" s="2" t="str">
        <f t="shared" si="87"/>
        <v>02_Slots/Gottheit/Goetter-mit-Epitheta/0050_Amset/0060_jmstj_NR_02.png &lt;sup&gt;(NR)&lt;/sup&gt;</v>
      </c>
    </row>
    <row r="470" spans="1:12">
      <c r="A470" s="2" t="s">
        <v>60</v>
      </c>
      <c r="B470" s="46">
        <v>50</v>
      </c>
      <c r="C470" s="2" t="s">
        <v>106</v>
      </c>
    </row>
    <row r="471" spans="1:12">
      <c r="A471" s="2" t="s">
        <v>60</v>
      </c>
      <c r="B471" s="46">
        <v>50</v>
      </c>
      <c r="C471" s="2" t="s">
        <v>107</v>
      </c>
      <c r="L471" s="2" t="s">
        <v>128</v>
      </c>
    </row>
    <row r="472" spans="1:12">
      <c r="A472" s="2" t="s">
        <v>60</v>
      </c>
      <c r="B472" s="46">
        <v>50</v>
      </c>
      <c r="C472" s="2" t="s">
        <v>108</v>
      </c>
    </row>
    <row r="473" spans="1:12">
      <c r="B473" s="46"/>
    </row>
    <row r="474" spans="1:12">
      <c r="B474" s="46"/>
    </row>
    <row r="475" spans="1:12">
      <c r="B475" s="46"/>
    </row>
    <row r="476" spans="1:12">
      <c r="A476" s="2" t="s">
        <v>60</v>
      </c>
      <c r="B476" s="46">
        <v>60</v>
      </c>
      <c r="C476" s="2" t="s">
        <v>39</v>
      </c>
      <c r="L476" s="2" t="s">
        <v>564</v>
      </c>
    </row>
    <row r="477" spans="1:12">
      <c r="A477" s="2" t="s">
        <v>60</v>
      </c>
      <c r="B477" s="46">
        <v>60</v>
      </c>
      <c r="C477" s="2" t="s">
        <v>105</v>
      </c>
      <c r="E477" s="2" t="s">
        <v>1164</v>
      </c>
      <c r="G477" s="2" t="s">
        <v>565</v>
      </c>
      <c r="H477" s="2" t="s">
        <v>112</v>
      </c>
      <c r="L477" s="2" t="str">
        <f t="shared" ref="L477:L481" si="88">_xlfn.TEXTJOIN("", TRUE, D477:J477)</f>
        <v>02_Slots/Gottheit/Goetter-mit-Epitheta/0060_Onuris/0001_jnj-Hr.t_01.png</v>
      </c>
    </row>
    <row r="478" spans="1:12">
      <c r="A478" s="2" t="s">
        <v>60</v>
      </c>
      <c r="B478" s="46">
        <v>60</v>
      </c>
      <c r="C478" s="2" t="s">
        <v>105</v>
      </c>
      <c r="E478" s="2" t="s">
        <v>1164</v>
      </c>
      <c r="G478" s="2" t="s">
        <v>566</v>
      </c>
      <c r="H478" s="2" t="s">
        <v>112</v>
      </c>
      <c r="L478" s="2" t="str">
        <f t="shared" si="88"/>
        <v>02_Slots/Gottheit/Goetter-mit-Epitheta/0060_Onuris/0010_jnj-Hr.t_02.png</v>
      </c>
    </row>
    <row r="479" spans="1:12">
      <c r="A479" s="2" t="s">
        <v>60</v>
      </c>
      <c r="B479" s="46">
        <v>60</v>
      </c>
      <c r="C479" s="2" t="s">
        <v>105</v>
      </c>
      <c r="E479" s="2" t="s">
        <v>1164</v>
      </c>
      <c r="G479" s="2" t="s">
        <v>567</v>
      </c>
      <c r="H479" s="2" t="s">
        <v>112</v>
      </c>
      <c r="L479" s="2" t="str">
        <f t="shared" si="88"/>
        <v>02_Slots/Gottheit/Goetter-mit-Epitheta/0060_Onuris/0020_jnj-Hr.t_03.png</v>
      </c>
    </row>
    <row r="480" spans="1:12">
      <c r="A480" s="2" t="s">
        <v>60</v>
      </c>
      <c r="B480" s="46">
        <v>60</v>
      </c>
      <c r="C480" s="2" t="s">
        <v>105</v>
      </c>
      <c r="E480" s="2" t="s">
        <v>1164</v>
      </c>
      <c r="G480" s="2" t="s">
        <v>568</v>
      </c>
      <c r="H480" s="2" t="s">
        <v>112</v>
      </c>
      <c r="L480" s="2" t="str">
        <f t="shared" si="88"/>
        <v>02_Slots/Gottheit/Goetter-mit-Epitheta/0060_Onuris/0030_jnj-Hr.t_04.png</v>
      </c>
    </row>
    <row r="481" spans="1:12">
      <c r="A481" s="2" t="s">
        <v>60</v>
      </c>
      <c r="B481" s="46">
        <v>60</v>
      </c>
      <c r="C481" s="2" t="s">
        <v>105</v>
      </c>
      <c r="E481" s="2" t="s">
        <v>1164</v>
      </c>
      <c r="G481" s="2" t="s">
        <v>569</v>
      </c>
      <c r="H481" s="2" t="s">
        <v>112</v>
      </c>
      <c r="L481" s="2" t="str">
        <f t="shared" si="88"/>
        <v>02_Slots/Gottheit/Goetter-mit-Epitheta/0060_Onuris/0040_jnj-Hr.t_05.png</v>
      </c>
    </row>
    <row r="482" spans="1:12">
      <c r="A482" s="2" t="s">
        <v>60</v>
      </c>
      <c r="B482" s="46">
        <v>60</v>
      </c>
      <c r="C482" s="2" t="s">
        <v>105</v>
      </c>
      <c r="E482" s="2" t="s">
        <v>1164</v>
      </c>
      <c r="G482" s="2" t="s">
        <v>570</v>
      </c>
      <c r="H482" s="2" t="s">
        <v>112</v>
      </c>
      <c r="I482" s="2" t="s">
        <v>1132</v>
      </c>
      <c r="J482" s="2" t="s">
        <v>1088</v>
      </c>
      <c r="K482" s="2" t="s">
        <v>1134</v>
      </c>
      <c r="L482" s="2" t="str">
        <f>_xlfn.TEXTJOIN("", TRUE, D482:K482)</f>
        <v>02_Slots/Gottheit/Goetter-mit-Epitheta/0060_Onuris/0050_jnj-Hr.t_NR_01.png &lt;sup&gt;(NR)&lt;/sup&gt;</v>
      </c>
    </row>
    <row r="483" spans="1:12">
      <c r="A483" s="2" t="s">
        <v>60</v>
      </c>
      <c r="B483" s="46">
        <v>60</v>
      </c>
      <c r="C483" s="2" t="s">
        <v>106</v>
      </c>
    </row>
    <row r="484" spans="1:12">
      <c r="A484" s="2" t="s">
        <v>60</v>
      </c>
      <c r="B484" s="46">
        <v>60</v>
      </c>
      <c r="C484" s="2" t="s">
        <v>107</v>
      </c>
      <c r="L484" s="2" t="s">
        <v>129</v>
      </c>
    </row>
    <row r="485" spans="1:12">
      <c r="A485" s="2" t="s">
        <v>60</v>
      </c>
      <c r="B485" s="46">
        <v>60</v>
      </c>
      <c r="C485" s="2" t="s">
        <v>108</v>
      </c>
    </row>
    <row r="486" spans="1:12">
      <c r="B486" s="46"/>
    </row>
    <row r="487" spans="1:12">
      <c r="B487" s="46"/>
    </row>
    <row r="488" spans="1:12">
      <c r="A488" s="2" t="s">
        <v>60</v>
      </c>
      <c r="B488" s="46">
        <v>70</v>
      </c>
      <c r="C488" s="2" t="s">
        <v>39</v>
      </c>
      <c r="L488" s="2" t="s">
        <v>571</v>
      </c>
    </row>
    <row r="489" spans="1:12">
      <c r="A489" s="2" t="s">
        <v>60</v>
      </c>
      <c r="B489" s="46">
        <v>70</v>
      </c>
      <c r="C489" s="2" t="s">
        <v>105</v>
      </c>
      <c r="E489" s="2" t="s">
        <v>1165</v>
      </c>
      <c r="G489" s="2" t="s">
        <v>572</v>
      </c>
      <c r="H489" s="2" t="s">
        <v>112</v>
      </c>
      <c r="L489" s="2" t="str">
        <f t="shared" ref="L489:L494" si="89">_xlfn.TEXTJOIN("", TRUE, D489:J489)</f>
        <v>02_Slots/Gottheit/Goetter-mit-Epitheta/0070_Anubis/0001_Jnpw_01.png</v>
      </c>
    </row>
    <row r="490" spans="1:12">
      <c r="A490" s="2" t="s">
        <v>60</v>
      </c>
      <c r="B490" s="46">
        <v>70</v>
      </c>
      <c r="C490" s="2" t="s">
        <v>105</v>
      </c>
      <c r="E490" s="2" t="s">
        <v>1165</v>
      </c>
      <c r="G490" s="2" t="s">
        <v>573</v>
      </c>
      <c r="H490" s="2" t="s">
        <v>112</v>
      </c>
      <c r="L490" s="2" t="str">
        <f t="shared" si="89"/>
        <v>02_Slots/Gottheit/Goetter-mit-Epitheta/0070_Anubis/0010_Jnpw_02.png</v>
      </c>
    </row>
    <row r="491" spans="1:12">
      <c r="A491" s="2" t="s">
        <v>60</v>
      </c>
      <c r="B491" s="46">
        <v>70</v>
      </c>
      <c r="C491" s="2" t="s">
        <v>105</v>
      </c>
      <c r="E491" s="2" t="s">
        <v>1165</v>
      </c>
      <c r="G491" s="2" t="s">
        <v>574</v>
      </c>
      <c r="H491" s="2" t="s">
        <v>112</v>
      </c>
      <c r="L491" s="2" t="str">
        <f t="shared" si="89"/>
        <v>02_Slots/Gottheit/Goetter-mit-Epitheta/0070_Anubis/0020_Jnpw_03.png</v>
      </c>
    </row>
    <row r="492" spans="1:12">
      <c r="A492" s="2" t="s">
        <v>60</v>
      </c>
      <c r="B492" s="46">
        <v>70</v>
      </c>
      <c r="C492" s="2" t="s">
        <v>105</v>
      </c>
      <c r="E492" s="2" t="s">
        <v>1165</v>
      </c>
      <c r="G492" s="2" t="s">
        <v>575</v>
      </c>
      <c r="H492" s="2" t="s">
        <v>112</v>
      </c>
      <c r="L492" s="2" t="str">
        <f t="shared" si="89"/>
        <v>02_Slots/Gottheit/Goetter-mit-Epitheta/0070_Anubis/0030_Jnpw_04.png</v>
      </c>
    </row>
    <row r="493" spans="1:12">
      <c r="A493" s="2" t="s">
        <v>60</v>
      </c>
      <c r="B493" s="46">
        <v>70</v>
      </c>
      <c r="C493" s="2" t="s">
        <v>105</v>
      </c>
      <c r="E493" s="2" t="s">
        <v>1165</v>
      </c>
      <c r="G493" s="2" t="s">
        <v>576</v>
      </c>
      <c r="H493" s="2" t="s">
        <v>112</v>
      </c>
      <c r="I493" s="2" t="s">
        <v>1132</v>
      </c>
      <c r="J493" s="2" t="s">
        <v>1124</v>
      </c>
      <c r="K493" s="2" t="s">
        <v>1134</v>
      </c>
      <c r="L493" s="2" t="str">
        <f>_xlfn.TEXTJOIN("", TRUE, D493:K493)</f>
        <v>02_Slots/Gottheit/Goetter-mit-Epitheta/0070_Anubis/0040_Jnpw_sp_01.png &lt;sup&gt;(Spät.)&lt;/sup&gt;</v>
      </c>
    </row>
    <row r="494" spans="1:12">
      <c r="A494" s="2" t="s">
        <v>60</v>
      </c>
      <c r="B494" s="46">
        <v>70</v>
      </c>
      <c r="C494" s="2" t="s">
        <v>106</v>
      </c>
      <c r="E494" s="2" t="s">
        <v>1165</v>
      </c>
      <c r="F494" s="2" t="s">
        <v>110</v>
      </c>
      <c r="G494" s="2" t="s">
        <v>577</v>
      </c>
      <c r="H494" s="2" t="s">
        <v>112</v>
      </c>
      <c r="L494" s="2" t="str">
        <f t="shared" si="89"/>
        <v>02_Slots/Gottheit/Goetter-mit-Epitheta/0070_Anubis/det/0001_Jnpw_det_01.png</v>
      </c>
    </row>
    <row r="495" spans="1:12">
      <c r="A495" s="2" t="s">
        <v>60</v>
      </c>
      <c r="B495" s="46">
        <v>70</v>
      </c>
      <c r="C495" s="2" t="s">
        <v>107</v>
      </c>
      <c r="L495" s="2" t="s">
        <v>130</v>
      </c>
    </row>
    <row r="496" spans="1:12">
      <c r="A496" s="2" t="s">
        <v>60</v>
      </c>
      <c r="B496" s="46">
        <v>70</v>
      </c>
      <c r="C496" s="2" t="s">
        <v>108</v>
      </c>
      <c r="L496" s="2" t="s">
        <v>1106</v>
      </c>
    </row>
    <row r="498" spans="1:12">
      <c r="A498" s="2" t="s">
        <v>579</v>
      </c>
      <c r="B498" s="40">
        <v>1</v>
      </c>
      <c r="C498" s="2" t="s">
        <v>39</v>
      </c>
      <c r="L498" s="2" t="s">
        <v>586</v>
      </c>
    </row>
    <row r="499" spans="1:12">
      <c r="A499" s="2" t="s">
        <v>579</v>
      </c>
      <c r="B499" s="40">
        <v>1</v>
      </c>
      <c r="C499" s="2" t="s">
        <v>105</v>
      </c>
      <c r="E499" s="2" t="s">
        <v>1165</v>
      </c>
      <c r="F499" s="2" t="s">
        <v>580</v>
      </c>
      <c r="G499" s="2" t="s">
        <v>581</v>
      </c>
      <c r="H499" s="2" t="s">
        <v>112</v>
      </c>
      <c r="L499" s="2" t="str">
        <f>_xlfn.TEXTJOIN("", TRUE, D499:J499)</f>
        <v>02_Slots/Gottheit/Goetter-mit-Epitheta/0070_Anubis/epitheta/01_jmj-wt/0001_jmj-wt_01.png</v>
      </c>
    </row>
    <row r="500" spans="1:12">
      <c r="A500" s="2" t="s">
        <v>579</v>
      </c>
      <c r="B500" s="40">
        <v>1</v>
      </c>
      <c r="C500" s="2" t="s">
        <v>105</v>
      </c>
      <c r="E500" s="2" t="s">
        <v>1165</v>
      </c>
      <c r="F500" s="2" t="s">
        <v>580</v>
      </c>
      <c r="G500" s="2" t="s">
        <v>582</v>
      </c>
      <c r="H500" s="2" t="s">
        <v>112</v>
      </c>
      <c r="L500" s="2" t="str">
        <f>_xlfn.TEXTJOIN("", TRUE, D500:J500)</f>
        <v>02_Slots/Gottheit/Goetter-mit-Epitheta/0070_Anubis/epitheta/01_jmj-wt/0010_jmj-wt_02.png</v>
      </c>
    </row>
    <row r="501" spans="1:12">
      <c r="A501" s="2" t="s">
        <v>579</v>
      </c>
      <c r="B501" s="40">
        <v>1</v>
      </c>
      <c r="C501" s="2" t="s">
        <v>105</v>
      </c>
      <c r="E501" s="2" t="s">
        <v>1165</v>
      </c>
      <c r="F501" s="2" t="s">
        <v>580</v>
      </c>
      <c r="G501" s="2" t="s">
        <v>583</v>
      </c>
      <c r="H501" s="2" t="s">
        <v>112</v>
      </c>
      <c r="I501" s="2" t="s">
        <v>1132</v>
      </c>
      <c r="J501" s="2" t="s">
        <v>1133</v>
      </c>
      <c r="K501" s="2" t="s">
        <v>1134</v>
      </c>
      <c r="L501" s="2" t="str">
        <f t="shared" ref="L501:L502" si="90">_xlfn.TEXTJOIN("", TRUE, D501:K501)</f>
        <v>02_Slots/Gottheit/Goetter-mit-Epitheta/0070_Anubis/epitheta/01_jmj-wt/0020_jmj-wt_AR_01.png &lt;sup&gt;(AR)&lt;/sup&gt;</v>
      </c>
    </row>
    <row r="502" spans="1:12">
      <c r="A502" s="2" t="s">
        <v>579</v>
      </c>
      <c r="B502" s="40">
        <v>1</v>
      </c>
      <c r="C502" s="2" t="s">
        <v>105</v>
      </c>
      <c r="E502" s="2" t="s">
        <v>1165</v>
      </c>
      <c r="F502" s="2" t="s">
        <v>580</v>
      </c>
      <c r="G502" s="2" t="s">
        <v>584</v>
      </c>
      <c r="H502" s="2" t="s">
        <v>112</v>
      </c>
      <c r="I502" s="2" t="s">
        <v>1132</v>
      </c>
      <c r="J502" s="2" t="s">
        <v>1133</v>
      </c>
      <c r="K502" s="2" t="s">
        <v>1134</v>
      </c>
      <c r="L502" s="2" t="str">
        <f t="shared" si="90"/>
        <v>02_Slots/Gottheit/Goetter-mit-Epitheta/0070_Anubis/epitheta/01_jmj-wt/0030_jmj-wt_AR_02.png &lt;sup&gt;(AR)&lt;/sup&gt;</v>
      </c>
    </row>
    <row r="503" spans="1:12">
      <c r="A503" s="2" t="s">
        <v>579</v>
      </c>
      <c r="B503" s="40">
        <v>1</v>
      </c>
      <c r="C503" s="2" t="s">
        <v>27</v>
      </c>
      <c r="L503" s="2" t="s">
        <v>585</v>
      </c>
    </row>
    <row r="505" spans="1:12">
      <c r="A505" s="2" t="s">
        <v>579</v>
      </c>
      <c r="B505" s="40">
        <v>2</v>
      </c>
      <c r="C505" s="2" t="s">
        <v>39</v>
      </c>
      <c r="L505" s="2" t="s">
        <v>589</v>
      </c>
    </row>
    <row r="506" spans="1:12">
      <c r="A506" s="2" t="s">
        <v>579</v>
      </c>
      <c r="B506" s="40">
        <v>2</v>
      </c>
      <c r="C506" s="2" t="s">
        <v>105</v>
      </c>
      <c r="E506" s="2" t="s">
        <v>1165</v>
      </c>
      <c r="F506" s="2" t="s">
        <v>587</v>
      </c>
      <c r="G506" s="2" t="s">
        <v>588</v>
      </c>
      <c r="H506" s="2" t="s">
        <v>112</v>
      </c>
      <c r="L506" s="2" t="str">
        <f>_xlfn.TEXTJOIN("", TRUE, D506:J506)</f>
        <v>02_Slots/Gottheit/Goetter-mit-Epitheta/0070_Anubis/epitheta/02_nb-tA-Dsr/0001_nb-tA-Dsr_01.png</v>
      </c>
    </row>
    <row r="507" spans="1:12">
      <c r="A507" s="2" t="s">
        <v>579</v>
      </c>
      <c r="B507" s="40">
        <v>2</v>
      </c>
      <c r="C507" s="2" t="s">
        <v>27</v>
      </c>
      <c r="L507" s="2" t="s">
        <v>590</v>
      </c>
    </row>
    <row r="509" spans="1:12">
      <c r="A509" s="2" t="s">
        <v>579</v>
      </c>
      <c r="B509" s="40">
        <v>3</v>
      </c>
      <c r="C509" s="2" t="s">
        <v>39</v>
      </c>
      <c r="L509" s="2" t="s">
        <v>591</v>
      </c>
    </row>
    <row r="510" spans="1:12">
      <c r="A510" s="2" t="s">
        <v>579</v>
      </c>
      <c r="B510" s="40">
        <v>3</v>
      </c>
      <c r="C510" s="2" t="s">
        <v>105</v>
      </c>
      <c r="E510" s="2" t="s">
        <v>1165</v>
      </c>
      <c r="F510" s="2" t="s">
        <v>593</v>
      </c>
      <c r="G510" s="2" t="s">
        <v>594</v>
      </c>
      <c r="H510" s="2" t="s">
        <v>112</v>
      </c>
      <c r="L510" s="2" t="str">
        <f>_xlfn.TEXTJOIN("", TRUE, D510:J510)</f>
        <v>02_Slots/Gottheit/Goetter-mit-Epitheta/0070_Anubis/epitheta/03_tp.j-Dw=f/0001_tp.j-Dw=f_01.png</v>
      </c>
    </row>
    <row r="511" spans="1:12">
      <c r="A511" s="2" t="s">
        <v>579</v>
      </c>
      <c r="B511" s="40">
        <v>3</v>
      </c>
      <c r="C511" s="2" t="s">
        <v>105</v>
      </c>
      <c r="E511" s="2" t="s">
        <v>1165</v>
      </c>
      <c r="F511" s="2" t="s">
        <v>593</v>
      </c>
      <c r="G511" s="2" t="s">
        <v>595</v>
      </c>
      <c r="H511" s="2" t="s">
        <v>112</v>
      </c>
      <c r="L511" s="2" t="str">
        <f>_xlfn.TEXTJOIN("", TRUE, D511:J511)</f>
        <v>02_Slots/Gottheit/Goetter-mit-Epitheta/0070_Anubis/epitheta/03_tp.j-Dw=f/0010_tp.j-Dw=f_02.png</v>
      </c>
    </row>
    <row r="512" spans="1:12">
      <c r="A512" s="2" t="s">
        <v>579</v>
      </c>
      <c r="B512" s="40">
        <v>3</v>
      </c>
      <c r="C512" s="2" t="s">
        <v>105</v>
      </c>
      <c r="E512" s="2" t="s">
        <v>1165</v>
      </c>
      <c r="F512" s="2" t="s">
        <v>593</v>
      </c>
      <c r="G512" s="2" t="s">
        <v>596</v>
      </c>
      <c r="H512" s="2" t="s">
        <v>112</v>
      </c>
      <c r="L512" s="2" t="str">
        <f>_xlfn.TEXTJOIN("", TRUE, D512:J512)</f>
        <v>02_Slots/Gottheit/Goetter-mit-Epitheta/0070_Anubis/epitheta/03_tp.j-Dw=f/0020_tp.j.Dw=f_03.png</v>
      </c>
    </row>
    <row r="513" spans="1:12">
      <c r="A513" s="2" t="s">
        <v>579</v>
      </c>
      <c r="B513" s="40">
        <v>3</v>
      </c>
      <c r="C513" s="2" t="s">
        <v>105</v>
      </c>
      <c r="E513" s="2" t="s">
        <v>1165</v>
      </c>
      <c r="F513" s="2" t="s">
        <v>593</v>
      </c>
      <c r="G513" s="2" t="s">
        <v>597</v>
      </c>
      <c r="H513" s="2" t="s">
        <v>112</v>
      </c>
      <c r="I513" s="2" t="s">
        <v>1132</v>
      </c>
      <c r="J513" s="2" t="s">
        <v>1088</v>
      </c>
      <c r="K513" s="2" t="s">
        <v>1134</v>
      </c>
      <c r="L513" s="2" t="str">
        <f>_xlfn.TEXTJOIN("", TRUE, D513:K513)</f>
        <v>02_Slots/Gottheit/Goetter-mit-Epitheta/0070_Anubis/epitheta/03_tp.j-Dw=f/0030_tp.j-Dw=f_NR_01.png &lt;sup&gt;(NR)&lt;/sup&gt;</v>
      </c>
    </row>
    <row r="514" spans="1:12">
      <c r="A514" s="2" t="s">
        <v>579</v>
      </c>
      <c r="B514" s="40">
        <v>3</v>
      </c>
      <c r="C514" s="2" t="s">
        <v>27</v>
      </c>
      <c r="L514" s="2" t="s">
        <v>592</v>
      </c>
    </row>
    <row r="516" spans="1:12">
      <c r="A516" s="2" t="s">
        <v>579</v>
      </c>
      <c r="B516" s="40">
        <v>4</v>
      </c>
      <c r="C516" s="2" t="s">
        <v>39</v>
      </c>
      <c r="L516" s="2" t="s">
        <v>598</v>
      </c>
    </row>
    <row r="517" spans="1:12">
      <c r="A517" s="2" t="s">
        <v>579</v>
      </c>
      <c r="B517" s="40">
        <v>4</v>
      </c>
      <c r="C517" s="2" t="s">
        <v>105</v>
      </c>
      <c r="E517" s="2" t="s">
        <v>1165</v>
      </c>
      <c r="F517" s="2" t="s">
        <v>600</v>
      </c>
      <c r="G517" s="2" t="s">
        <v>601</v>
      </c>
      <c r="H517" s="2" t="s">
        <v>112</v>
      </c>
      <c r="I517" s="2" t="s">
        <v>1132</v>
      </c>
      <c r="J517" s="2" t="s">
        <v>1133</v>
      </c>
      <c r="K517" s="2" t="s">
        <v>1134</v>
      </c>
      <c r="L517" s="2" t="str">
        <f t="shared" ref="L517:L525" si="91">_xlfn.TEXTJOIN("", TRUE, D517:K517)</f>
        <v>02_Slots/Gottheit/Goetter-mit-Epitheta/0070_Anubis/epitheta/04_xnt.j-sH-nTr/0001_xnt.j-sH-nTr_AR_01.png &lt;sup&gt;(AR)&lt;/sup&gt;</v>
      </c>
    </row>
    <row r="518" spans="1:12">
      <c r="A518" s="2" t="s">
        <v>579</v>
      </c>
      <c r="B518" s="40">
        <v>4</v>
      </c>
      <c r="C518" s="2" t="s">
        <v>105</v>
      </c>
      <c r="E518" s="2" t="s">
        <v>1165</v>
      </c>
      <c r="F518" s="2" t="s">
        <v>600</v>
      </c>
      <c r="G518" s="2" t="s">
        <v>602</v>
      </c>
      <c r="H518" s="2" t="s">
        <v>112</v>
      </c>
      <c r="I518" s="2" t="s">
        <v>1132</v>
      </c>
      <c r="J518" s="2" t="s">
        <v>1133</v>
      </c>
      <c r="K518" s="2" t="s">
        <v>1134</v>
      </c>
      <c r="L518" s="2" t="str">
        <f t="shared" si="91"/>
        <v>02_Slots/Gottheit/Goetter-mit-Epitheta/0070_Anubis/epitheta/04_xnt.j-sH-nTr/0010_xnt.j-sH-nTr_AR_02.png &lt;sup&gt;(AR)&lt;/sup&gt;</v>
      </c>
    </row>
    <row r="519" spans="1:12">
      <c r="A519" s="2" t="s">
        <v>579</v>
      </c>
      <c r="B519" s="40">
        <v>4</v>
      </c>
      <c r="C519" s="2" t="s">
        <v>105</v>
      </c>
      <c r="E519" s="2" t="s">
        <v>1165</v>
      </c>
      <c r="F519" s="2" t="s">
        <v>600</v>
      </c>
      <c r="G519" s="2" t="s">
        <v>603</v>
      </c>
      <c r="H519" s="2" t="s">
        <v>112</v>
      </c>
      <c r="I519" s="2" t="s">
        <v>1132</v>
      </c>
      <c r="J519" s="2" t="s">
        <v>1133</v>
      </c>
      <c r="K519" s="2" t="s">
        <v>1134</v>
      </c>
      <c r="L519" s="2" t="str">
        <f t="shared" si="91"/>
        <v>02_Slots/Gottheit/Goetter-mit-Epitheta/0070_Anubis/epitheta/04_xnt.j-sH-nTr/0020_xnt.j-sH-nTr_AR_03.png &lt;sup&gt;(AR)&lt;/sup&gt;</v>
      </c>
    </row>
    <row r="520" spans="1:12">
      <c r="A520" s="2" t="s">
        <v>579</v>
      </c>
      <c r="B520" s="40">
        <v>4</v>
      </c>
      <c r="C520" s="2" t="s">
        <v>105</v>
      </c>
      <c r="E520" s="2" t="s">
        <v>1165</v>
      </c>
      <c r="F520" s="2" t="s">
        <v>600</v>
      </c>
      <c r="G520" s="2" t="s">
        <v>604</v>
      </c>
      <c r="H520" s="2" t="s">
        <v>112</v>
      </c>
      <c r="I520" s="2" t="s">
        <v>1132</v>
      </c>
      <c r="J520" s="2" t="s">
        <v>1136</v>
      </c>
      <c r="K520" s="2" t="s">
        <v>1134</v>
      </c>
      <c r="L520" s="2" t="str">
        <f t="shared" si="91"/>
        <v>02_Slots/Gottheit/Goetter-mit-Epitheta/0070_Anubis/epitheta/04_xnt.j-sH-nTr/0030_xnt.j-sH-nTr_MR_01.png &lt;sup&gt;(MR)&lt;/sup&gt;</v>
      </c>
    </row>
    <row r="521" spans="1:12">
      <c r="A521" s="2" t="s">
        <v>579</v>
      </c>
      <c r="B521" s="40">
        <v>4</v>
      </c>
      <c r="C521" s="2" t="s">
        <v>105</v>
      </c>
      <c r="E521" s="2" t="s">
        <v>1165</v>
      </c>
      <c r="F521" s="2" t="s">
        <v>600</v>
      </c>
      <c r="G521" s="2" t="s">
        <v>605</v>
      </c>
      <c r="H521" s="2" t="s">
        <v>112</v>
      </c>
      <c r="I521" s="2" t="s">
        <v>1132</v>
      </c>
      <c r="J521" s="2" t="s">
        <v>1136</v>
      </c>
      <c r="K521" s="2" t="s">
        <v>1134</v>
      </c>
      <c r="L521" s="2" t="str">
        <f t="shared" si="91"/>
        <v>02_Slots/Gottheit/Goetter-mit-Epitheta/0070_Anubis/epitheta/04_xnt.j-sH-nTr/0040_xnt.j-sH-nTr_MR_02.png &lt;sup&gt;(MR)&lt;/sup&gt;</v>
      </c>
    </row>
    <row r="522" spans="1:12">
      <c r="A522" s="2" t="s">
        <v>579</v>
      </c>
      <c r="B522" s="40">
        <v>4</v>
      </c>
      <c r="C522" s="2" t="s">
        <v>105</v>
      </c>
      <c r="E522" s="2" t="s">
        <v>1165</v>
      </c>
      <c r="F522" s="2" t="s">
        <v>600</v>
      </c>
      <c r="G522" s="2" t="s">
        <v>606</v>
      </c>
      <c r="H522" s="2" t="s">
        <v>112</v>
      </c>
      <c r="I522" s="2" t="s">
        <v>1132</v>
      </c>
      <c r="J522" s="2" t="s">
        <v>1140</v>
      </c>
      <c r="K522" s="2" t="s">
        <v>1134</v>
      </c>
      <c r="L522" s="2" t="str">
        <f t="shared" si="91"/>
        <v>02_Slots/Gottheit/Goetter-mit-Epitheta/0070_Anubis/epitheta/04_xnt.j-sH-nTr/0050_xnt.j-sH-nTr_D.18_01.png &lt;sup&gt;(D.18)&lt;/sup&gt;</v>
      </c>
    </row>
    <row r="523" spans="1:12">
      <c r="A523" s="2" t="s">
        <v>579</v>
      </c>
      <c r="B523" s="40">
        <v>4</v>
      </c>
      <c r="C523" s="2" t="s">
        <v>105</v>
      </c>
      <c r="E523" s="2" t="s">
        <v>1165</v>
      </c>
      <c r="F523" s="2" t="s">
        <v>600</v>
      </c>
      <c r="G523" s="2" t="s">
        <v>607</v>
      </c>
      <c r="H523" s="2" t="s">
        <v>112</v>
      </c>
      <c r="I523" s="2" t="s">
        <v>1132</v>
      </c>
      <c r="J523" s="2" t="s">
        <v>1135</v>
      </c>
      <c r="K523" s="2" t="s">
        <v>1134</v>
      </c>
      <c r="L523" s="2" t="str">
        <f t="shared" si="91"/>
        <v>02_Slots/Gottheit/Goetter-mit-Epitheta/0070_Anubis/epitheta/04_xnt.j-sH-nTr/0060_xnt.j-sH-nTr_GR_01.png &lt;sup&gt;(Gr.)&lt;/sup&gt;</v>
      </c>
    </row>
    <row r="524" spans="1:12">
      <c r="A524" s="2" t="s">
        <v>579</v>
      </c>
      <c r="B524" s="40">
        <v>4</v>
      </c>
      <c r="C524" s="2" t="s">
        <v>105</v>
      </c>
      <c r="E524" s="2" t="s">
        <v>1165</v>
      </c>
      <c r="F524" s="2" t="s">
        <v>600</v>
      </c>
      <c r="G524" s="2" t="s">
        <v>608</v>
      </c>
      <c r="H524" s="2" t="s">
        <v>112</v>
      </c>
      <c r="I524" s="2" t="s">
        <v>1132</v>
      </c>
      <c r="J524" s="2" t="s">
        <v>1135</v>
      </c>
      <c r="K524" s="2" t="s">
        <v>1134</v>
      </c>
      <c r="L524" s="2" t="str">
        <f t="shared" si="91"/>
        <v>02_Slots/Gottheit/Goetter-mit-Epitheta/0070_Anubis/epitheta/04_xnt.j-sH-nTr/0070_xnt.j-sH-nTr_GR_02.png &lt;sup&gt;(Gr.)&lt;/sup&gt;</v>
      </c>
    </row>
    <row r="525" spans="1:12">
      <c r="A525" s="2" t="s">
        <v>579</v>
      </c>
      <c r="B525" s="40">
        <v>4</v>
      </c>
      <c r="C525" s="2" t="s">
        <v>105</v>
      </c>
      <c r="E525" s="2" t="s">
        <v>1165</v>
      </c>
      <c r="F525" s="2" t="s">
        <v>600</v>
      </c>
      <c r="G525" s="2" t="s">
        <v>609</v>
      </c>
      <c r="H525" s="2" t="s">
        <v>112</v>
      </c>
      <c r="I525" s="2" t="s">
        <v>1132</v>
      </c>
      <c r="J525" s="2" t="s">
        <v>1135</v>
      </c>
      <c r="K525" s="2" t="s">
        <v>1134</v>
      </c>
      <c r="L525" s="2" t="str">
        <f t="shared" si="91"/>
        <v>02_Slots/Gottheit/Goetter-mit-Epitheta/0070_Anubis/epitheta/04_xnt.j-sH-nTr/0080_xnt.j-sH-nTr_GR_03.png &lt;sup&gt;(Gr.)&lt;/sup&gt;</v>
      </c>
    </row>
    <row r="526" spans="1:12">
      <c r="A526" s="2" t="s">
        <v>579</v>
      </c>
      <c r="B526" s="40">
        <v>4</v>
      </c>
      <c r="C526" s="2" t="s">
        <v>27</v>
      </c>
      <c r="L526" s="2" t="s">
        <v>599</v>
      </c>
    </row>
    <row r="532" spans="1:12">
      <c r="A532" s="2" t="s">
        <v>60</v>
      </c>
      <c r="B532" s="46">
        <v>80</v>
      </c>
      <c r="C532" s="2" t="s">
        <v>39</v>
      </c>
      <c r="L532" s="2" t="s">
        <v>610</v>
      </c>
    </row>
    <row r="533" spans="1:12">
      <c r="A533" s="2" t="s">
        <v>60</v>
      </c>
      <c r="B533" s="46">
        <v>80</v>
      </c>
      <c r="C533" s="2" t="s">
        <v>105</v>
      </c>
      <c r="E533" s="2" t="s">
        <v>1166</v>
      </c>
      <c r="G533" s="2" t="s">
        <v>611</v>
      </c>
      <c r="H533" s="2" t="s">
        <v>112</v>
      </c>
      <c r="L533" s="2" t="str">
        <f t="shared" ref="L533:L535" si="92">_xlfn.TEXTJOIN("", TRUE, D533:J533)</f>
        <v>02_Slots/Gottheit/Goetter-mit-Epitheta/0080_Atum/0001_Jtm_01.png</v>
      </c>
    </row>
    <row r="534" spans="1:12">
      <c r="A534" s="2" t="s">
        <v>60</v>
      </c>
      <c r="B534" s="46">
        <v>80</v>
      </c>
      <c r="C534" s="2" t="s">
        <v>105</v>
      </c>
      <c r="E534" s="2" t="s">
        <v>1166</v>
      </c>
      <c r="G534" s="2" t="s">
        <v>612</v>
      </c>
      <c r="H534" s="2" t="s">
        <v>112</v>
      </c>
      <c r="L534" s="2" t="str">
        <f t="shared" si="92"/>
        <v>02_Slots/Gottheit/Goetter-mit-Epitheta/0080_Atum/0010_Jtm_02.png</v>
      </c>
    </row>
    <row r="535" spans="1:12">
      <c r="A535" s="2" t="s">
        <v>60</v>
      </c>
      <c r="B535" s="46">
        <v>80</v>
      </c>
      <c r="C535" s="2" t="s">
        <v>105</v>
      </c>
      <c r="E535" s="2" t="s">
        <v>1166</v>
      </c>
      <c r="G535" s="2" t="s">
        <v>613</v>
      </c>
      <c r="H535" s="2" t="s">
        <v>112</v>
      </c>
      <c r="L535" s="2" t="str">
        <f t="shared" si="92"/>
        <v>02_Slots/Gottheit/Goetter-mit-Epitheta/0080_Atum/0020_Jtm_03.png</v>
      </c>
    </row>
    <row r="536" spans="1:12">
      <c r="A536" s="2" t="s">
        <v>60</v>
      </c>
      <c r="B536" s="46">
        <v>80</v>
      </c>
      <c r="C536" s="2" t="s">
        <v>105</v>
      </c>
      <c r="E536" s="2" t="s">
        <v>1166</v>
      </c>
      <c r="G536" s="2" t="s">
        <v>614</v>
      </c>
      <c r="H536" s="2" t="s">
        <v>112</v>
      </c>
      <c r="I536" s="2" t="s">
        <v>1132</v>
      </c>
      <c r="J536" s="2" t="s">
        <v>1136</v>
      </c>
      <c r="K536" s="2" t="s">
        <v>1134</v>
      </c>
      <c r="L536" s="2" t="str">
        <f t="shared" ref="L536:L539" si="93">_xlfn.TEXTJOIN("", TRUE, D536:K536)</f>
        <v>02_Slots/Gottheit/Goetter-mit-Epitheta/0080_Atum/0030_Jtm_MR_01.png &lt;sup&gt;(MR)&lt;/sup&gt;</v>
      </c>
    </row>
    <row r="537" spans="1:12">
      <c r="A537" s="2" t="s">
        <v>60</v>
      </c>
      <c r="B537" s="46">
        <v>80</v>
      </c>
      <c r="C537" s="2" t="s">
        <v>105</v>
      </c>
      <c r="E537" s="2" t="s">
        <v>1166</v>
      </c>
      <c r="G537" s="2" t="s">
        <v>615</v>
      </c>
      <c r="H537" s="2" t="s">
        <v>112</v>
      </c>
      <c r="I537" s="2" t="s">
        <v>1132</v>
      </c>
      <c r="J537" s="2" t="s">
        <v>1136</v>
      </c>
      <c r="K537" s="2" t="s">
        <v>1134</v>
      </c>
      <c r="L537" s="2" t="str">
        <f t="shared" si="93"/>
        <v>02_Slots/Gottheit/Goetter-mit-Epitheta/0080_Atum/0040_Jtm_MR_02.png &lt;sup&gt;(MR)&lt;/sup&gt;</v>
      </c>
    </row>
    <row r="538" spans="1:12">
      <c r="A538" s="2" t="s">
        <v>60</v>
      </c>
      <c r="B538" s="46">
        <v>80</v>
      </c>
      <c r="C538" s="2" t="s">
        <v>105</v>
      </c>
      <c r="E538" s="2" t="s">
        <v>1166</v>
      </c>
      <c r="G538" s="2" t="s">
        <v>616</v>
      </c>
      <c r="H538" s="2" t="s">
        <v>112</v>
      </c>
      <c r="I538" s="2" t="s">
        <v>1132</v>
      </c>
      <c r="J538" s="2" t="s">
        <v>1088</v>
      </c>
      <c r="K538" s="2" t="s">
        <v>1134</v>
      </c>
      <c r="L538" s="2" t="str">
        <f t="shared" si="93"/>
        <v>02_Slots/Gottheit/Goetter-mit-Epitheta/0080_Atum/0050_Jtm_NR_01.png &lt;sup&gt;(NR)&lt;/sup&gt;</v>
      </c>
    </row>
    <row r="539" spans="1:12">
      <c r="A539" s="2" t="s">
        <v>60</v>
      </c>
      <c r="B539" s="46">
        <v>80</v>
      </c>
      <c r="C539" s="2" t="s">
        <v>105</v>
      </c>
      <c r="E539" s="2" t="s">
        <v>1166</v>
      </c>
      <c r="G539" s="2" t="s">
        <v>617</v>
      </c>
      <c r="H539" s="2" t="s">
        <v>112</v>
      </c>
      <c r="I539" s="2" t="s">
        <v>1132</v>
      </c>
      <c r="J539" s="2" t="s">
        <v>1141</v>
      </c>
      <c r="K539" s="2" t="s">
        <v>1134</v>
      </c>
      <c r="L539" s="2" t="str">
        <f t="shared" si="93"/>
        <v>02_Slots/Gottheit/Goetter-mit-Epitheta/0080_Atum/0060_Jtm_SP_01.png &lt;sup&gt;(Sp.)&lt;/sup&gt;</v>
      </c>
    </row>
    <row r="540" spans="1:12">
      <c r="A540" s="2" t="s">
        <v>60</v>
      </c>
      <c r="B540" s="46">
        <v>80</v>
      </c>
      <c r="C540" s="2" t="s">
        <v>106</v>
      </c>
    </row>
    <row r="541" spans="1:12">
      <c r="A541" s="2" t="s">
        <v>60</v>
      </c>
      <c r="B541" s="46">
        <v>80</v>
      </c>
      <c r="C541" s="2" t="s">
        <v>107</v>
      </c>
      <c r="L541" s="2" t="s">
        <v>131</v>
      </c>
    </row>
    <row r="542" spans="1:12">
      <c r="A542" s="2" t="s">
        <v>60</v>
      </c>
      <c r="B542" s="46">
        <v>80</v>
      </c>
      <c r="C542" s="2" t="s">
        <v>108</v>
      </c>
      <c r="L542" s="2" t="s">
        <v>1107</v>
      </c>
    </row>
    <row r="544" spans="1:12">
      <c r="A544" s="2" t="s">
        <v>619</v>
      </c>
      <c r="B544" s="40">
        <v>1</v>
      </c>
      <c r="C544" s="2" t="s">
        <v>39</v>
      </c>
      <c r="L544" s="2" t="s">
        <v>622</v>
      </c>
    </row>
    <row r="545" spans="1:12">
      <c r="A545" s="2" t="s">
        <v>619</v>
      </c>
      <c r="B545" s="40">
        <v>1</v>
      </c>
      <c r="C545" s="2" t="s">
        <v>105</v>
      </c>
      <c r="E545" s="2" t="s">
        <v>1166</v>
      </c>
      <c r="F545" s="2" t="s">
        <v>620</v>
      </c>
      <c r="G545" s="2" t="s">
        <v>621</v>
      </c>
      <c r="H545" s="2" t="s">
        <v>112</v>
      </c>
      <c r="L545" s="2" t="str">
        <f>_xlfn.TEXTJOIN("", TRUE, D545:J545)</f>
        <v>02_Slots/Gottheit/Goetter-mit-Epitheta/0080_Atum/epitheta/01_jwnwy/0001_jwnwy_01.png</v>
      </c>
    </row>
    <row r="546" spans="1:12">
      <c r="A546" s="2" t="s">
        <v>619</v>
      </c>
      <c r="B546" s="40">
        <v>1</v>
      </c>
      <c r="C546" s="2" t="s">
        <v>105</v>
      </c>
      <c r="E546" s="2" t="s">
        <v>1166</v>
      </c>
      <c r="F546" s="2" t="s">
        <v>620</v>
      </c>
      <c r="G546" s="2" t="s">
        <v>623</v>
      </c>
      <c r="H546" s="2" t="s">
        <v>112</v>
      </c>
      <c r="L546" s="2" t="str">
        <f>_xlfn.TEXTJOIN("", TRUE, D546:J546)</f>
        <v>02_Slots/Gottheit/Goetter-mit-Epitheta/0080_Atum/epitheta/01_jwnwy/0010_jwnwy_02.png</v>
      </c>
    </row>
    <row r="547" spans="1:12">
      <c r="A547" s="2" t="s">
        <v>619</v>
      </c>
      <c r="B547" s="40">
        <v>1</v>
      </c>
      <c r="C547" s="2" t="s">
        <v>27</v>
      </c>
      <c r="L547" s="2" t="s">
        <v>645</v>
      </c>
    </row>
    <row r="550" spans="1:12">
      <c r="A550" s="2" t="s">
        <v>60</v>
      </c>
      <c r="B550" s="46">
        <v>90</v>
      </c>
      <c r="C550" s="2" t="s">
        <v>39</v>
      </c>
      <c r="L550" s="2" t="s">
        <v>624</v>
      </c>
    </row>
    <row r="551" spans="1:12">
      <c r="A551" s="2" t="s">
        <v>60</v>
      </c>
      <c r="B551" s="46">
        <v>90</v>
      </c>
      <c r="C551" s="2" t="s">
        <v>105</v>
      </c>
      <c r="E551" s="2" t="s">
        <v>1167</v>
      </c>
      <c r="G551" s="2" t="s">
        <v>625</v>
      </c>
      <c r="H551" s="2" t="s">
        <v>112</v>
      </c>
      <c r="L551" s="2" t="str">
        <f>_xlfn.TEXTJOIN("", TRUE, D551:J551)</f>
        <v>02_Slots/Gottheit/Goetter-mit-Epitheta/0090_Aton/0001_jtn_01.png</v>
      </c>
    </row>
    <row r="552" spans="1:12">
      <c r="A552" s="2" t="s">
        <v>60</v>
      </c>
      <c r="B552" s="46">
        <v>90</v>
      </c>
      <c r="C552" s="2" t="s">
        <v>105</v>
      </c>
      <c r="E552" s="2" t="s">
        <v>1167</v>
      </c>
      <c r="G552" s="2" t="s">
        <v>626</v>
      </c>
      <c r="H552" s="2" t="s">
        <v>112</v>
      </c>
      <c r="L552" s="2" t="str">
        <f>_xlfn.TEXTJOIN("", TRUE, D552:J552)</f>
        <v>02_Slots/Gottheit/Goetter-mit-Epitheta/0090_Aton/0010_jtn_02.png</v>
      </c>
    </row>
    <row r="553" spans="1:12">
      <c r="A553" s="2" t="s">
        <v>60</v>
      </c>
      <c r="B553" s="46">
        <v>90</v>
      </c>
      <c r="C553" s="2" t="s">
        <v>105</v>
      </c>
      <c r="E553" s="2" t="s">
        <v>1167</v>
      </c>
      <c r="G553" s="2" t="s">
        <v>627</v>
      </c>
      <c r="H553" s="2" t="s">
        <v>112</v>
      </c>
      <c r="I553" s="2" t="s">
        <v>1132</v>
      </c>
      <c r="J553" s="2" t="s">
        <v>1140</v>
      </c>
      <c r="K553" s="2" t="s">
        <v>1134</v>
      </c>
      <c r="L553" s="2" t="str">
        <f t="shared" ref="L553:L555" si="94">_xlfn.TEXTJOIN("", TRUE, D553:K553)</f>
        <v>02_Slots/Gottheit/Goetter-mit-Epitheta/0090_Aton/0020_jtn_D.18_01.png &lt;sup&gt;(D.18)&lt;/sup&gt;</v>
      </c>
    </row>
    <row r="554" spans="1:12">
      <c r="A554" s="2" t="s">
        <v>60</v>
      </c>
      <c r="B554" s="46">
        <v>90</v>
      </c>
      <c r="C554" s="2" t="s">
        <v>105</v>
      </c>
      <c r="E554" s="2" t="s">
        <v>1167</v>
      </c>
      <c r="G554" s="2" t="s">
        <v>628</v>
      </c>
      <c r="H554" s="2" t="s">
        <v>112</v>
      </c>
      <c r="I554" s="2" t="s">
        <v>1132</v>
      </c>
      <c r="J554" s="2" t="s">
        <v>1135</v>
      </c>
      <c r="K554" s="2" t="s">
        <v>1134</v>
      </c>
      <c r="L554" s="2" t="str">
        <f t="shared" si="94"/>
        <v>02_Slots/Gottheit/Goetter-mit-Epitheta/0090_Aton/0030_jtn_GR_01.png &lt;sup&gt;(Gr.)&lt;/sup&gt;</v>
      </c>
    </row>
    <row r="555" spans="1:12">
      <c r="A555" s="2" t="s">
        <v>60</v>
      </c>
      <c r="B555" s="46">
        <v>90</v>
      </c>
      <c r="C555" s="2" t="s">
        <v>105</v>
      </c>
      <c r="E555" s="2" t="s">
        <v>1167</v>
      </c>
      <c r="G555" s="2" t="s">
        <v>629</v>
      </c>
      <c r="H555" s="2" t="s">
        <v>112</v>
      </c>
      <c r="I555" s="2" t="s">
        <v>1132</v>
      </c>
      <c r="J555" s="2" t="s">
        <v>1135</v>
      </c>
      <c r="K555" s="2" t="s">
        <v>1134</v>
      </c>
      <c r="L555" s="2" t="str">
        <f t="shared" si="94"/>
        <v>02_Slots/Gottheit/Goetter-mit-Epitheta/0090_Aton/0040_jtn_GR_02.png &lt;sup&gt;(Gr.)&lt;/sup&gt;</v>
      </c>
    </row>
    <row r="556" spans="1:12">
      <c r="A556" s="2" t="s">
        <v>60</v>
      </c>
      <c r="B556" s="46">
        <v>90</v>
      </c>
      <c r="C556" s="2" t="s">
        <v>106</v>
      </c>
    </row>
    <row r="557" spans="1:12">
      <c r="A557" s="2" t="s">
        <v>60</v>
      </c>
      <c r="B557" s="46">
        <v>90</v>
      </c>
      <c r="C557" s="2" t="s">
        <v>107</v>
      </c>
      <c r="L557" s="2" t="s">
        <v>132</v>
      </c>
    </row>
    <row r="558" spans="1:12">
      <c r="A558" s="2" t="s">
        <v>60</v>
      </c>
      <c r="B558" s="46">
        <v>90</v>
      </c>
      <c r="C558" s="2" t="s">
        <v>108</v>
      </c>
      <c r="L558" s="2" t="s">
        <v>1108</v>
      </c>
    </row>
    <row r="560" spans="1:12">
      <c r="A560" s="2" t="s">
        <v>618</v>
      </c>
      <c r="B560" s="40">
        <v>1</v>
      </c>
      <c r="C560" s="2" t="s">
        <v>39</v>
      </c>
      <c r="L560" s="2" t="s">
        <v>1318</v>
      </c>
    </row>
    <row r="561" spans="1:12">
      <c r="A561" s="2" t="s">
        <v>618</v>
      </c>
      <c r="B561" s="40">
        <v>1</v>
      </c>
      <c r="C561" s="2" t="s">
        <v>105</v>
      </c>
      <c r="E561" s="2" t="s">
        <v>1167</v>
      </c>
      <c r="F561" s="2" t="s">
        <v>1322</v>
      </c>
      <c r="G561" s="2" t="s">
        <v>630</v>
      </c>
      <c r="H561" s="2" t="s">
        <v>112</v>
      </c>
      <c r="L561" s="2" t="str">
        <f>_xlfn.TEXTJOIN("", TRUE, D561:J561)</f>
        <v>02_Slots/Gottheit/Goetter-mit-Epitheta/0090_Aton/epitheta/01_anx-Hr-Ax.tj-Hay-m-Ax.t-m-rn=f-m-jt-Ra-jj-m-jtn/0001_anx-Hr-Ax.tj-Hay-m-Ax.t_01.png</v>
      </c>
    </row>
    <row r="562" spans="1:12">
      <c r="A562" s="2" t="s">
        <v>618</v>
      </c>
      <c r="B562" s="40">
        <v>1</v>
      </c>
      <c r="C562" s="2" t="s">
        <v>105</v>
      </c>
      <c r="E562" s="2" t="s">
        <v>1167</v>
      </c>
      <c r="F562" s="2" t="s">
        <v>1322</v>
      </c>
      <c r="G562" s="2" t="s">
        <v>1323</v>
      </c>
      <c r="H562" s="2" t="s">
        <v>112</v>
      </c>
      <c r="L562" s="2" t="str">
        <f>_xlfn.TEXTJOIN("", TRUE, D562:J562)</f>
        <v>02_Slots/Gottheit/Goetter-mit-Epitheta/0090_Aton/epitheta/01_anx-Hr-Ax.tj-Hay-m-Ax.t-m-rn=f-m-jt-Ra-jj-m-jtn/0010_m-rn=f-m-jt-Ra-jj-m-jtn_01.png</v>
      </c>
    </row>
    <row r="563" spans="1:12">
      <c r="A563" s="2" t="s">
        <v>618</v>
      </c>
      <c r="B563" s="40">
        <v>1</v>
      </c>
      <c r="C563" s="2" t="s">
        <v>27</v>
      </c>
      <c r="L563" s="2" t="s">
        <v>1319</v>
      </c>
    </row>
    <row r="565" spans="1:12">
      <c r="A565" s="2" t="s">
        <v>618</v>
      </c>
      <c r="B565" s="40">
        <v>2</v>
      </c>
      <c r="C565" s="2" t="s">
        <v>39</v>
      </c>
      <c r="L565" s="2" t="s">
        <v>1320</v>
      </c>
    </row>
    <row r="566" spans="1:12">
      <c r="A566" s="2" t="s">
        <v>618</v>
      </c>
      <c r="B566" s="40">
        <v>2</v>
      </c>
      <c r="C566" s="2" t="s">
        <v>105</v>
      </c>
      <c r="E566" s="2" t="s">
        <v>1167</v>
      </c>
      <c r="F566" s="2" t="s">
        <v>1324</v>
      </c>
      <c r="G566" s="2" t="s">
        <v>631</v>
      </c>
      <c r="H566" s="2" t="s">
        <v>112</v>
      </c>
      <c r="L566" s="2" t="str">
        <f>_xlfn.TEXTJOIN("", TRUE, D566:J566)</f>
        <v>02_Slots/Gottheit/Goetter-mit-Epitheta/0090_Aton/epitheta/02_anx-ra-HqA-Ax.tj-Hay-m-Ax.t-m-rn=f-m-Sw-nty-m-jtn/0001_anx-ra-HqA-Ax.tj-Hay-m-Ax.t_01.png</v>
      </c>
    </row>
    <row r="567" spans="1:12">
      <c r="A567" s="2" t="s">
        <v>618</v>
      </c>
      <c r="B567" s="40">
        <v>2</v>
      </c>
      <c r="C567" s="2" t="s">
        <v>105</v>
      </c>
      <c r="E567" s="2" t="s">
        <v>1167</v>
      </c>
      <c r="F567" s="2" t="s">
        <v>1324</v>
      </c>
      <c r="G567" s="2" t="s">
        <v>1325</v>
      </c>
      <c r="H567" s="2" t="s">
        <v>112</v>
      </c>
      <c r="L567" s="2" t="str">
        <f>_xlfn.TEXTJOIN("", TRUE, D567:J567)</f>
        <v>02_Slots/Gottheit/Goetter-mit-Epitheta/0090_Aton/epitheta/02_anx-ra-HqA-Ax.tj-Hay-m-Ax.t-m-rn=f-m-Sw-nty-m-jtn/0010_m-rn=f-m-Sw-nty-m-jtn_01.png</v>
      </c>
    </row>
    <row r="568" spans="1:12">
      <c r="A568" s="2" t="s">
        <v>618</v>
      </c>
      <c r="B568" s="40">
        <v>2</v>
      </c>
      <c r="C568" s="2" t="s">
        <v>27</v>
      </c>
      <c r="L568" s="2" t="s">
        <v>1321</v>
      </c>
    </row>
    <row r="570" spans="1:12">
      <c r="A570" s="2" t="s">
        <v>618</v>
      </c>
      <c r="B570" s="40">
        <v>6</v>
      </c>
      <c r="C570" s="2" t="s">
        <v>39</v>
      </c>
      <c r="L570" s="2" t="s">
        <v>636</v>
      </c>
    </row>
    <row r="571" spans="1:12">
      <c r="A571" s="2" t="s">
        <v>618</v>
      </c>
      <c r="B571" s="40">
        <v>6</v>
      </c>
      <c r="C571" s="2" t="s">
        <v>105</v>
      </c>
      <c r="E571" s="2" t="s">
        <v>1167</v>
      </c>
      <c r="F571" s="2" t="s">
        <v>632</v>
      </c>
      <c r="G571" s="2" t="s">
        <v>634</v>
      </c>
      <c r="H571" s="2" t="s">
        <v>112</v>
      </c>
      <c r="I571" s="2" t="s">
        <v>1132</v>
      </c>
      <c r="J571" s="2" t="s">
        <v>1140</v>
      </c>
      <c r="K571" s="2" t="s">
        <v>1134</v>
      </c>
      <c r="L571" s="2" t="str">
        <f>_xlfn.TEXTJOIN("", TRUE, D571:K571)</f>
        <v>02_Slots/Gottheit/Goetter-mit-Epitheta/0090_Aton/epitheta/06_pA-jtn-anx/0001_pA-jtn-anx_D.18_01.png &lt;sup&gt;(D.18)&lt;/sup&gt;</v>
      </c>
    </row>
    <row r="572" spans="1:12">
      <c r="A572" s="2" t="s">
        <v>618</v>
      </c>
      <c r="B572" s="40">
        <v>6</v>
      </c>
      <c r="C572" s="2" t="s">
        <v>27</v>
      </c>
      <c r="L572" s="2" t="s">
        <v>646</v>
      </c>
    </row>
    <row r="575" spans="1:12">
      <c r="A575" s="2" t="s">
        <v>618</v>
      </c>
      <c r="B575" s="40">
        <v>8</v>
      </c>
      <c r="C575" s="2" t="s">
        <v>39</v>
      </c>
      <c r="L575" s="2" t="s">
        <v>638</v>
      </c>
    </row>
    <row r="576" spans="1:12">
      <c r="A576" s="2" t="s">
        <v>618</v>
      </c>
      <c r="B576" s="40">
        <v>8</v>
      </c>
      <c r="C576" s="2" t="s">
        <v>105</v>
      </c>
      <c r="E576" s="2" t="s">
        <v>1167</v>
      </c>
      <c r="F576" s="2" t="s">
        <v>633</v>
      </c>
      <c r="G576" s="2" t="s">
        <v>635</v>
      </c>
      <c r="H576" s="2" t="s">
        <v>112</v>
      </c>
      <c r="L576" s="2" t="str">
        <f>_xlfn.TEXTJOIN("", TRUE, D576:J576)</f>
        <v>02_Slots/Gottheit/Goetter-mit-Epitheta/0090_Aton/epitheta/08_jmj-jtn=f/0001_jmj-jtn=f_01.png</v>
      </c>
    </row>
    <row r="577" spans="1:12">
      <c r="A577" s="2" t="s">
        <v>618</v>
      </c>
      <c r="B577" s="40">
        <v>8</v>
      </c>
      <c r="C577" s="2" t="s">
        <v>27</v>
      </c>
      <c r="L577" s="2" t="s">
        <v>647</v>
      </c>
    </row>
    <row r="581" spans="1:12">
      <c r="A581" s="2" t="s">
        <v>60</v>
      </c>
      <c r="B581" s="46">
        <v>100</v>
      </c>
      <c r="C581" s="2" t="s">
        <v>39</v>
      </c>
      <c r="L581" s="2" t="s">
        <v>644</v>
      </c>
    </row>
    <row r="582" spans="1:12">
      <c r="A582" s="2" t="s">
        <v>60</v>
      </c>
      <c r="B582" s="46">
        <v>100</v>
      </c>
      <c r="C582" s="2" t="s">
        <v>105</v>
      </c>
      <c r="E582" s="2" t="s">
        <v>1168</v>
      </c>
      <c r="G582" s="2" t="s">
        <v>640</v>
      </c>
      <c r="H582" s="2" t="s">
        <v>112</v>
      </c>
      <c r="L582" s="2" t="str">
        <f>_xlfn.TEXTJOIN("", TRUE, D582:J582)</f>
        <v>02_Slots/Gottheit/Goetter-mit-Epitheta/0100_Wepwaut/0001_wpj-wA.wt_01.png</v>
      </c>
    </row>
    <row r="583" spans="1:12">
      <c r="A583" s="2" t="s">
        <v>60</v>
      </c>
      <c r="B583" s="46">
        <v>100</v>
      </c>
      <c r="C583" s="2" t="s">
        <v>105</v>
      </c>
      <c r="E583" s="2" t="s">
        <v>1168</v>
      </c>
      <c r="G583" s="2" t="s">
        <v>641</v>
      </c>
      <c r="H583" s="2" t="s">
        <v>112</v>
      </c>
      <c r="L583" s="2" t="str">
        <f>_xlfn.TEXTJOIN("", TRUE, D583:J583)</f>
        <v>02_Slots/Gottheit/Goetter-mit-Epitheta/0100_Wepwaut/0010_wpj-wA.wt_02.png</v>
      </c>
    </row>
    <row r="584" spans="1:12">
      <c r="A584" s="2" t="s">
        <v>60</v>
      </c>
      <c r="B584" s="46">
        <v>100</v>
      </c>
      <c r="C584" s="2" t="s">
        <v>105</v>
      </c>
      <c r="E584" s="2" t="s">
        <v>1168</v>
      </c>
      <c r="G584" s="2" t="s">
        <v>642</v>
      </c>
      <c r="H584" s="2" t="s">
        <v>112</v>
      </c>
      <c r="L584" s="2" t="str">
        <f>_xlfn.TEXTJOIN("", TRUE, D584:J584)</f>
        <v>02_Slots/Gottheit/Goetter-mit-Epitheta/0100_Wepwaut/0020_wpj-wA.wt_03.png</v>
      </c>
    </row>
    <row r="585" spans="1:12">
      <c r="A585" s="2" t="s">
        <v>60</v>
      </c>
      <c r="B585" s="46">
        <v>100</v>
      </c>
      <c r="C585" s="2" t="s">
        <v>105</v>
      </c>
      <c r="E585" s="2" t="s">
        <v>1168</v>
      </c>
      <c r="G585" s="2" t="s">
        <v>643</v>
      </c>
      <c r="H585" s="2" t="s">
        <v>112</v>
      </c>
      <c r="L585" s="2" t="str">
        <f>_xlfn.TEXTJOIN("", TRUE, D585:J585)</f>
        <v>02_Slots/Gottheit/Goetter-mit-Epitheta/0100_Wepwaut/0040_wpj-wA.wt_04.png</v>
      </c>
    </row>
    <row r="586" spans="1:12">
      <c r="A586" s="2" t="s">
        <v>60</v>
      </c>
      <c r="B586" s="46">
        <v>100</v>
      </c>
      <c r="C586" s="2" t="s">
        <v>106</v>
      </c>
    </row>
    <row r="587" spans="1:12">
      <c r="A587" s="2" t="s">
        <v>60</v>
      </c>
      <c r="B587" s="46">
        <v>100</v>
      </c>
      <c r="C587" s="2" t="s">
        <v>107</v>
      </c>
      <c r="L587" s="2" t="s">
        <v>133</v>
      </c>
    </row>
    <row r="588" spans="1:12">
      <c r="A588" s="2" t="s">
        <v>60</v>
      </c>
      <c r="B588" s="46">
        <v>100</v>
      </c>
      <c r="C588" s="2" t="s">
        <v>108</v>
      </c>
    </row>
    <row r="589" spans="1:12">
      <c r="B589" s="46"/>
    </row>
    <row r="590" spans="1:12">
      <c r="B590" s="46"/>
    </row>
    <row r="591" spans="1:12">
      <c r="A591" s="2" t="s">
        <v>60</v>
      </c>
      <c r="B591" s="46">
        <v>110</v>
      </c>
      <c r="C591" s="2" t="s">
        <v>39</v>
      </c>
      <c r="L591" s="2" t="s">
        <v>399</v>
      </c>
    </row>
    <row r="592" spans="1:12">
      <c r="A592" s="2" t="s">
        <v>60</v>
      </c>
      <c r="B592" s="46">
        <v>110</v>
      </c>
      <c r="C592" s="2" t="s">
        <v>105</v>
      </c>
      <c r="E592" s="2" t="s">
        <v>1169</v>
      </c>
      <c r="G592" s="2" t="s">
        <v>680</v>
      </c>
      <c r="H592" s="2" t="s">
        <v>112</v>
      </c>
      <c r="L592" s="2" t="str">
        <f t="shared" ref="L592:L602" si="95">_xlfn.TEXTJOIN("", TRUE, D592:J592)</f>
        <v>02_Slots/Gottheit/Goetter-mit-Epitheta/0110_Osiris/0001_wsjr_01.png</v>
      </c>
    </row>
    <row r="593" spans="1:12">
      <c r="A593" s="2" t="s">
        <v>60</v>
      </c>
      <c r="B593" s="46">
        <v>110</v>
      </c>
      <c r="C593" s="2" t="s">
        <v>105</v>
      </c>
      <c r="E593" s="2" t="s">
        <v>1169</v>
      </c>
      <c r="G593" s="2" t="s">
        <v>681</v>
      </c>
      <c r="H593" s="2" t="s">
        <v>112</v>
      </c>
      <c r="L593" s="2" t="str">
        <f t="shared" si="95"/>
        <v>02_Slots/Gottheit/Goetter-mit-Epitheta/0110_Osiris/0010_wsjr_02.png</v>
      </c>
    </row>
    <row r="594" spans="1:12">
      <c r="A594" s="2" t="s">
        <v>60</v>
      </c>
      <c r="B594" s="46">
        <v>110</v>
      </c>
      <c r="C594" s="2" t="s">
        <v>105</v>
      </c>
      <c r="E594" s="2" t="s">
        <v>1169</v>
      </c>
      <c r="G594" s="2" t="s">
        <v>682</v>
      </c>
      <c r="H594" s="2" t="s">
        <v>112</v>
      </c>
      <c r="L594" s="2" t="str">
        <f t="shared" si="95"/>
        <v>02_Slots/Gottheit/Goetter-mit-Epitheta/0110_Osiris/0020_wsjr_03.png</v>
      </c>
    </row>
    <row r="595" spans="1:12">
      <c r="A595" s="2" t="s">
        <v>60</v>
      </c>
      <c r="B595" s="46">
        <v>110</v>
      </c>
      <c r="C595" s="2" t="s">
        <v>105</v>
      </c>
      <c r="E595" s="2" t="s">
        <v>1169</v>
      </c>
      <c r="G595" s="2" t="s">
        <v>683</v>
      </c>
      <c r="H595" s="2" t="s">
        <v>112</v>
      </c>
      <c r="I595" s="2" t="s">
        <v>1132</v>
      </c>
      <c r="J595" s="2" t="s">
        <v>1136</v>
      </c>
      <c r="K595" s="2" t="s">
        <v>1134</v>
      </c>
      <c r="L595" s="2" t="str">
        <f t="shared" ref="L595:L601" si="96">_xlfn.TEXTJOIN("", TRUE, D595:K595)</f>
        <v>02_Slots/Gottheit/Goetter-mit-Epitheta/0110_Osiris/0030_wsjr_MR_01.png &lt;sup&gt;(MR)&lt;/sup&gt;</v>
      </c>
    </row>
    <row r="596" spans="1:12">
      <c r="A596" s="2" t="s">
        <v>60</v>
      </c>
      <c r="B596" s="46">
        <v>110</v>
      </c>
      <c r="C596" s="2" t="s">
        <v>105</v>
      </c>
      <c r="E596" s="2" t="s">
        <v>1169</v>
      </c>
      <c r="G596" s="2" t="s">
        <v>684</v>
      </c>
      <c r="H596" s="2" t="s">
        <v>112</v>
      </c>
      <c r="I596" s="2" t="s">
        <v>1132</v>
      </c>
      <c r="J596" s="2" t="s">
        <v>1136</v>
      </c>
      <c r="K596" s="2" t="s">
        <v>1134</v>
      </c>
      <c r="L596" s="2" t="str">
        <f t="shared" si="96"/>
        <v>02_Slots/Gottheit/Goetter-mit-Epitheta/0110_Osiris/0040_wsjr_MR_02.png &lt;sup&gt;(MR)&lt;/sup&gt;</v>
      </c>
    </row>
    <row r="597" spans="1:12">
      <c r="A597" s="2" t="s">
        <v>60</v>
      </c>
      <c r="B597" s="46">
        <v>110</v>
      </c>
      <c r="C597" s="2" t="s">
        <v>105</v>
      </c>
      <c r="E597" s="2" t="s">
        <v>1169</v>
      </c>
      <c r="G597" s="2" t="s">
        <v>685</v>
      </c>
      <c r="H597" s="2" t="s">
        <v>112</v>
      </c>
      <c r="I597" s="2" t="s">
        <v>1132</v>
      </c>
      <c r="J597" s="2" t="s">
        <v>1136</v>
      </c>
      <c r="K597" s="2" t="s">
        <v>1134</v>
      </c>
      <c r="L597" s="2" t="str">
        <f t="shared" si="96"/>
        <v>02_Slots/Gottheit/Goetter-mit-Epitheta/0110_Osiris/0050_wsjr_MR_03.png &lt;sup&gt;(MR)&lt;/sup&gt;</v>
      </c>
    </row>
    <row r="598" spans="1:12">
      <c r="A598" s="2" t="s">
        <v>60</v>
      </c>
      <c r="B598" s="46">
        <v>110</v>
      </c>
      <c r="C598" s="2" t="s">
        <v>105</v>
      </c>
      <c r="E598" s="2" t="s">
        <v>1169</v>
      </c>
      <c r="G598" s="2" t="s">
        <v>686</v>
      </c>
      <c r="H598" s="2" t="s">
        <v>112</v>
      </c>
      <c r="I598" s="2" t="s">
        <v>1132</v>
      </c>
      <c r="J598" s="2" t="s">
        <v>1135</v>
      </c>
      <c r="K598" s="2" t="s">
        <v>1134</v>
      </c>
      <c r="L598" s="2" t="str">
        <f t="shared" si="96"/>
        <v>02_Slots/Gottheit/Goetter-mit-Epitheta/0110_Osiris/0060_wsjr_GR_01.png &lt;sup&gt;(Gr.)&lt;/sup&gt;</v>
      </c>
    </row>
    <row r="599" spans="1:12">
      <c r="A599" s="2" t="s">
        <v>60</v>
      </c>
      <c r="B599" s="46">
        <v>110</v>
      </c>
      <c r="C599" s="2" t="s">
        <v>105</v>
      </c>
      <c r="E599" s="2" t="s">
        <v>1169</v>
      </c>
      <c r="G599" s="2" t="s">
        <v>687</v>
      </c>
      <c r="H599" s="2" t="s">
        <v>112</v>
      </c>
      <c r="I599" s="2" t="s">
        <v>1132</v>
      </c>
      <c r="J599" s="2" t="s">
        <v>1135</v>
      </c>
      <c r="K599" s="2" t="s">
        <v>1134</v>
      </c>
      <c r="L599" s="2" t="str">
        <f t="shared" si="96"/>
        <v>02_Slots/Gottheit/Goetter-mit-Epitheta/0110_Osiris/0070_wsjr_GR_02.png &lt;sup&gt;(Gr.)&lt;/sup&gt;</v>
      </c>
    </row>
    <row r="600" spans="1:12">
      <c r="A600" s="2" t="s">
        <v>60</v>
      </c>
      <c r="B600" s="46">
        <v>110</v>
      </c>
      <c r="C600" s="2" t="s">
        <v>105</v>
      </c>
      <c r="E600" s="2" t="s">
        <v>1169</v>
      </c>
      <c r="G600" s="2" t="s">
        <v>688</v>
      </c>
      <c r="H600" s="2" t="s">
        <v>112</v>
      </c>
      <c r="I600" s="2" t="s">
        <v>1132</v>
      </c>
      <c r="J600" s="2" t="s">
        <v>1135</v>
      </c>
      <c r="K600" s="2" t="s">
        <v>1134</v>
      </c>
      <c r="L600" s="2" t="str">
        <f t="shared" si="96"/>
        <v>02_Slots/Gottheit/Goetter-mit-Epitheta/0110_Osiris/0080_wsjr_GR_03.png &lt;sup&gt;(Gr.)&lt;/sup&gt;</v>
      </c>
    </row>
    <row r="601" spans="1:12">
      <c r="A601" s="2" t="s">
        <v>60</v>
      </c>
      <c r="B601" s="46">
        <v>110</v>
      </c>
      <c r="C601" s="2" t="s">
        <v>105</v>
      </c>
      <c r="E601" s="2" t="s">
        <v>1169</v>
      </c>
      <c r="G601" s="2" t="s">
        <v>689</v>
      </c>
      <c r="H601" s="2" t="s">
        <v>112</v>
      </c>
      <c r="I601" s="2" t="s">
        <v>1132</v>
      </c>
      <c r="J601" s="2" t="s">
        <v>1135</v>
      </c>
      <c r="K601" s="2" t="s">
        <v>1134</v>
      </c>
      <c r="L601" s="2" t="str">
        <f t="shared" si="96"/>
        <v>02_Slots/Gottheit/Goetter-mit-Epitheta/0110_Osiris/0090_wsjr_GR_04.png &lt;sup&gt;(Gr.)&lt;/sup&gt;</v>
      </c>
    </row>
    <row r="602" spans="1:12">
      <c r="A602" s="2" t="s">
        <v>60</v>
      </c>
      <c r="B602" s="46">
        <v>110</v>
      </c>
      <c r="C602" s="2" t="s">
        <v>106</v>
      </c>
      <c r="E602" s="2" t="s">
        <v>1169</v>
      </c>
      <c r="F602" s="2" t="s">
        <v>110</v>
      </c>
      <c r="G602" s="2" t="s">
        <v>690</v>
      </c>
      <c r="H602" s="2" t="s">
        <v>112</v>
      </c>
      <c r="L602" s="2" t="str">
        <f t="shared" si="95"/>
        <v>02_Slots/Gottheit/Goetter-mit-Epitheta/0110_Osiris/det/0001_wsjr_det_01.png</v>
      </c>
    </row>
    <row r="603" spans="1:12">
      <c r="A603" s="2" t="s">
        <v>60</v>
      </c>
      <c r="B603" s="46">
        <v>110</v>
      </c>
      <c r="C603" s="2" t="s">
        <v>107</v>
      </c>
      <c r="L603" s="2" t="s">
        <v>134</v>
      </c>
    </row>
    <row r="604" spans="1:12">
      <c r="A604" s="2" t="s">
        <v>60</v>
      </c>
      <c r="B604" s="46">
        <v>110</v>
      </c>
      <c r="C604" s="2" t="s">
        <v>108</v>
      </c>
      <c r="L604" s="2" t="s">
        <v>1109</v>
      </c>
    </row>
    <row r="606" spans="1:12">
      <c r="A606" s="2" t="s">
        <v>691</v>
      </c>
      <c r="B606" s="40">
        <v>1</v>
      </c>
      <c r="C606" s="2" t="s">
        <v>39</v>
      </c>
      <c r="L606" s="2" t="s">
        <v>692</v>
      </c>
    </row>
    <row r="607" spans="1:12">
      <c r="A607" s="2" t="s">
        <v>691</v>
      </c>
      <c r="B607" s="40">
        <v>1</v>
      </c>
      <c r="C607" s="2" t="s">
        <v>105</v>
      </c>
      <c r="E607" s="2" t="s">
        <v>1169</v>
      </c>
      <c r="F607" s="2" t="s">
        <v>703</v>
      </c>
      <c r="G607" s="2" t="s">
        <v>710</v>
      </c>
      <c r="H607" s="2" t="s">
        <v>112</v>
      </c>
      <c r="L607" s="2" t="str">
        <f>_xlfn.TEXTJOIN("", TRUE, D607:J607)</f>
        <v>02_Slots/Gottheit/Goetter-mit-Epitheta/0110_Osiris/epitheta/01_nb-AbDw/0001_nb-AbDw_01.png</v>
      </c>
    </row>
    <row r="608" spans="1:12">
      <c r="A608" s="2" t="s">
        <v>691</v>
      </c>
      <c r="B608" s="40">
        <v>1</v>
      </c>
      <c r="C608" s="2" t="s">
        <v>105</v>
      </c>
      <c r="E608" s="2" t="s">
        <v>1169</v>
      </c>
      <c r="F608" s="2" t="s">
        <v>703</v>
      </c>
      <c r="G608" s="2" t="s">
        <v>711</v>
      </c>
      <c r="H608" s="2" t="s">
        <v>112</v>
      </c>
      <c r="L608" s="2" t="str">
        <f>_xlfn.TEXTJOIN("", TRUE, D608:J608)</f>
        <v>02_Slots/Gottheit/Goetter-mit-Epitheta/0110_Osiris/epitheta/01_nb-AbDw/0010_nb-AbDw_02.png</v>
      </c>
    </row>
    <row r="609" spans="1:12">
      <c r="A609" s="2" t="s">
        <v>691</v>
      </c>
      <c r="B609" s="40">
        <v>1</v>
      </c>
      <c r="C609" s="2" t="s">
        <v>105</v>
      </c>
      <c r="E609" s="2" t="s">
        <v>1169</v>
      </c>
      <c r="F609" s="2" t="s">
        <v>703</v>
      </c>
      <c r="G609" s="2" t="s">
        <v>712</v>
      </c>
      <c r="H609" s="2" t="s">
        <v>112</v>
      </c>
      <c r="L609" s="2" t="str">
        <f>_xlfn.TEXTJOIN("", TRUE, D609:J609)</f>
        <v>02_Slots/Gottheit/Goetter-mit-Epitheta/0110_Osiris/epitheta/01_nb-AbDw/0020_nb-AbDw_03.png</v>
      </c>
    </row>
    <row r="610" spans="1:12">
      <c r="A610" s="2" t="s">
        <v>691</v>
      </c>
      <c r="B610" s="40">
        <v>1</v>
      </c>
      <c r="C610" s="2" t="s">
        <v>105</v>
      </c>
      <c r="E610" s="2" t="s">
        <v>1169</v>
      </c>
      <c r="F610" s="2" t="s">
        <v>703</v>
      </c>
      <c r="G610" s="2" t="s">
        <v>713</v>
      </c>
      <c r="H610" s="2" t="s">
        <v>112</v>
      </c>
      <c r="I610" s="2" t="s">
        <v>1132</v>
      </c>
      <c r="J610" s="2" t="s">
        <v>1088</v>
      </c>
      <c r="K610" s="2" t="s">
        <v>1134</v>
      </c>
      <c r="L610" s="2" t="str">
        <f t="shared" ref="L610:L611" si="97">_xlfn.TEXTJOIN("", TRUE, D610:K610)</f>
        <v>02_Slots/Gottheit/Goetter-mit-Epitheta/0110_Osiris/epitheta/01_nb-AbDw/0030_nb-AbDw_NR_01.png &lt;sup&gt;(NR)&lt;/sup&gt;</v>
      </c>
    </row>
    <row r="611" spans="1:12">
      <c r="A611" s="2" t="s">
        <v>691</v>
      </c>
      <c r="B611" s="40">
        <v>1</v>
      </c>
      <c r="C611" s="2" t="s">
        <v>105</v>
      </c>
      <c r="E611" s="2" t="s">
        <v>1169</v>
      </c>
      <c r="F611" s="2" t="s">
        <v>703</v>
      </c>
      <c r="G611" s="2" t="s">
        <v>714</v>
      </c>
      <c r="H611" s="2" t="s">
        <v>112</v>
      </c>
      <c r="I611" s="2" t="s">
        <v>1132</v>
      </c>
      <c r="J611" s="2" t="s">
        <v>1135</v>
      </c>
      <c r="K611" s="2" t="s">
        <v>1134</v>
      </c>
      <c r="L611" s="2" t="str">
        <f t="shared" si="97"/>
        <v>02_Slots/Gottheit/Goetter-mit-Epitheta/0110_Osiris/epitheta/01_nb-AbDw/0040_nb-AbDw_GR_01.png &lt;sup&gt;(Gr.)&lt;/sup&gt;</v>
      </c>
    </row>
    <row r="612" spans="1:12">
      <c r="A612" s="2" t="s">
        <v>691</v>
      </c>
      <c r="B612" s="40">
        <v>1</v>
      </c>
      <c r="C612" s="2" t="s">
        <v>27</v>
      </c>
      <c r="L612" s="2" t="s">
        <v>693</v>
      </c>
    </row>
    <row r="614" spans="1:12">
      <c r="A614" s="2" t="s">
        <v>691</v>
      </c>
      <c r="B614" s="40">
        <v>2</v>
      </c>
      <c r="C614" s="2" t="s">
        <v>39</v>
      </c>
      <c r="L614" s="2" t="s">
        <v>694</v>
      </c>
    </row>
    <row r="615" spans="1:12">
      <c r="A615" s="2" t="s">
        <v>691</v>
      </c>
      <c r="B615" s="40">
        <v>2</v>
      </c>
      <c r="C615" s="2" t="s">
        <v>105</v>
      </c>
      <c r="E615" s="2" t="s">
        <v>1169</v>
      </c>
      <c r="F615" s="2" t="s">
        <v>704</v>
      </c>
      <c r="G615" s="2" t="s">
        <v>715</v>
      </c>
      <c r="H615" s="2" t="s">
        <v>112</v>
      </c>
      <c r="L615" s="2" t="str">
        <f t="shared" ref="L615:L622" si="98">_xlfn.TEXTJOIN("", TRUE, D615:J615)</f>
        <v>02_Slots/Gottheit/Goetter-mit-Epitheta/0110_Osiris/epitheta/02_nb-Dd.w/0001_nb-Dd.w_01.png</v>
      </c>
    </row>
    <row r="616" spans="1:12">
      <c r="A616" s="2" t="s">
        <v>691</v>
      </c>
      <c r="B616" s="40">
        <v>2</v>
      </c>
      <c r="C616" s="2" t="s">
        <v>105</v>
      </c>
      <c r="E616" s="2" t="s">
        <v>1169</v>
      </c>
      <c r="F616" s="2" t="s">
        <v>704</v>
      </c>
      <c r="G616" s="2" t="s">
        <v>716</v>
      </c>
      <c r="L616" s="2" t="str">
        <f t="shared" si="98"/>
        <v>02_Slots/Gottheit/Goetter-mit-Epitheta/0110_Osiris/epitheta/02_nb-Dd.w/0010_nb-Dd.w_02.png</v>
      </c>
    </row>
    <row r="617" spans="1:12">
      <c r="A617" s="2" t="s">
        <v>691</v>
      </c>
      <c r="B617" s="40">
        <v>2</v>
      </c>
      <c r="C617" s="2" t="s">
        <v>105</v>
      </c>
      <c r="E617" s="2" t="s">
        <v>1169</v>
      </c>
      <c r="F617" s="2" t="s">
        <v>704</v>
      </c>
      <c r="G617" s="2" t="s">
        <v>717</v>
      </c>
      <c r="L617" s="2" t="str">
        <f t="shared" si="98"/>
        <v>02_Slots/Gottheit/Goetter-mit-Epitheta/0110_Osiris/epitheta/02_nb-Dd.w/0020_nb-Dd.w_03.png</v>
      </c>
    </row>
    <row r="618" spans="1:12">
      <c r="A618" s="2" t="s">
        <v>691</v>
      </c>
      <c r="B618" s="40">
        <v>2</v>
      </c>
      <c r="C618" s="2" t="s">
        <v>105</v>
      </c>
      <c r="E618" s="2" t="s">
        <v>1169</v>
      </c>
      <c r="F618" s="2" t="s">
        <v>704</v>
      </c>
      <c r="G618" s="2" t="s">
        <v>718</v>
      </c>
      <c r="L618" s="2" t="str">
        <f t="shared" si="98"/>
        <v>02_Slots/Gottheit/Goetter-mit-Epitheta/0110_Osiris/epitheta/02_nb-Dd.w/0030_nb-Dd.w_04.png</v>
      </c>
    </row>
    <row r="619" spans="1:12">
      <c r="A619" s="2" t="s">
        <v>691</v>
      </c>
      <c r="B619" s="40">
        <v>2</v>
      </c>
      <c r="C619" s="2" t="s">
        <v>105</v>
      </c>
      <c r="E619" s="2" t="s">
        <v>1169</v>
      </c>
      <c r="F619" s="2" t="s">
        <v>704</v>
      </c>
      <c r="G619" s="2" t="s">
        <v>719</v>
      </c>
      <c r="L619" s="2" t="str">
        <f t="shared" si="98"/>
        <v>02_Slots/Gottheit/Goetter-mit-Epitheta/0110_Osiris/epitheta/02_nb-Dd.w/0040_nb-Dd.w_05.png</v>
      </c>
    </row>
    <row r="620" spans="1:12">
      <c r="A620" s="2" t="s">
        <v>691</v>
      </c>
      <c r="B620" s="40">
        <v>2</v>
      </c>
      <c r="C620" s="2" t="s">
        <v>105</v>
      </c>
      <c r="E620" s="2" t="s">
        <v>1169</v>
      </c>
      <c r="F620" s="2" t="s">
        <v>704</v>
      </c>
      <c r="G620" s="2" t="s">
        <v>720</v>
      </c>
      <c r="L620" s="2" t="str">
        <f t="shared" si="98"/>
        <v>02_Slots/Gottheit/Goetter-mit-Epitheta/0110_Osiris/epitheta/02_nb-Dd.w/0050_nb-Dd.w_06.png</v>
      </c>
    </row>
    <row r="621" spans="1:12">
      <c r="A621" s="2" t="s">
        <v>691</v>
      </c>
      <c r="B621" s="40">
        <v>2</v>
      </c>
      <c r="C621" s="2" t="s">
        <v>105</v>
      </c>
      <c r="E621" s="2" t="s">
        <v>1169</v>
      </c>
      <c r="F621" s="2" t="s">
        <v>704</v>
      </c>
      <c r="G621" s="2" t="s">
        <v>721</v>
      </c>
      <c r="L621" s="2" t="str">
        <f t="shared" si="98"/>
        <v>02_Slots/Gottheit/Goetter-mit-Epitheta/0110_Osiris/epitheta/02_nb-Dd.w/0060_nb-Dd.w_07.png</v>
      </c>
    </row>
    <row r="622" spans="1:12">
      <c r="A622" s="2" t="s">
        <v>691</v>
      </c>
      <c r="B622" s="40">
        <v>2</v>
      </c>
      <c r="C622" s="2" t="s">
        <v>105</v>
      </c>
      <c r="E622" s="2" t="s">
        <v>1169</v>
      </c>
      <c r="F622" s="2" t="s">
        <v>704</v>
      </c>
      <c r="G622" s="2" t="s">
        <v>722</v>
      </c>
      <c r="L622" s="2" t="str">
        <f t="shared" si="98"/>
        <v>02_Slots/Gottheit/Goetter-mit-Epitheta/0110_Osiris/epitheta/02_nb-Dd.w/0070_nb-Dd.w_08.png</v>
      </c>
    </row>
    <row r="623" spans="1:12">
      <c r="A623" s="2" t="s">
        <v>691</v>
      </c>
      <c r="B623" s="40">
        <v>2</v>
      </c>
      <c r="C623" s="2" t="s">
        <v>105</v>
      </c>
      <c r="E623" s="2" t="s">
        <v>1169</v>
      </c>
      <c r="F623" s="2" t="s">
        <v>704</v>
      </c>
      <c r="G623" s="2" t="s">
        <v>723</v>
      </c>
      <c r="I623" s="2" t="s">
        <v>1132</v>
      </c>
      <c r="J623" s="2" t="s">
        <v>1142</v>
      </c>
      <c r="K623" s="2" t="s">
        <v>1134</v>
      </c>
      <c r="L623" s="2" t="str">
        <f>_xlfn.TEXTJOIN("", TRUE, D623:K623)</f>
        <v>02_Slots/Gottheit/Goetter-mit-Epitheta/0110_Osiris/epitheta/02_nb-Dd.w/0080_nb-Dd.w_Pyr._01.png &lt;sup&gt;(Pyr.)&lt;/sup&gt;</v>
      </c>
    </row>
    <row r="624" spans="1:12">
      <c r="A624" s="2" t="s">
        <v>691</v>
      </c>
      <c r="B624" s="40">
        <v>2</v>
      </c>
      <c r="C624" s="2" t="s">
        <v>27</v>
      </c>
      <c r="L624" s="2" t="s">
        <v>695</v>
      </c>
    </row>
    <row r="626" spans="1:12">
      <c r="A626" s="2" t="s">
        <v>691</v>
      </c>
      <c r="B626" s="40">
        <v>3</v>
      </c>
      <c r="C626" s="2" t="s">
        <v>39</v>
      </c>
      <c r="L626" s="2" t="s">
        <v>589</v>
      </c>
    </row>
    <row r="627" spans="1:12">
      <c r="A627" s="2" t="s">
        <v>691</v>
      </c>
      <c r="B627" s="40">
        <v>3</v>
      </c>
      <c r="C627" s="2" t="s">
        <v>105</v>
      </c>
      <c r="E627" s="2" t="s">
        <v>1169</v>
      </c>
      <c r="F627" s="2" t="s">
        <v>705</v>
      </c>
      <c r="G627" s="2" t="s">
        <v>724</v>
      </c>
      <c r="L627" s="2" t="str">
        <f>_xlfn.TEXTJOIN("", TRUE, D627:J627)</f>
        <v>02_Slots/Gottheit/Goetter-mit-Epitheta/0110_Osiris/epitheta/03_nb-tA-Dsr/0001_nb-tA-Dsr_01.png</v>
      </c>
    </row>
    <row r="628" spans="1:12">
      <c r="A628" s="2" t="s">
        <v>691</v>
      </c>
      <c r="B628" s="40">
        <v>3</v>
      </c>
      <c r="C628" s="2" t="s">
        <v>27</v>
      </c>
      <c r="L628" s="2" t="s">
        <v>590</v>
      </c>
    </row>
    <row r="630" spans="1:12">
      <c r="A630" s="2" t="s">
        <v>691</v>
      </c>
      <c r="B630" s="40">
        <v>4</v>
      </c>
      <c r="C630" s="2" t="s">
        <v>39</v>
      </c>
      <c r="L630" s="2" t="s">
        <v>696</v>
      </c>
    </row>
    <row r="631" spans="1:12">
      <c r="A631" s="2" t="s">
        <v>691</v>
      </c>
      <c r="B631" s="40">
        <v>4</v>
      </c>
      <c r="C631" s="2" t="s">
        <v>105</v>
      </c>
      <c r="E631" s="2" t="s">
        <v>1169</v>
      </c>
      <c r="F631" s="2" t="s">
        <v>706</v>
      </c>
      <c r="G631" s="2" t="s">
        <v>725</v>
      </c>
      <c r="H631" s="2" t="s">
        <v>112</v>
      </c>
      <c r="L631" s="2" t="str">
        <f>_xlfn.TEXTJOIN("", TRUE, D631:J631)</f>
        <v>02_Slots/Gottheit/Goetter-mit-Epitheta/0110_Osiris/epitheta/04_m-tA-Dsr/0001_m-tA-Dsr_01.png</v>
      </c>
    </row>
    <row r="632" spans="1:12">
      <c r="A632" s="2" t="s">
        <v>691</v>
      </c>
      <c r="B632" s="40">
        <v>4</v>
      </c>
      <c r="C632" s="2" t="s">
        <v>27</v>
      </c>
      <c r="L632" s="2" t="s">
        <v>697</v>
      </c>
    </row>
    <row r="634" spans="1:12">
      <c r="A634" s="2" t="s">
        <v>691</v>
      </c>
      <c r="B634" s="40">
        <v>5</v>
      </c>
      <c r="C634" s="2" t="s">
        <v>39</v>
      </c>
      <c r="L634" s="2" t="s">
        <v>698</v>
      </c>
    </row>
    <row r="635" spans="1:12">
      <c r="A635" s="2" t="s">
        <v>691</v>
      </c>
      <c r="B635" s="40">
        <v>5</v>
      </c>
      <c r="C635" s="2" t="s">
        <v>105</v>
      </c>
      <c r="E635" s="2" t="s">
        <v>1169</v>
      </c>
      <c r="F635" s="2" t="s">
        <v>707</v>
      </c>
      <c r="G635" s="2" t="s">
        <v>726</v>
      </c>
      <c r="L635" s="2" t="str">
        <f t="shared" ref="L635:L636" si="99">_xlfn.TEXTJOIN("", TRUE, D635:J635)</f>
        <v>02_Slots/Gottheit/Goetter-mit-Epitheta/0110_Osiris/epitheta/05_xnt.y-jmn.ty.w/0001_xnt.y-jmn.ty.w_01.png</v>
      </c>
    </row>
    <row r="636" spans="1:12">
      <c r="A636" s="2" t="s">
        <v>691</v>
      </c>
      <c r="B636" s="40">
        <v>5</v>
      </c>
      <c r="C636" s="2" t="s">
        <v>105</v>
      </c>
      <c r="E636" s="2" t="s">
        <v>1169</v>
      </c>
      <c r="F636" s="2" t="s">
        <v>707</v>
      </c>
      <c r="G636" s="2" t="s">
        <v>727</v>
      </c>
      <c r="L636" s="2" t="str">
        <f t="shared" si="99"/>
        <v>02_Slots/Gottheit/Goetter-mit-Epitheta/0110_Osiris/epitheta/05_xnt.y-jmn.ty.w/0010_xnt.y-jmn.ty.w_02.png</v>
      </c>
    </row>
    <row r="637" spans="1:12">
      <c r="A637" s="2" t="s">
        <v>691</v>
      </c>
      <c r="B637" s="40">
        <v>5</v>
      </c>
      <c r="C637" s="2" t="s">
        <v>105</v>
      </c>
      <c r="E637" s="2" t="s">
        <v>1169</v>
      </c>
      <c r="F637" s="2" t="s">
        <v>707</v>
      </c>
      <c r="G637" s="2" t="s">
        <v>728</v>
      </c>
      <c r="I637" s="2" t="s">
        <v>1132</v>
      </c>
      <c r="J637" s="2" t="s">
        <v>1133</v>
      </c>
      <c r="K637" s="2" t="s">
        <v>1134</v>
      </c>
      <c r="L637" s="2" t="str">
        <f t="shared" ref="L637:L641" si="100">_xlfn.TEXTJOIN("", TRUE, D637:K637)</f>
        <v>02_Slots/Gottheit/Goetter-mit-Epitheta/0110_Osiris/epitheta/05_xnt.y-jmn.ty.w/0020_xnt.y-jmn.ty.w_AR_01.png &lt;sup&gt;(AR)&lt;/sup&gt;</v>
      </c>
    </row>
    <row r="638" spans="1:12">
      <c r="A638" s="2" t="s">
        <v>691</v>
      </c>
      <c r="B638" s="40">
        <v>5</v>
      </c>
      <c r="C638" s="2" t="s">
        <v>105</v>
      </c>
      <c r="E638" s="2" t="s">
        <v>1169</v>
      </c>
      <c r="F638" s="2" t="s">
        <v>707</v>
      </c>
      <c r="G638" s="2" t="s">
        <v>729</v>
      </c>
      <c r="I638" s="2" t="s">
        <v>1132</v>
      </c>
      <c r="J638" s="2" t="s">
        <v>1133</v>
      </c>
      <c r="K638" s="2" t="s">
        <v>1134</v>
      </c>
      <c r="L638" s="2" t="str">
        <f t="shared" si="100"/>
        <v>02_Slots/Gottheit/Goetter-mit-Epitheta/0110_Osiris/epitheta/05_xnt.y-jmn.ty.w/0030_xnt.y-jmn.ty.w_AR_02.png &lt;sup&gt;(AR)&lt;/sup&gt;</v>
      </c>
    </row>
    <row r="639" spans="1:12">
      <c r="A639" s="2" t="s">
        <v>691</v>
      </c>
      <c r="B639" s="40">
        <v>5</v>
      </c>
      <c r="C639" s="2" t="s">
        <v>105</v>
      </c>
      <c r="E639" s="2" t="s">
        <v>1169</v>
      </c>
      <c r="F639" s="2" t="s">
        <v>707</v>
      </c>
      <c r="G639" s="2" t="s">
        <v>730</v>
      </c>
      <c r="I639" s="2" t="s">
        <v>1132</v>
      </c>
      <c r="J639" s="2" t="s">
        <v>1142</v>
      </c>
      <c r="K639" s="2" t="s">
        <v>1134</v>
      </c>
      <c r="L639" s="2" t="str">
        <f t="shared" si="100"/>
        <v>02_Slots/Gottheit/Goetter-mit-Epitheta/0110_Osiris/epitheta/05_xnt.y-jmn.ty.w/0040_xnt.y-jmn.ty.w_Pyr._01.png &lt;sup&gt;(Pyr.)&lt;/sup&gt;</v>
      </c>
    </row>
    <row r="640" spans="1:12">
      <c r="A640" s="2" t="s">
        <v>691</v>
      </c>
      <c r="B640" s="40">
        <v>5</v>
      </c>
      <c r="C640" s="2" t="s">
        <v>105</v>
      </c>
      <c r="E640" s="2" t="s">
        <v>1169</v>
      </c>
      <c r="F640" s="2" t="s">
        <v>707</v>
      </c>
      <c r="G640" s="2" t="s">
        <v>731</v>
      </c>
      <c r="I640" s="2" t="s">
        <v>1132</v>
      </c>
      <c r="J640" s="2" t="s">
        <v>1136</v>
      </c>
      <c r="K640" s="2" t="s">
        <v>1134</v>
      </c>
      <c r="L640" s="2" t="str">
        <f t="shared" si="100"/>
        <v>02_Slots/Gottheit/Goetter-mit-Epitheta/0110_Osiris/epitheta/05_xnt.y-jmn.ty.w/0050_xnt.y-jmn.ty.w_MR_01.png &lt;sup&gt;(MR)&lt;/sup&gt;</v>
      </c>
    </row>
    <row r="641" spans="1:12">
      <c r="A641" s="2" t="s">
        <v>691</v>
      </c>
      <c r="B641" s="40">
        <v>5</v>
      </c>
      <c r="C641" s="2" t="s">
        <v>105</v>
      </c>
      <c r="E641" s="2" t="s">
        <v>1169</v>
      </c>
      <c r="F641" s="2" t="s">
        <v>707</v>
      </c>
      <c r="G641" s="2" t="s">
        <v>732</v>
      </c>
      <c r="I641" s="2" t="s">
        <v>1132</v>
      </c>
      <c r="J641" s="2" t="s">
        <v>1152</v>
      </c>
      <c r="K641" s="2" t="s">
        <v>1134</v>
      </c>
      <c r="L641" s="2" t="str">
        <f t="shared" si="100"/>
        <v>02_Slots/Gottheit/Goetter-mit-Epitheta/0110_Osiris/epitheta/05_xnt.y-jmn.ty.w/0060_xnt.y-jmn.ty.w_typ.-ab-NR_01.png &lt;sup&gt;(ab NR)&lt;/sup&gt;</v>
      </c>
    </row>
    <row r="642" spans="1:12">
      <c r="A642" s="2" t="s">
        <v>691</v>
      </c>
      <c r="B642" s="40">
        <v>5</v>
      </c>
      <c r="C642" s="2" t="s">
        <v>27</v>
      </c>
      <c r="L642" s="2" t="s">
        <v>699</v>
      </c>
    </row>
    <row r="644" spans="1:12">
      <c r="A644" s="2" t="s">
        <v>691</v>
      </c>
      <c r="B644" s="40">
        <v>6</v>
      </c>
      <c r="C644" s="2" t="s">
        <v>39</v>
      </c>
      <c r="L644" s="2" t="s">
        <v>698</v>
      </c>
    </row>
    <row r="645" spans="1:12">
      <c r="A645" s="2" t="s">
        <v>691</v>
      </c>
      <c r="B645" s="40">
        <v>6</v>
      </c>
      <c r="C645" s="2" t="s">
        <v>105</v>
      </c>
      <c r="E645" s="2" t="s">
        <v>1169</v>
      </c>
      <c r="F645" s="2" t="s">
        <v>708</v>
      </c>
      <c r="G645" s="2" t="s">
        <v>733</v>
      </c>
      <c r="L645" s="2" t="str">
        <f>_xlfn.TEXTJOIN("", TRUE, D645:J645)</f>
        <v>02_Slots/Gottheit/Goetter-mit-Epitheta/0110_Osiris/epitheta/06_xnt.y-jmn.t.t/0001_xnt.y-jmn.t.t_seit-NR_01.png</v>
      </c>
    </row>
    <row r="646" spans="1:12">
      <c r="A646" s="2" t="s">
        <v>691</v>
      </c>
      <c r="B646" s="40">
        <v>6</v>
      </c>
      <c r="C646" s="2" t="s">
        <v>105</v>
      </c>
      <c r="E646" s="2" t="s">
        <v>1169</v>
      </c>
      <c r="F646" s="2" t="s">
        <v>708</v>
      </c>
      <c r="G646" s="2" t="s">
        <v>734</v>
      </c>
      <c r="L646" s="2" t="str">
        <f>_xlfn.TEXTJOIN("", TRUE, D646:J646)</f>
        <v>02_Slots/Gottheit/Goetter-mit-Epitheta/0110_Osiris/epitheta/06_xnt.y-jmn.t.t/0010_xnt.y-jmn.t.t_seit-NR_02.png</v>
      </c>
    </row>
    <row r="647" spans="1:12">
      <c r="A647" s="2" t="s">
        <v>691</v>
      </c>
      <c r="B647" s="40">
        <v>6</v>
      </c>
      <c r="C647" s="2" t="s">
        <v>27</v>
      </c>
      <c r="L647" s="2" t="s">
        <v>700</v>
      </c>
    </row>
    <row r="649" spans="1:12">
      <c r="A649" s="2" t="s">
        <v>691</v>
      </c>
      <c r="B649" s="40">
        <v>7</v>
      </c>
      <c r="C649" s="2" t="s">
        <v>39</v>
      </c>
      <c r="L649" s="2" t="s">
        <v>701</v>
      </c>
    </row>
    <row r="650" spans="1:12">
      <c r="A650" s="2" t="s">
        <v>691</v>
      </c>
      <c r="B650" s="40">
        <v>7</v>
      </c>
      <c r="C650" s="2" t="s">
        <v>105</v>
      </c>
      <c r="E650" s="2" t="s">
        <v>1169</v>
      </c>
      <c r="F650" s="2" t="s">
        <v>709</v>
      </c>
      <c r="G650" s="2" t="s">
        <v>735</v>
      </c>
      <c r="H650" s="2" t="s">
        <v>112</v>
      </c>
      <c r="L650" s="2" t="str">
        <f>_xlfn.TEXTJOIN("", TRUE, D650:J650)</f>
        <v>02_Slots/Gottheit/Goetter-mit-Epitheta/0110_Osiris/epitheta/07_xnt.y-tA-Dsr/0001_xnt.y-tA-Dsr_01.png</v>
      </c>
    </row>
    <row r="651" spans="1:12">
      <c r="A651" s="2" t="s">
        <v>691</v>
      </c>
      <c r="B651" s="40">
        <v>7</v>
      </c>
      <c r="C651" s="2" t="s">
        <v>27</v>
      </c>
      <c r="L651" s="2" t="s">
        <v>702</v>
      </c>
    </row>
    <row r="658" spans="1:12">
      <c r="A658" s="2" t="s">
        <v>60</v>
      </c>
      <c r="B658" s="40">
        <v>120</v>
      </c>
      <c r="C658" s="2" t="s">
        <v>39</v>
      </c>
      <c r="L658" s="2" t="s">
        <v>648</v>
      </c>
    </row>
    <row r="659" spans="1:12">
      <c r="A659" s="2" t="s">
        <v>60</v>
      </c>
      <c r="B659" s="40">
        <v>120</v>
      </c>
      <c r="C659" s="2" t="s">
        <v>105</v>
      </c>
      <c r="E659" s="2" t="s">
        <v>1170</v>
      </c>
      <c r="G659" s="2" t="s">
        <v>736</v>
      </c>
      <c r="L659" s="2" t="str">
        <f>_xlfn.TEXTJOIN("", TRUE, D659:J659)</f>
        <v>02_Slots/Gottheit/Goetter-mit-Epitheta/0120_Bastet/0001_bAst.t_01.png</v>
      </c>
    </row>
    <row r="660" spans="1:12">
      <c r="A660" s="2" t="s">
        <v>60</v>
      </c>
      <c r="B660" s="40">
        <v>120</v>
      </c>
      <c r="C660" s="2" t="s">
        <v>105</v>
      </c>
      <c r="E660" s="2" t="s">
        <v>1170</v>
      </c>
      <c r="G660" s="2" t="s">
        <v>737</v>
      </c>
      <c r="I660" s="2" t="s">
        <v>1132</v>
      </c>
      <c r="J660" s="2" t="s">
        <v>1133</v>
      </c>
      <c r="K660" s="2" t="s">
        <v>1134</v>
      </c>
      <c r="L660" s="2" t="str">
        <f t="shared" ref="L660:L661" si="101">_xlfn.TEXTJOIN("", TRUE, D660:K660)</f>
        <v>02_Slots/Gottheit/Goetter-mit-Epitheta/0120_Bastet/0010_bAst.t_AR_01.png &lt;sup&gt;(AR)&lt;/sup&gt;</v>
      </c>
    </row>
    <row r="661" spans="1:12">
      <c r="A661" s="2" t="s">
        <v>60</v>
      </c>
      <c r="B661" s="40">
        <v>120</v>
      </c>
      <c r="C661" s="2" t="s">
        <v>105</v>
      </c>
      <c r="E661" s="2" t="s">
        <v>1170</v>
      </c>
      <c r="G661" s="2" t="s">
        <v>738</v>
      </c>
      <c r="I661" s="2" t="s">
        <v>1132</v>
      </c>
      <c r="J661" s="2" t="s">
        <v>1088</v>
      </c>
      <c r="K661" s="2" t="s">
        <v>1134</v>
      </c>
      <c r="L661" s="2" t="str">
        <f t="shared" si="101"/>
        <v>02_Slots/Gottheit/Goetter-mit-Epitheta/0120_Bastet/0020_bAst.t_NR_01.png &lt;sup&gt;(NR)&lt;/sup&gt;</v>
      </c>
    </row>
    <row r="662" spans="1:12">
      <c r="A662" s="2" t="s">
        <v>60</v>
      </c>
      <c r="B662" s="40">
        <v>120</v>
      </c>
      <c r="C662" s="2" t="s">
        <v>106</v>
      </c>
    </row>
    <row r="663" spans="1:12">
      <c r="A663" s="2" t="s">
        <v>60</v>
      </c>
      <c r="B663" s="40">
        <v>120</v>
      </c>
      <c r="C663" s="2" t="s">
        <v>107</v>
      </c>
      <c r="L663" s="2" t="s">
        <v>135</v>
      </c>
    </row>
    <row r="664" spans="1:12">
      <c r="A664" s="2" t="s">
        <v>60</v>
      </c>
      <c r="B664" s="40">
        <v>120</v>
      </c>
      <c r="C664" s="2" t="s">
        <v>108</v>
      </c>
    </row>
    <row r="667" spans="1:12">
      <c r="A667" s="2" t="s">
        <v>60</v>
      </c>
      <c r="B667" s="40">
        <v>130</v>
      </c>
      <c r="C667" s="2" t="s">
        <v>39</v>
      </c>
      <c r="L667" s="2" t="s">
        <v>649</v>
      </c>
    </row>
    <row r="668" spans="1:12">
      <c r="A668" s="2" t="s">
        <v>60</v>
      </c>
      <c r="B668" s="40">
        <v>130</v>
      </c>
      <c r="C668" s="2" t="s">
        <v>105</v>
      </c>
      <c r="E668" s="2" t="s">
        <v>1171</v>
      </c>
      <c r="G668" s="2" t="s">
        <v>739</v>
      </c>
      <c r="L668" s="2" t="str">
        <f>_xlfn.TEXTJOIN("", TRUE, D668:J668)</f>
        <v>02_Slots/Gottheit/Goetter-mit-Epitheta/0130_Behedeti/0001_bHd.t_01.png</v>
      </c>
    </row>
    <row r="669" spans="1:12">
      <c r="A669" s="2" t="s">
        <v>60</v>
      </c>
      <c r="B669" s="40">
        <v>130</v>
      </c>
      <c r="C669" s="2" t="s">
        <v>105</v>
      </c>
      <c r="E669" s="2" t="s">
        <v>1171</v>
      </c>
      <c r="G669" s="2" t="s">
        <v>740</v>
      </c>
      <c r="L669" s="2" t="str">
        <f>_xlfn.TEXTJOIN("", TRUE, D669:J669)</f>
        <v>02_Slots/Gottheit/Goetter-mit-Epitheta/0130_Behedeti/0010_bHd.t_02.png</v>
      </c>
    </row>
    <row r="670" spans="1:12">
      <c r="A670" s="2" t="s">
        <v>60</v>
      </c>
      <c r="B670" s="40">
        <v>130</v>
      </c>
      <c r="C670" s="2" t="s">
        <v>105</v>
      </c>
      <c r="E670" s="2" t="s">
        <v>1171</v>
      </c>
      <c r="G670" s="2" t="s">
        <v>741</v>
      </c>
      <c r="I670" s="2" t="s">
        <v>1132</v>
      </c>
      <c r="J670" s="2" t="s">
        <v>1135</v>
      </c>
      <c r="K670" s="2" t="s">
        <v>1134</v>
      </c>
      <c r="L670" s="2" t="str">
        <f t="shared" ref="L670:L671" si="102">_xlfn.TEXTJOIN("", TRUE, D670:K670)</f>
        <v>02_Slots/Gottheit/Goetter-mit-Epitheta/0130_Behedeti/0020_bHd.t_GR_01.png &lt;sup&gt;(Gr.)&lt;/sup&gt;</v>
      </c>
    </row>
    <row r="671" spans="1:12">
      <c r="A671" s="2" t="s">
        <v>60</v>
      </c>
      <c r="B671" s="40">
        <v>130</v>
      </c>
      <c r="C671" s="2" t="s">
        <v>105</v>
      </c>
      <c r="E671" s="2" t="s">
        <v>1171</v>
      </c>
      <c r="G671" s="2" t="s">
        <v>742</v>
      </c>
      <c r="I671" s="2" t="s">
        <v>1132</v>
      </c>
      <c r="J671" s="2" t="s">
        <v>1135</v>
      </c>
      <c r="K671" s="2" t="s">
        <v>1134</v>
      </c>
      <c r="L671" s="2" t="str">
        <f t="shared" si="102"/>
        <v>02_Slots/Gottheit/Goetter-mit-Epitheta/0130_Behedeti/0030_bHd.t_GR_02.png &lt;sup&gt;(Gr.)&lt;/sup&gt;</v>
      </c>
    </row>
    <row r="672" spans="1:12">
      <c r="A672" s="2" t="s">
        <v>60</v>
      </c>
      <c r="B672" s="40">
        <v>130</v>
      </c>
      <c r="C672" s="2" t="s">
        <v>106</v>
      </c>
      <c r="E672" s="2" t="s">
        <v>1171</v>
      </c>
      <c r="F672" s="2" t="s">
        <v>110</v>
      </c>
      <c r="G672" s="2" t="s">
        <v>743</v>
      </c>
      <c r="H672" s="2" t="s">
        <v>112</v>
      </c>
      <c r="L672" s="2" t="str">
        <f>_xlfn.TEXTJOIN("", TRUE, D672:J672)</f>
        <v>02_Slots/Gottheit/Goetter-mit-Epitheta/0130_Behedeti/det/0001_bHd.t_det_01.png</v>
      </c>
    </row>
    <row r="673" spans="1:12">
      <c r="A673" s="2" t="s">
        <v>60</v>
      </c>
      <c r="B673" s="40">
        <v>130</v>
      </c>
      <c r="C673" s="2" t="s">
        <v>107</v>
      </c>
      <c r="L673" s="2" t="s">
        <v>136</v>
      </c>
    </row>
    <row r="674" spans="1:12">
      <c r="A674" s="2" t="s">
        <v>60</v>
      </c>
      <c r="B674" s="40">
        <v>130</v>
      </c>
      <c r="C674" s="2" t="s">
        <v>108</v>
      </c>
      <c r="L674" s="2" t="s">
        <v>1110</v>
      </c>
    </row>
    <row r="676" spans="1:12">
      <c r="A676" s="2" t="s">
        <v>744</v>
      </c>
      <c r="B676" s="40">
        <v>1</v>
      </c>
      <c r="C676" s="2" t="s">
        <v>39</v>
      </c>
      <c r="L676" s="2" t="s">
        <v>745</v>
      </c>
    </row>
    <row r="677" spans="1:12">
      <c r="A677" s="2" t="s">
        <v>744</v>
      </c>
      <c r="B677" s="40">
        <v>1</v>
      </c>
      <c r="C677" s="2" t="s">
        <v>105</v>
      </c>
      <c r="E677" s="2" t="s">
        <v>1171</v>
      </c>
      <c r="F677" s="2" t="s">
        <v>752</v>
      </c>
      <c r="G677" s="2" t="s">
        <v>749</v>
      </c>
      <c r="H677" s="2" t="s">
        <v>112</v>
      </c>
      <c r="L677" s="2" t="str">
        <f>_xlfn.TEXTJOIN("", TRUE, D677:J677)</f>
        <v>02_Slots/Gottheit/Goetter-mit-Epitheta/0130_Behedeti/epitheta/01_prj-m-Ax.t/0001_prj-m-Ax.t_01.png</v>
      </c>
    </row>
    <row r="678" spans="1:12">
      <c r="A678" s="2" t="s">
        <v>744</v>
      </c>
      <c r="B678" s="40">
        <v>1</v>
      </c>
      <c r="C678" s="2" t="s">
        <v>27</v>
      </c>
      <c r="L678" s="2" t="s">
        <v>748</v>
      </c>
    </row>
    <row r="680" spans="1:12">
      <c r="A680" s="2" t="s">
        <v>744</v>
      </c>
      <c r="B680" s="40">
        <v>2</v>
      </c>
      <c r="C680" s="2" t="s">
        <v>39</v>
      </c>
      <c r="L680" s="2" t="s">
        <v>746</v>
      </c>
    </row>
    <row r="681" spans="1:12">
      <c r="A681" s="2" t="s">
        <v>744</v>
      </c>
      <c r="B681" s="40">
        <v>2</v>
      </c>
      <c r="C681" s="2" t="s">
        <v>105</v>
      </c>
      <c r="E681" s="2" t="s">
        <v>1171</v>
      </c>
      <c r="F681" s="2" t="s">
        <v>753</v>
      </c>
      <c r="G681" s="2" t="s">
        <v>750</v>
      </c>
      <c r="L681" s="2" t="str">
        <f>_xlfn.TEXTJOIN("", TRUE, D681:J681)</f>
        <v>02_Slots/Gottheit/Goetter-mit-Epitheta/0130_Behedeti/epitheta/02_sAb-Sw.t/0001_sAb-Sw.t_01.png</v>
      </c>
    </row>
    <row r="682" spans="1:12">
      <c r="A682" s="2" t="s">
        <v>744</v>
      </c>
      <c r="B682" s="40">
        <v>2</v>
      </c>
      <c r="C682" s="2" t="s">
        <v>105</v>
      </c>
      <c r="E682" s="2" t="s">
        <v>1171</v>
      </c>
      <c r="F682" s="2" t="s">
        <v>753</v>
      </c>
      <c r="G682" s="2" t="s">
        <v>751</v>
      </c>
      <c r="L682" s="2" t="str">
        <f>_xlfn.TEXTJOIN("", TRUE, D682:J682)</f>
        <v>02_Slots/Gottheit/Goetter-mit-Epitheta/0130_Behedeti/epitheta/02_sAb-Sw.t/0010_sAb-Sw.t_D.18_01.png</v>
      </c>
    </row>
    <row r="683" spans="1:12">
      <c r="A683" s="2" t="s">
        <v>744</v>
      </c>
      <c r="B683" s="40">
        <v>2</v>
      </c>
      <c r="C683" s="2" t="s">
        <v>27</v>
      </c>
      <c r="L683" s="2" t="s">
        <v>747</v>
      </c>
    </row>
    <row r="686" spans="1:12">
      <c r="A686" s="2" t="s">
        <v>60</v>
      </c>
      <c r="B686" s="40">
        <v>140</v>
      </c>
      <c r="C686" s="2" t="s">
        <v>39</v>
      </c>
      <c r="L686" s="2" t="s">
        <v>650</v>
      </c>
    </row>
    <row r="687" spans="1:12">
      <c r="A687" s="2" t="s">
        <v>60</v>
      </c>
      <c r="B687" s="40">
        <v>140</v>
      </c>
      <c r="C687" s="2" t="s">
        <v>105</v>
      </c>
      <c r="E687" s="2" t="s">
        <v>1172</v>
      </c>
      <c r="G687" s="2" t="s">
        <v>755</v>
      </c>
      <c r="L687" s="2" t="str">
        <f t="shared" ref="L687" si="103">_xlfn.TEXTJOIN("", TRUE, D687:J687)</f>
        <v>02_Slots/Gottheit/Goetter-mit-Epitheta/0140_Goetterneunheit/0001_psD.t_01.png</v>
      </c>
    </row>
    <row r="688" spans="1:12">
      <c r="A688" s="2" t="s">
        <v>60</v>
      </c>
      <c r="B688" s="40">
        <v>140</v>
      </c>
      <c r="C688" s="2" t="s">
        <v>105</v>
      </c>
      <c r="E688" s="2" t="s">
        <v>1172</v>
      </c>
      <c r="G688" s="2" t="s">
        <v>756</v>
      </c>
      <c r="I688" s="2" t="s">
        <v>1132</v>
      </c>
      <c r="J688" s="2" t="s">
        <v>1133</v>
      </c>
      <c r="K688" s="2" t="s">
        <v>1134</v>
      </c>
      <c r="L688" s="2" t="str">
        <f t="shared" ref="L688:L698" si="104">_xlfn.TEXTJOIN("", TRUE, D688:K688)</f>
        <v>02_Slots/Gottheit/Goetter-mit-Epitheta/0140_Goetterneunheit/0010_psD.t_AR_01.png &lt;sup&gt;(AR)&lt;/sup&gt;</v>
      </c>
    </row>
    <row r="689" spans="1:12">
      <c r="A689" s="2" t="s">
        <v>60</v>
      </c>
      <c r="B689" s="40">
        <v>140</v>
      </c>
      <c r="C689" s="2" t="s">
        <v>105</v>
      </c>
      <c r="E689" s="2" t="s">
        <v>1172</v>
      </c>
      <c r="G689" s="2" t="s">
        <v>757</v>
      </c>
      <c r="I689" s="2" t="s">
        <v>1132</v>
      </c>
      <c r="J689" s="2" t="s">
        <v>1133</v>
      </c>
      <c r="K689" s="2" t="s">
        <v>1134</v>
      </c>
      <c r="L689" s="2" t="str">
        <f t="shared" si="104"/>
        <v>02_Slots/Gottheit/Goetter-mit-Epitheta/0140_Goetterneunheit/0020_psD.t_AR_02.png &lt;sup&gt;(AR)&lt;/sup&gt;</v>
      </c>
    </row>
    <row r="690" spans="1:12">
      <c r="A690" s="2" t="s">
        <v>60</v>
      </c>
      <c r="B690" s="40">
        <v>140</v>
      </c>
      <c r="C690" s="2" t="s">
        <v>105</v>
      </c>
      <c r="E690" s="2" t="s">
        <v>1172</v>
      </c>
      <c r="G690" s="2" t="s">
        <v>758</v>
      </c>
      <c r="I690" s="2" t="s">
        <v>1132</v>
      </c>
      <c r="J690" s="2" t="s">
        <v>1133</v>
      </c>
      <c r="K690" s="2" t="s">
        <v>1134</v>
      </c>
      <c r="L690" s="2" t="str">
        <f t="shared" si="104"/>
        <v>02_Slots/Gottheit/Goetter-mit-Epitheta/0140_Goetterneunheit/0030_psD.t_AR_03.png &lt;sup&gt;(AR)&lt;/sup&gt;</v>
      </c>
    </row>
    <row r="691" spans="1:12">
      <c r="A691" s="2" t="s">
        <v>60</v>
      </c>
      <c r="B691" s="40">
        <v>140</v>
      </c>
      <c r="C691" s="2" t="s">
        <v>105</v>
      </c>
      <c r="E691" s="2" t="s">
        <v>1172</v>
      </c>
      <c r="G691" s="2" t="s">
        <v>759</v>
      </c>
      <c r="I691" s="2" t="s">
        <v>1132</v>
      </c>
      <c r="J691" s="2" t="s">
        <v>1136</v>
      </c>
      <c r="K691" s="2" t="s">
        <v>1134</v>
      </c>
      <c r="L691" s="2" t="str">
        <f t="shared" si="104"/>
        <v>02_Slots/Gottheit/Goetter-mit-Epitheta/0140_Goetterneunheit/0040_psD.t_MR_01.png &lt;sup&gt;(MR)&lt;/sup&gt;</v>
      </c>
    </row>
    <row r="692" spans="1:12">
      <c r="A692" s="2" t="s">
        <v>60</v>
      </c>
      <c r="B692" s="40">
        <v>140</v>
      </c>
      <c r="C692" s="2" t="s">
        <v>105</v>
      </c>
      <c r="E692" s="2" t="s">
        <v>1172</v>
      </c>
      <c r="G692" s="2" t="s">
        <v>760</v>
      </c>
      <c r="I692" s="2" t="s">
        <v>1132</v>
      </c>
      <c r="J692" s="2" t="s">
        <v>1141</v>
      </c>
      <c r="K692" s="2" t="s">
        <v>1134</v>
      </c>
      <c r="L692" s="2" t="str">
        <f t="shared" si="104"/>
        <v>02_Slots/Gottheit/Goetter-mit-Epitheta/0140_Goetterneunheit/0050_psD.t_SP_01.png &lt;sup&gt;(Sp.)&lt;/sup&gt;</v>
      </c>
    </row>
    <row r="693" spans="1:12">
      <c r="A693" s="2" t="s">
        <v>60</v>
      </c>
      <c r="B693" s="40">
        <v>140</v>
      </c>
      <c r="C693" s="2" t="s">
        <v>105</v>
      </c>
      <c r="E693" s="2" t="s">
        <v>1172</v>
      </c>
      <c r="G693" s="2" t="s">
        <v>761</v>
      </c>
      <c r="I693" s="2" t="s">
        <v>1132</v>
      </c>
      <c r="J693" s="2" t="s">
        <v>1135</v>
      </c>
      <c r="K693" s="2" t="s">
        <v>1134</v>
      </c>
      <c r="L693" s="2" t="str">
        <f t="shared" si="104"/>
        <v>02_Slots/Gottheit/Goetter-mit-Epitheta/0140_Goetterneunheit/0060_psD.t_GR_01.png &lt;sup&gt;(Gr.)&lt;/sup&gt;</v>
      </c>
    </row>
    <row r="694" spans="1:12">
      <c r="A694" s="2" t="s">
        <v>60</v>
      </c>
      <c r="B694" s="40">
        <v>140</v>
      </c>
      <c r="C694" s="2" t="s">
        <v>105</v>
      </c>
      <c r="E694" s="2" t="s">
        <v>1172</v>
      </c>
      <c r="G694" s="2" t="s">
        <v>754</v>
      </c>
      <c r="I694" s="2" t="s">
        <v>1132</v>
      </c>
      <c r="J694" s="2" t="s">
        <v>1135</v>
      </c>
      <c r="K694" s="2" t="s">
        <v>1134</v>
      </c>
      <c r="L694" s="2" t="str">
        <f t="shared" si="104"/>
        <v>02_Slots/Gottheit/Goetter-mit-Epitheta/0140_Goetterneunheit/0070_psD.t_GR_02.png &lt;sup&gt;(Gr.)&lt;/sup&gt;</v>
      </c>
    </row>
    <row r="695" spans="1:12">
      <c r="A695" s="2" t="s">
        <v>60</v>
      </c>
      <c r="B695" s="40">
        <v>140</v>
      </c>
      <c r="C695" s="2" t="s">
        <v>106</v>
      </c>
      <c r="E695" s="2" t="s">
        <v>1172</v>
      </c>
      <c r="F695" s="2" t="s">
        <v>110</v>
      </c>
      <c r="G695" s="2" t="s">
        <v>762</v>
      </c>
      <c r="I695" s="2" t="s">
        <v>1132</v>
      </c>
      <c r="J695" s="2" t="s">
        <v>1133</v>
      </c>
      <c r="K695" s="2" t="s">
        <v>1134</v>
      </c>
      <c r="L695" s="2" t="str">
        <f t="shared" si="104"/>
        <v>02_Slots/Gottheit/Goetter-mit-Epitheta/0140_Goetterneunheit/det/0001_psD.t_det_AR_01.png &lt;sup&gt;(AR)&lt;/sup&gt;</v>
      </c>
    </row>
    <row r="696" spans="1:12">
      <c r="A696" s="2" t="s">
        <v>60</v>
      </c>
      <c r="B696" s="40">
        <v>140</v>
      </c>
      <c r="C696" s="2" t="s">
        <v>106</v>
      </c>
      <c r="E696" s="2" t="s">
        <v>1172</v>
      </c>
      <c r="F696" s="2" t="s">
        <v>110</v>
      </c>
      <c r="G696" s="2" t="s">
        <v>763</v>
      </c>
      <c r="I696" s="2" t="s">
        <v>1132</v>
      </c>
      <c r="J696" s="2" t="s">
        <v>1136</v>
      </c>
      <c r="K696" s="2" t="s">
        <v>1134</v>
      </c>
      <c r="L696" s="2" t="str">
        <f t="shared" si="104"/>
        <v>02_Slots/Gottheit/Goetter-mit-Epitheta/0140_Goetterneunheit/det/0010_psD.t_det_MR_01.png &lt;sup&gt;(MR)&lt;/sup&gt;</v>
      </c>
    </row>
    <row r="697" spans="1:12">
      <c r="A697" s="2" t="s">
        <v>60</v>
      </c>
      <c r="B697" s="40">
        <v>140</v>
      </c>
      <c r="C697" s="2" t="s">
        <v>106</v>
      </c>
      <c r="E697" s="2" t="s">
        <v>1172</v>
      </c>
      <c r="F697" s="2" t="s">
        <v>110</v>
      </c>
      <c r="G697" s="2" t="s">
        <v>764</v>
      </c>
      <c r="I697" s="2" t="s">
        <v>1132</v>
      </c>
      <c r="J697" s="2" t="s">
        <v>1136</v>
      </c>
      <c r="K697" s="2" t="s">
        <v>1134</v>
      </c>
      <c r="L697" s="2" t="str">
        <f t="shared" si="104"/>
        <v>02_Slots/Gottheit/Goetter-mit-Epitheta/0140_Goetterneunheit/det/0020_psD.t_det_MR_02.png &lt;sup&gt;(MR)&lt;/sup&gt;</v>
      </c>
    </row>
    <row r="698" spans="1:12">
      <c r="A698" s="2" t="s">
        <v>60</v>
      </c>
      <c r="B698" s="40">
        <v>140</v>
      </c>
      <c r="C698" s="2" t="s">
        <v>106</v>
      </c>
      <c r="E698" s="2" t="s">
        <v>1172</v>
      </c>
      <c r="F698" s="2" t="s">
        <v>110</v>
      </c>
      <c r="G698" s="2" t="s">
        <v>765</v>
      </c>
      <c r="I698" s="2" t="s">
        <v>1132</v>
      </c>
      <c r="J698" s="2" t="s">
        <v>1141</v>
      </c>
      <c r="K698" s="2" t="s">
        <v>1134</v>
      </c>
      <c r="L698" s="2" t="str">
        <f t="shared" si="104"/>
        <v>02_Slots/Gottheit/Goetter-mit-Epitheta/0140_Goetterneunheit/det/0030_psD.t_det_SP_01.png &lt;sup&gt;(Sp.)&lt;/sup&gt;</v>
      </c>
    </row>
    <row r="699" spans="1:12">
      <c r="A699" s="2" t="s">
        <v>60</v>
      </c>
      <c r="B699" s="40">
        <v>140</v>
      </c>
      <c r="C699" s="2" t="s">
        <v>107</v>
      </c>
      <c r="L699" s="2" t="s">
        <v>137</v>
      </c>
    </row>
    <row r="700" spans="1:12">
      <c r="A700" s="2" t="s">
        <v>60</v>
      </c>
      <c r="B700" s="40">
        <v>140</v>
      </c>
      <c r="C700" s="2" t="s">
        <v>108</v>
      </c>
      <c r="L700" s="2" t="s">
        <v>1111</v>
      </c>
    </row>
    <row r="702" spans="1:12">
      <c r="A702" s="2" t="s">
        <v>766</v>
      </c>
      <c r="B702" s="40">
        <v>1</v>
      </c>
      <c r="C702" s="2" t="s">
        <v>39</v>
      </c>
      <c r="L702" s="2" t="s">
        <v>768</v>
      </c>
    </row>
    <row r="703" spans="1:12">
      <c r="A703" s="2" t="s">
        <v>766</v>
      </c>
      <c r="B703" s="40">
        <v>1</v>
      </c>
      <c r="C703" s="2" t="s">
        <v>105</v>
      </c>
      <c r="E703" s="2" t="s">
        <v>1172</v>
      </c>
      <c r="F703" s="2" t="s">
        <v>767</v>
      </c>
      <c r="G703" s="2" t="s">
        <v>773</v>
      </c>
      <c r="L703" s="2" t="str">
        <f t="shared" ref="L703:L704" si="105">_xlfn.TEXTJOIN("", TRUE, D703:J703)</f>
        <v>02_Slots/Gottheit/Goetter-mit-Epitheta/0140_Goetterneunheit/epitheta/01_aA.t/0001_aA.t_01.png</v>
      </c>
    </row>
    <row r="704" spans="1:12">
      <c r="A704" s="2" t="s">
        <v>766</v>
      </c>
      <c r="B704" s="40">
        <v>1</v>
      </c>
      <c r="C704" s="2" t="s">
        <v>105</v>
      </c>
      <c r="E704" s="2" t="s">
        <v>1172</v>
      </c>
      <c r="F704" s="2" t="s">
        <v>767</v>
      </c>
      <c r="G704" s="2" t="s">
        <v>774</v>
      </c>
      <c r="L704" s="2" t="str">
        <f t="shared" si="105"/>
        <v>02_Slots/Gottheit/Goetter-mit-Epitheta/0140_Goetterneunheit/epitheta/01_aA.t/0010_aA.t_02.png</v>
      </c>
    </row>
    <row r="705" spans="1:12">
      <c r="A705" s="2" t="s">
        <v>766</v>
      </c>
      <c r="B705" s="40">
        <v>1</v>
      </c>
      <c r="C705" s="2" t="s">
        <v>105</v>
      </c>
      <c r="E705" s="2" t="s">
        <v>1172</v>
      </c>
      <c r="F705" s="2" t="s">
        <v>767</v>
      </c>
      <c r="G705" s="2" t="s">
        <v>775</v>
      </c>
      <c r="I705" s="2" t="s">
        <v>1132</v>
      </c>
      <c r="J705" s="2" t="s">
        <v>1133</v>
      </c>
      <c r="K705" s="2" t="s">
        <v>1134</v>
      </c>
      <c r="L705" s="2" t="str">
        <f t="shared" ref="L705:L708" si="106">_xlfn.TEXTJOIN("", TRUE, D705:K705)</f>
        <v>02_Slots/Gottheit/Goetter-mit-Epitheta/0140_Goetterneunheit/epitheta/01_aA.t/0020_aA.t_AR_01.png &lt;sup&gt;(AR)&lt;/sup&gt;</v>
      </c>
    </row>
    <row r="706" spans="1:12">
      <c r="A706" s="2" t="s">
        <v>766</v>
      </c>
      <c r="B706" s="40">
        <v>1</v>
      </c>
      <c r="C706" s="2" t="s">
        <v>105</v>
      </c>
      <c r="E706" s="2" t="s">
        <v>1172</v>
      </c>
      <c r="F706" s="2" t="s">
        <v>767</v>
      </c>
      <c r="G706" s="2" t="s">
        <v>776</v>
      </c>
      <c r="I706" s="2" t="s">
        <v>1132</v>
      </c>
      <c r="J706" s="2" t="s">
        <v>1136</v>
      </c>
      <c r="K706" s="2" t="s">
        <v>1134</v>
      </c>
      <c r="L706" s="2" t="str">
        <f t="shared" si="106"/>
        <v>02_Slots/Gottheit/Goetter-mit-Epitheta/0140_Goetterneunheit/epitheta/01_aA.t/0030_aA.t_MR_01.png &lt;sup&gt;(MR)&lt;/sup&gt;</v>
      </c>
    </row>
    <row r="707" spans="1:12">
      <c r="A707" s="2" t="s">
        <v>766</v>
      </c>
      <c r="B707" s="40">
        <v>1</v>
      </c>
      <c r="C707" s="2" t="s">
        <v>105</v>
      </c>
      <c r="E707" s="2" t="s">
        <v>1172</v>
      </c>
      <c r="F707" s="2" t="s">
        <v>767</v>
      </c>
      <c r="G707" s="2" t="s">
        <v>777</v>
      </c>
      <c r="I707" s="2" t="s">
        <v>1132</v>
      </c>
      <c r="J707" s="2" t="s">
        <v>1136</v>
      </c>
      <c r="K707" s="2" t="s">
        <v>1134</v>
      </c>
      <c r="L707" s="2" t="str">
        <f t="shared" si="106"/>
        <v>02_Slots/Gottheit/Goetter-mit-Epitheta/0140_Goetterneunheit/epitheta/01_aA.t/0040_aA.t_MR_02.png &lt;sup&gt;(MR)&lt;/sup&gt;</v>
      </c>
    </row>
    <row r="708" spans="1:12">
      <c r="A708" s="2" t="s">
        <v>766</v>
      </c>
      <c r="B708" s="40">
        <v>1</v>
      </c>
      <c r="C708" s="2" t="s">
        <v>105</v>
      </c>
      <c r="E708" s="2" t="s">
        <v>1172</v>
      </c>
      <c r="F708" s="2" t="s">
        <v>767</v>
      </c>
      <c r="G708" s="2" t="s">
        <v>778</v>
      </c>
      <c r="I708" s="2" t="s">
        <v>1132</v>
      </c>
      <c r="J708" s="2" t="s">
        <v>1136</v>
      </c>
      <c r="K708" s="2" t="s">
        <v>1134</v>
      </c>
      <c r="L708" s="2" t="str">
        <f t="shared" si="106"/>
        <v>02_Slots/Gottheit/Goetter-mit-Epitheta/0140_Goetterneunheit/epitheta/01_aA.t/0050_aA.t_MR_03.png &lt;sup&gt;(MR)&lt;/sup&gt;</v>
      </c>
    </row>
    <row r="709" spans="1:12">
      <c r="A709" s="2" t="s">
        <v>766</v>
      </c>
      <c r="B709" s="40">
        <v>1</v>
      </c>
      <c r="C709" s="2" t="s">
        <v>27</v>
      </c>
      <c r="L709" s="2" t="s">
        <v>769</v>
      </c>
    </row>
    <row r="711" spans="1:12">
      <c r="A711" s="2" t="s">
        <v>766</v>
      </c>
      <c r="B711" s="40">
        <v>2</v>
      </c>
      <c r="C711" s="2" t="s">
        <v>39</v>
      </c>
      <c r="L711" s="2" t="s">
        <v>770</v>
      </c>
    </row>
    <row r="712" spans="1:12">
      <c r="A712" s="2" t="s">
        <v>766</v>
      </c>
      <c r="B712" s="40">
        <v>2</v>
      </c>
      <c r="C712" s="2" t="s">
        <v>105</v>
      </c>
      <c r="E712" s="2" t="s">
        <v>1172</v>
      </c>
      <c r="F712" s="2" t="s">
        <v>772</v>
      </c>
      <c r="G712" s="2" t="s">
        <v>779</v>
      </c>
      <c r="L712" s="2" t="str">
        <f>_xlfn.TEXTJOIN("", TRUE, D712:J712)</f>
        <v>02_Slots/Gottheit/Goetter-mit-Epitheta/0140_Goetterneunheit/epitheta/02_nDs.t/0001_nDs.t_01.png</v>
      </c>
    </row>
    <row r="713" spans="1:12">
      <c r="A713" s="2" t="s">
        <v>766</v>
      </c>
      <c r="B713" s="40">
        <v>2</v>
      </c>
      <c r="C713" s="2" t="s">
        <v>105</v>
      </c>
      <c r="E713" s="2" t="s">
        <v>1172</v>
      </c>
      <c r="F713" s="2" t="s">
        <v>772</v>
      </c>
      <c r="G713" s="2" t="s">
        <v>780</v>
      </c>
      <c r="I713" s="2" t="s">
        <v>1132</v>
      </c>
      <c r="J713" s="2" t="s">
        <v>1133</v>
      </c>
      <c r="K713" s="2" t="s">
        <v>1134</v>
      </c>
      <c r="L713" s="2" t="str">
        <f t="shared" ref="L713:L716" si="107">_xlfn.TEXTJOIN("", TRUE, D713:K713)</f>
        <v>02_Slots/Gottheit/Goetter-mit-Epitheta/0140_Goetterneunheit/epitheta/02_nDs.t/0010_nDs.t_AR_01.png &lt;sup&gt;(AR)&lt;/sup&gt;</v>
      </c>
    </row>
    <row r="714" spans="1:12">
      <c r="A714" s="2" t="s">
        <v>766</v>
      </c>
      <c r="B714" s="40">
        <v>2</v>
      </c>
      <c r="C714" s="2" t="s">
        <v>105</v>
      </c>
      <c r="E714" s="2" t="s">
        <v>1172</v>
      </c>
      <c r="F714" s="2" t="s">
        <v>772</v>
      </c>
      <c r="G714" s="2" t="s">
        <v>781</v>
      </c>
      <c r="I714" s="2" t="s">
        <v>1132</v>
      </c>
      <c r="J714" s="2" t="s">
        <v>1136</v>
      </c>
      <c r="K714" s="2" t="s">
        <v>1134</v>
      </c>
      <c r="L714" s="2" t="str">
        <f t="shared" si="107"/>
        <v>02_Slots/Gottheit/Goetter-mit-Epitheta/0140_Goetterneunheit/epitheta/02_nDs.t/0020_nDs.t_MR_01.png &lt;sup&gt;(MR)&lt;/sup&gt;</v>
      </c>
    </row>
    <row r="715" spans="1:12">
      <c r="A715" s="2" t="s">
        <v>766</v>
      </c>
      <c r="B715" s="40">
        <v>2</v>
      </c>
      <c r="C715" s="2" t="s">
        <v>105</v>
      </c>
      <c r="E715" s="2" t="s">
        <v>1172</v>
      </c>
      <c r="F715" s="2" t="s">
        <v>772</v>
      </c>
      <c r="G715" s="2" t="s">
        <v>782</v>
      </c>
      <c r="I715" s="2" t="s">
        <v>1132</v>
      </c>
      <c r="J715" s="2" t="s">
        <v>1136</v>
      </c>
      <c r="K715" s="2" t="s">
        <v>1134</v>
      </c>
      <c r="L715" s="2" t="str">
        <f t="shared" si="107"/>
        <v>02_Slots/Gottheit/Goetter-mit-Epitheta/0140_Goetterneunheit/epitheta/02_nDs.t/0030_nDs.t_MR_02.png &lt;sup&gt;(MR)&lt;/sup&gt;</v>
      </c>
    </row>
    <row r="716" spans="1:12">
      <c r="A716" s="2" t="s">
        <v>766</v>
      </c>
      <c r="B716" s="40">
        <v>2</v>
      </c>
      <c r="C716" s="2" t="s">
        <v>105</v>
      </c>
      <c r="E716" s="2" t="s">
        <v>1172</v>
      </c>
      <c r="F716" s="2" t="s">
        <v>772</v>
      </c>
      <c r="G716" s="2" t="s">
        <v>783</v>
      </c>
      <c r="I716" s="2" t="s">
        <v>1132</v>
      </c>
      <c r="J716" s="2" t="s">
        <v>1141</v>
      </c>
      <c r="K716" s="2" t="s">
        <v>1134</v>
      </c>
      <c r="L716" s="2" t="str">
        <f t="shared" si="107"/>
        <v>02_Slots/Gottheit/Goetter-mit-Epitheta/0140_Goetterneunheit/epitheta/02_nDs.t/0040_nDs.t_Sp_01.png &lt;sup&gt;(Sp.)&lt;/sup&gt;</v>
      </c>
    </row>
    <row r="717" spans="1:12">
      <c r="A717" s="2" t="s">
        <v>766</v>
      </c>
      <c r="B717" s="40">
        <v>2</v>
      </c>
      <c r="C717" s="2" t="s">
        <v>27</v>
      </c>
      <c r="L717" s="2" t="s">
        <v>771</v>
      </c>
    </row>
    <row r="719" spans="1:12">
      <c r="A719" s="2" t="s">
        <v>60</v>
      </c>
      <c r="B719" s="40">
        <v>150</v>
      </c>
      <c r="C719" s="2" t="s">
        <v>39</v>
      </c>
      <c r="L719" s="2" t="s">
        <v>651</v>
      </c>
    </row>
    <row r="720" spans="1:12">
      <c r="A720" s="2" t="s">
        <v>60</v>
      </c>
      <c r="B720" s="40">
        <v>150</v>
      </c>
      <c r="C720" s="2" t="s">
        <v>105</v>
      </c>
      <c r="E720" s="2" t="s">
        <v>1173</v>
      </c>
      <c r="G720" s="2" t="s">
        <v>784</v>
      </c>
      <c r="H720" s="2" t="s">
        <v>112</v>
      </c>
      <c r="L720" s="2" t="str">
        <f>_xlfn.TEXTJOIN("", TRUE, D720:J720)</f>
        <v>02_Slots/Gottheit/Goetter-mit-Epitheta/0150_Ptah/0001_ptH_01.png</v>
      </c>
    </row>
    <row r="721" spans="1:12">
      <c r="A721" s="2" t="s">
        <v>60</v>
      </c>
      <c r="B721" s="40">
        <v>150</v>
      </c>
      <c r="C721" s="2" t="s">
        <v>106</v>
      </c>
      <c r="E721" s="2" t="s">
        <v>1173</v>
      </c>
      <c r="F721" s="2" t="s">
        <v>110</v>
      </c>
      <c r="G721" s="2" t="s">
        <v>785</v>
      </c>
      <c r="L721" s="2" t="str">
        <f>_xlfn.TEXTJOIN("", TRUE, D721:J721)</f>
        <v>02_Slots/Gottheit/Goetter-mit-Epitheta/0150_Ptah/det/0001_ptH_det_01.png</v>
      </c>
    </row>
    <row r="722" spans="1:12">
      <c r="A722" s="2" t="s">
        <v>60</v>
      </c>
      <c r="B722" s="40">
        <v>150</v>
      </c>
      <c r="C722" s="2" t="s">
        <v>106</v>
      </c>
      <c r="E722" s="2" t="s">
        <v>1173</v>
      </c>
      <c r="F722" s="2" t="s">
        <v>110</v>
      </c>
      <c r="G722" s="2" t="s">
        <v>786</v>
      </c>
      <c r="L722" s="2" t="str">
        <f>_xlfn.TEXTJOIN("", TRUE, D722:J722)</f>
        <v>02_Slots/Gottheit/Goetter-mit-Epitheta/0150_Ptah/det/0010_ptH_det_02.png</v>
      </c>
    </row>
    <row r="723" spans="1:12">
      <c r="A723" s="2" t="s">
        <v>60</v>
      </c>
      <c r="B723" s="40">
        <v>150</v>
      </c>
      <c r="C723" s="2" t="s">
        <v>107</v>
      </c>
      <c r="L723" s="2" t="s">
        <v>138</v>
      </c>
    </row>
    <row r="724" spans="1:12">
      <c r="A724" s="2" t="s">
        <v>60</v>
      </c>
      <c r="B724" s="40">
        <v>150</v>
      </c>
      <c r="C724" s="2" t="s">
        <v>108</v>
      </c>
    </row>
    <row r="727" spans="1:12">
      <c r="A727" s="2" t="s">
        <v>60</v>
      </c>
      <c r="B727" s="40">
        <v>160</v>
      </c>
      <c r="C727" s="2" t="s">
        <v>39</v>
      </c>
      <c r="L727" s="2" t="s">
        <v>652</v>
      </c>
    </row>
    <row r="728" spans="1:12">
      <c r="A728" s="2" t="s">
        <v>60</v>
      </c>
      <c r="B728" s="40">
        <v>160</v>
      </c>
      <c r="C728" s="2" t="s">
        <v>105</v>
      </c>
      <c r="E728" s="2" t="s">
        <v>1174</v>
      </c>
      <c r="G728" s="2" t="s">
        <v>788</v>
      </c>
      <c r="L728" s="2" t="str">
        <f t="shared" ref="L728:L729" si="108">_xlfn.TEXTJOIN("", TRUE, D728:J728)</f>
        <v>02_Slots/Gottheit/Goetter-mit-Epitheta/0160_Maat/0001_mAa.t_01.png</v>
      </c>
    </row>
    <row r="729" spans="1:12">
      <c r="A729" s="2" t="s">
        <v>60</v>
      </c>
      <c r="B729" s="40">
        <v>160</v>
      </c>
      <c r="C729" s="2" t="s">
        <v>105</v>
      </c>
      <c r="E729" s="2" t="s">
        <v>1174</v>
      </c>
      <c r="G729" s="2" t="s">
        <v>789</v>
      </c>
      <c r="L729" s="2" t="str">
        <f t="shared" si="108"/>
        <v>02_Slots/Gottheit/Goetter-mit-Epitheta/0160_Maat/0010_mAa.t_02.png</v>
      </c>
    </row>
    <row r="730" spans="1:12">
      <c r="A730" s="2" t="s">
        <v>60</v>
      </c>
      <c r="B730" s="40">
        <v>160</v>
      </c>
      <c r="C730" s="2" t="s">
        <v>105</v>
      </c>
      <c r="E730" s="2" t="s">
        <v>1174</v>
      </c>
      <c r="G730" s="2" t="s">
        <v>790</v>
      </c>
      <c r="I730" s="2" t="s">
        <v>1132</v>
      </c>
      <c r="J730" s="2" t="s">
        <v>1133</v>
      </c>
      <c r="K730" s="2" t="s">
        <v>1134</v>
      </c>
      <c r="L730" s="2" t="str">
        <f t="shared" ref="L730:L739" si="109">_xlfn.TEXTJOIN("", TRUE, D730:K730)</f>
        <v>02_Slots/Gottheit/Goetter-mit-Epitheta/0160_Maat/0020_mAa.t_AR_01.png &lt;sup&gt;(AR)&lt;/sup&gt;</v>
      </c>
    </row>
    <row r="731" spans="1:12">
      <c r="A731" s="2" t="s">
        <v>60</v>
      </c>
      <c r="B731" s="40">
        <v>160</v>
      </c>
      <c r="C731" s="2" t="s">
        <v>105</v>
      </c>
      <c r="E731" s="2" t="s">
        <v>1174</v>
      </c>
      <c r="G731" s="2" t="s">
        <v>791</v>
      </c>
      <c r="I731" s="2" t="s">
        <v>1132</v>
      </c>
      <c r="J731" s="2" t="s">
        <v>1133</v>
      </c>
      <c r="K731" s="2" t="s">
        <v>1134</v>
      </c>
      <c r="L731" s="2" t="str">
        <f t="shared" si="109"/>
        <v>02_Slots/Gottheit/Goetter-mit-Epitheta/0160_Maat/0030_mAa.t_AR_02.png &lt;sup&gt;(AR)&lt;/sup&gt;</v>
      </c>
    </row>
    <row r="732" spans="1:12">
      <c r="A732" s="2" t="s">
        <v>60</v>
      </c>
      <c r="B732" s="40">
        <v>160</v>
      </c>
      <c r="C732" s="2" t="s">
        <v>105</v>
      </c>
      <c r="E732" s="2" t="s">
        <v>1174</v>
      </c>
      <c r="G732" s="2" t="s">
        <v>792</v>
      </c>
      <c r="I732" s="2" t="s">
        <v>1132</v>
      </c>
      <c r="J732" s="2" t="s">
        <v>1136</v>
      </c>
      <c r="K732" s="2" t="s">
        <v>1134</v>
      </c>
      <c r="L732" s="2" t="str">
        <f t="shared" si="109"/>
        <v>02_Slots/Gottheit/Goetter-mit-Epitheta/0160_Maat/0040_mAa.t_MR_01.png &lt;sup&gt;(MR)&lt;/sup&gt;</v>
      </c>
    </row>
    <row r="733" spans="1:12">
      <c r="A733" s="2" t="s">
        <v>60</v>
      </c>
      <c r="B733" s="40">
        <v>160</v>
      </c>
      <c r="C733" s="2" t="s">
        <v>105</v>
      </c>
      <c r="E733" s="2" t="s">
        <v>1174</v>
      </c>
      <c r="G733" s="2" t="s">
        <v>793</v>
      </c>
      <c r="I733" s="2" t="s">
        <v>1132</v>
      </c>
      <c r="J733" s="2" t="s">
        <v>1136</v>
      </c>
      <c r="K733" s="2" t="s">
        <v>1134</v>
      </c>
      <c r="L733" s="2" t="str">
        <f t="shared" si="109"/>
        <v>02_Slots/Gottheit/Goetter-mit-Epitheta/0160_Maat/0050_mAa.t_MR_02.png &lt;sup&gt;(MR)&lt;/sup&gt;</v>
      </c>
    </row>
    <row r="734" spans="1:12">
      <c r="A734" s="2" t="s">
        <v>60</v>
      </c>
      <c r="B734" s="40">
        <v>160</v>
      </c>
      <c r="C734" s="2" t="s">
        <v>105</v>
      </c>
      <c r="E734" s="2" t="s">
        <v>1174</v>
      </c>
      <c r="G734" s="2" t="s">
        <v>794</v>
      </c>
      <c r="I734" s="2" t="s">
        <v>1132</v>
      </c>
      <c r="J734" s="2" t="s">
        <v>1088</v>
      </c>
      <c r="K734" s="2" t="s">
        <v>1134</v>
      </c>
      <c r="L734" s="2" t="str">
        <f t="shared" si="109"/>
        <v>02_Slots/Gottheit/Goetter-mit-Epitheta/0160_Maat/0060_mAa.t_NR_01.png &lt;sup&gt;(NR)&lt;/sup&gt;</v>
      </c>
    </row>
    <row r="735" spans="1:12">
      <c r="A735" s="2" t="s">
        <v>60</v>
      </c>
      <c r="B735" s="40">
        <v>160</v>
      </c>
      <c r="C735" s="2" t="s">
        <v>105</v>
      </c>
      <c r="E735" s="2" t="s">
        <v>1174</v>
      </c>
      <c r="G735" s="2" t="s">
        <v>795</v>
      </c>
      <c r="I735" s="2" t="s">
        <v>1132</v>
      </c>
      <c r="J735" s="2" t="s">
        <v>1088</v>
      </c>
      <c r="K735" s="2" t="s">
        <v>1134</v>
      </c>
      <c r="L735" s="2" t="str">
        <f t="shared" si="109"/>
        <v>02_Slots/Gottheit/Goetter-mit-Epitheta/0160_Maat/0070_mAa.t_NR_02.png &lt;sup&gt;(NR)&lt;/sup&gt;</v>
      </c>
    </row>
    <row r="736" spans="1:12">
      <c r="A736" s="2" t="s">
        <v>60</v>
      </c>
      <c r="B736" s="40">
        <v>160</v>
      </c>
      <c r="C736" s="2" t="s">
        <v>105</v>
      </c>
      <c r="E736" s="2" t="s">
        <v>1174</v>
      </c>
      <c r="G736" s="2" t="s">
        <v>796</v>
      </c>
      <c r="I736" s="2" t="s">
        <v>1132</v>
      </c>
      <c r="J736" s="2" t="s">
        <v>1135</v>
      </c>
      <c r="K736" s="2" t="s">
        <v>1134</v>
      </c>
      <c r="L736" s="2" t="str">
        <f t="shared" si="109"/>
        <v>02_Slots/Gottheit/Goetter-mit-Epitheta/0160_Maat/0080_mAa.t_GR_01.png &lt;sup&gt;(Gr.)&lt;/sup&gt;</v>
      </c>
    </row>
    <row r="737" spans="1:12">
      <c r="A737" s="2" t="s">
        <v>60</v>
      </c>
      <c r="B737" s="40">
        <v>160</v>
      </c>
      <c r="C737" s="2" t="s">
        <v>105</v>
      </c>
      <c r="E737" s="2" t="s">
        <v>1174</v>
      </c>
      <c r="G737" s="2" t="s">
        <v>787</v>
      </c>
      <c r="I737" s="2" t="s">
        <v>1132</v>
      </c>
      <c r="J737" s="2" t="s">
        <v>1135</v>
      </c>
      <c r="K737" s="2" t="s">
        <v>1134</v>
      </c>
      <c r="L737" s="2" t="str">
        <f t="shared" si="109"/>
        <v>02_Slots/Gottheit/Goetter-mit-Epitheta/0160_Maat/0090_mAa.t_GR_02.png &lt;sup&gt;(Gr.)&lt;/sup&gt;</v>
      </c>
    </row>
    <row r="738" spans="1:12">
      <c r="A738" s="2" t="s">
        <v>60</v>
      </c>
      <c r="B738" s="40">
        <v>160</v>
      </c>
      <c r="C738" s="2" t="s">
        <v>106</v>
      </c>
      <c r="E738" s="2" t="s">
        <v>1174</v>
      </c>
      <c r="F738" s="2" t="s">
        <v>110</v>
      </c>
      <c r="G738" s="2" t="s">
        <v>797</v>
      </c>
      <c r="I738" s="2" t="s">
        <v>1132</v>
      </c>
      <c r="J738" s="2" t="s">
        <v>1133</v>
      </c>
      <c r="K738" s="2" t="s">
        <v>1134</v>
      </c>
      <c r="L738" s="2" t="str">
        <f t="shared" si="109"/>
        <v>02_Slots/Gottheit/Goetter-mit-Epitheta/0160_Maat/det/0001_mAa.t_det_AR_01.png &lt;sup&gt;(AR)&lt;/sup&gt;</v>
      </c>
    </row>
    <row r="739" spans="1:12">
      <c r="A739" s="2" t="s">
        <v>60</v>
      </c>
      <c r="B739" s="40">
        <v>160</v>
      </c>
      <c r="C739" s="2" t="s">
        <v>106</v>
      </c>
      <c r="E739" s="2" t="s">
        <v>1174</v>
      </c>
      <c r="F739" s="2" t="s">
        <v>110</v>
      </c>
      <c r="G739" s="2" t="s">
        <v>798</v>
      </c>
      <c r="I739" s="2" t="s">
        <v>1132</v>
      </c>
      <c r="J739" s="2" t="s">
        <v>1136</v>
      </c>
      <c r="K739" s="2" t="s">
        <v>1134</v>
      </c>
      <c r="L739" s="2" t="str">
        <f t="shared" si="109"/>
        <v>02_Slots/Gottheit/Goetter-mit-Epitheta/0160_Maat/det/0010_mAa.t_det_MR_01.png &lt;sup&gt;(MR)&lt;/sup&gt;</v>
      </c>
    </row>
    <row r="740" spans="1:12">
      <c r="A740" s="2" t="s">
        <v>60</v>
      </c>
      <c r="B740" s="40">
        <v>160</v>
      </c>
      <c r="C740" s="2" t="s">
        <v>107</v>
      </c>
      <c r="L740" s="2" t="s">
        <v>139</v>
      </c>
    </row>
    <row r="741" spans="1:12">
      <c r="A741" s="2" t="s">
        <v>60</v>
      </c>
      <c r="B741" s="40">
        <v>160</v>
      </c>
      <c r="C741" s="2" t="s">
        <v>108</v>
      </c>
    </row>
    <row r="744" spans="1:12">
      <c r="A744" s="2" t="s">
        <v>60</v>
      </c>
      <c r="B744" s="40">
        <v>170</v>
      </c>
      <c r="C744" s="2" t="s">
        <v>39</v>
      </c>
      <c r="L744" s="2" t="s">
        <v>653</v>
      </c>
    </row>
    <row r="745" spans="1:12">
      <c r="A745" s="2" t="s">
        <v>60</v>
      </c>
      <c r="B745" s="40">
        <v>170</v>
      </c>
      <c r="C745" s="2" t="s">
        <v>105</v>
      </c>
      <c r="E745" s="2" t="s">
        <v>1175</v>
      </c>
      <c r="G745" s="2" t="s">
        <v>799</v>
      </c>
      <c r="L745" s="2" t="str">
        <f>_xlfn.TEXTJOIN("", TRUE, D745:J745)</f>
        <v>02_Slots/Gottheit/Goetter-mit-Epitheta/0170_Min/0001_mjn_01.png</v>
      </c>
    </row>
    <row r="746" spans="1:12">
      <c r="A746" s="2" t="s">
        <v>60</v>
      </c>
      <c r="B746" s="40">
        <v>170</v>
      </c>
      <c r="C746" s="2" t="s">
        <v>105</v>
      </c>
      <c r="E746" s="2" t="s">
        <v>1175</v>
      </c>
      <c r="G746" s="2" t="s">
        <v>800</v>
      </c>
      <c r="L746" s="2" t="str">
        <f>_xlfn.TEXTJOIN("", TRUE, D746:J746)</f>
        <v>02_Slots/Gottheit/Goetter-mit-Epitheta/0170_Min/0010_mjn_AR_01.png</v>
      </c>
    </row>
    <row r="747" spans="1:12">
      <c r="A747" s="2" t="s">
        <v>60</v>
      </c>
      <c r="B747" s="40">
        <v>170</v>
      </c>
      <c r="C747" s="2" t="s">
        <v>105</v>
      </c>
      <c r="E747" s="2" t="s">
        <v>1175</v>
      </c>
      <c r="G747" s="2" t="s">
        <v>801</v>
      </c>
      <c r="L747" s="2" t="str">
        <f>_xlfn.TEXTJOIN("", TRUE, D747:J747)</f>
        <v>02_Slots/Gottheit/Goetter-mit-Epitheta/0170_Min/0020_mjn_NR_01.png</v>
      </c>
    </row>
    <row r="748" spans="1:12">
      <c r="A748" s="2" t="s">
        <v>60</v>
      </c>
      <c r="B748" s="40">
        <v>170</v>
      </c>
      <c r="C748" s="2" t="s">
        <v>106</v>
      </c>
      <c r="E748" s="2" t="s">
        <v>1175</v>
      </c>
      <c r="F748" s="2" t="s">
        <v>110</v>
      </c>
      <c r="G748" s="2" t="s">
        <v>802</v>
      </c>
      <c r="H748" s="2" t="s">
        <v>112</v>
      </c>
      <c r="L748" s="2" t="str">
        <f>_xlfn.TEXTJOIN("", TRUE, D748:J748)</f>
        <v>02_Slots/Gottheit/Goetter-mit-Epitheta/0170_Min/det/0001_mjn_det_01.png</v>
      </c>
    </row>
    <row r="749" spans="1:12">
      <c r="A749" s="2" t="s">
        <v>60</v>
      </c>
      <c r="B749" s="40">
        <v>170</v>
      </c>
      <c r="C749" s="2" t="s">
        <v>107</v>
      </c>
      <c r="L749" s="2" t="s">
        <v>140</v>
      </c>
    </row>
    <row r="750" spans="1:12">
      <c r="A750" s="2" t="s">
        <v>60</v>
      </c>
      <c r="B750" s="40">
        <v>170</v>
      </c>
      <c r="C750" s="2" t="s">
        <v>108</v>
      </c>
    </row>
    <row r="753" spans="1:12">
      <c r="A753" s="2" t="s">
        <v>60</v>
      </c>
      <c r="B753" s="40">
        <v>180</v>
      </c>
      <c r="C753" s="2" t="s">
        <v>39</v>
      </c>
      <c r="L753" s="2" t="s">
        <v>654</v>
      </c>
    </row>
    <row r="754" spans="1:12">
      <c r="A754" s="2" t="s">
        <v>60</v>
      </c>
      <c r="B754" s="40">
        <v>180</v>
      </c>
      <c r="C754" s="2" t="s">
        <v>105</v>
      </c>
      <c r="E754" s="2" t="s">
        <v>1176</v>
      </c>
      <c r="G754" s="2" t="s">
        <v>803</v>
      </c>
      <c r="L754" s="2" t="str">
        <f>_xlfn.TEXTJOIN("", TRUE, D754:J754)</f>
        <v>02_Slots/Gottheit/Goetter-mit-Epitheta/0180_Mut/0001_mw.t_01.png</v>
      </c>
    </row>
    <row r="755" spans="1:12">
      <c r="A755" s="2" t="s">
        <v>60</v>
      </c>
      <c r="B755" s="40">
        <v>180</v>
      </c>
      <c r="C755" s="2" t="s">
        <v>105</v>
      </c>
      <c r="E755" s="2" t="s">
        <v>1176</v>
      </c>
      <c r="G755" s="2" t="s">
        <v>804</v>
      </c>
      <c r="L755" s="2" t="str">
        <f>_xlfn.TEXTJOIN("", TRUE, D755:J755)</f>
        <v>02_Slots/Gottheit/Goetter-mit-Epitheta/0180_Mut/0010_mw.t_02.png</v>
      </c>
    </row>
    <row r="756" spans="1:12">
      <c r="A756" s="2" t="s">
        <v>60</v>
      </c>
      <c r="B756" s="40">
        <v>180</v>
      </c>
      <c r="C756" s="2" t="s">
        <v>105</v>
      </c>
      <c r="E756" s="2" t="s">
        <v>1176</v>
      </c>
      <c r="G756" s="2" t="s">
        <v>805</v>
      </c>
      <c r="L756" s="2" t="str">
        <f>_xlfn.TEXTJOIN("", TRUE, D756:J756)</f>
        <v>02_Slots/Gottheit/Goetter-mit-Epitheta/0180_Mut/0020_mw.t_03.png</v>
      </c>
    </row>
    <row r="757" spans="1:12">
      <c r="A757" s="2" t="s">
        <v>60</v>
      </c>
      <c r="B757" s="40">
        <v>180</v>
      </c>
      <c r="C757" s="2" t="s">
        <v>106</v>
      </c>
      <c r="L757" s="2" t="str">
        <f>_xlfn.TEXTJOIN("", TRUE, D757:J757)</f>
        <v/>
      </c>
    </row>
    <row r="758" spans="1:12">
      <c r="A758" s="2" t="s">
        <v>60</v>
      </c>
      <c r="B758" s="40">
        <v>180</v>
      </c>
      <c r="C758" s="2" t="s">
        <v>107</v>
      </c>
      <c r="L758" s="2" t="s">
        <v>141</v>
      </c>
    </row>
    <row r="759" spans="1:12">
      <c r="A759" s="2" t="s">
        <v>60</v>
      </c>
      <c r="B759" s="40">
        <v>180</v>
      </c>
      <c r="C759" s="2" t="s">
        <v>108</v>
      </c>
      <c r="L759" s="2" t="s">
        <v>1112</v>
      </c>
    </row>
    <row r="761" spans="1:12">
      <c r="A761" s="2" t="s">
        <v>806</v>
      </c>
      <c r="B761" s="40">
        <v>1</v>
      </c>
      <c r="C761" s="2" t="s">
        <v>39</v>
      </c>
      <c r="L761" s="2" t="s">
        <v>807</v>
      </c>
    </row>
    <row r="762" spans="1:12">
      <c r="A762" s="2" t="s">
        <v>806</v>
      </c>
      <c r="B762" s="40">
        <v>1</v>
      </c>
      <c r="C762" s="2" t="s">
        <v>105</v>
      </c>
      <c r="E762" s="2" t="s">
        <v>1176</v>
      </c>
      <c r="F762" s="2" t="s">
        <v>809</v>
      </c>
      <c r="G762" s="2" t="s">
        <v>810</v>
      </c>
      <c r="L762" s="2" t="str">
        <f>_xlfn.TEXTJOIN("", TRUE, D762:J762)</f>
        <v>02_Slots/Gottheit/Goetter-mit-Epitheta/0180_Mut/epitheta/01_nb.t-jSrw/0001_nb.t-jSrw_01.png</v>
      </c>
    </row>
    <row r="763" spans="1:12">
      <c r="A763" s="2" t="s">
        <v>806</v>
      </c>
      <c r="B763" s="40">
        <v>1</v>
      </c>
      <c r="C763" s="2" t="s">
        <v>105</v>
      </c>
      <c r="E763" s="2" t="s">
        <v>1176</v>
      </c>
      <c r="F763" s="2" t="s">
        <v>809</v>
      </c>
      <c r="G763" s="2" t="s">
        <v>811</v>
      </c>
      <c r="L763" s="2" t="str">
        <f>_xlfn.TEXTJOIN("", TRUE, D763:J763)</f>
        <v>02_Slots/Gottheit/Goetter-mit-Epitheta/0180_Mut/epitheta/01_nb.t-jSrw/0010_nb.t-jSrw_02.png</v>
      </c>
    </row>
    <row r="764" spans="1:12">
      <c r="A764" s="2" t="s">
        <v>806</v>
      </c>
      <c r="B764" s="40">
        <v>1</v>
      </c>
      <c r="C764" s="2" t="s">
        <v>105</v>
      </c>
      <c r="E764" s="2" t="s">
        <v>1176</v>
      </c>
      <c r="F764" s="2" t="s">
        <v>809</v>
      </c>
      <c r="G764" s="2" t="s">
        <v>812</v>
      </c>
      <c r="L764" s="2" t="str">
        <f>_xlfn.TEXTJOIN("", TRUE, D764:J764)</f>
        <v>02_Slots/Gottheit/Goetter-mit-Epitheta/0180_Mut/epitheta/01_nb.t-jSrw/0020_nb.t-jSrw_GR_01.png</v>
      </c>
    </row>
    <row r="765" spans="1:12">
      <c r="A765" s="2" t="s">
        <v>806</v>
      </c>
      <c r="B765" s="40">
        <v>1</v>
      </c>
      <c r="C765" s="2" t="s">
        <v>27</v>
      </c>
      <c r="L765" s="2" t="s">
        <v>808</v>
      </c>
    </row>
    <row r="770" spans="1:12">
      <c r="A770" s="2" t="s">
        <v>60</v>
      </c>
      <c r="B770" s="40">
        <v>190</v>
      </c>
      <c r="C770" s="2" t="s">
        <v>39</v>
      </c>
      <c r="L770" s="2" t="s">
        <v>655</v>
      </c>
    </row>
    <row r="771" spans="1:12">
      <c r="A771" s="2" t="s">
        <v>60</v>
      </c>
      <c r="B771" s="40">
        <v>190</v>
      </c>
      <c r="C771" s="2" t="s">
        <v>105</v>
      </c>
      <c r="E771" s="2" t="s">
        <v>1177</v>
      </c>
      <c r="G771" s="2" t="s">
        <v>813</v>
      </c>
      <c r="L771" s="2" t="str">
        <f t="shared" ref="L771:L777" si="110">_xlfn.TEXTJOIN("", TRUE, D771:J771)</f>
        <v>02_Slots/Gottheit/Goetter-mit-Epitheta/0190_Month/0001_mnTw_01.png</v>
      </c>
    </row>
    <row r="772" spans="1:12">
      <c r="A772" s="2" t="s">
        <v>60</v>
      </c>
      <c r="B772" s="40">
        <v>190</v>
      </c>
      <c r="C772" s="2" t="s">
        <v>105</v>
      </c>
      <c r="E772" s="2" t="s">
        <v>1177</v>
      </c>
      <c r="G772" s="2" t="s">
        <v>814</v>
      </c>
      <c r="I772" s="2" t="s">
        <v>1132</v>
      </c>
      <c r="J772" s="2" t="s">
        <v>1088</v>
      </c>
      <c r="K772" s="2" t="s">
        <v>1134</v>
      </c>
      <c r="L772" s="2" t="str">
        <f>_xlfn.TEXTJOIN("", TRUE, D772:K772)</f>
        <v>02_Slots/Gottheit/Goetter-mit-Epitheta/0190_Month/0010_mnTw_NR_01.png &lt;sup&gt;(NR)&lt;/sup&gt;</v>
      </c>
    </row>
    <row r="773" spans="1:12">
      <c r="A773" s="2" t="s">
        <v>60</v>
      </c>
      <c r="B773" s="40">
        <v>190</v>
      </c>
      <c r="C773" s="2" t="s">
        <v>105</v>
      </c>
      <c r="E773" s="2" t="s">
        <v>1177</v>
      </c>
      <c r="G773" s="2" t="s">
        <v>815</v>
      </c>
      <c r="I773" s="2" t="s">
        <v>1132</v>
      </c>
      <c r="J773" s="2" t="s">
        <v>1088</v>
      </c>
      <c r="K773" s="2" t="s">
        <v>1134</v>
      </c>
      <c r="L773" s="2" t="str">
        <f t="shared" ref="L773:L775" si="111">_xlfn.TEXTJOIN("", TRUE, D773:K773)</f>
        <v>02_Slots/Gottheit/Goetter-mit-Epitheta/0190_Month/0020_mnTw_NR_02.png &lt;sup&gt;(NR)&lt;/sup&gt;</v>
      </c>
    </row>
    <row r="774" spans="1:12">
      <c r="A774" s="2" t="s">
        <v>60</v>
      </c>
      <c r="B774" s="40">
        <v>190</v>
      </c>
      <c r="C774" s="2" t="s">
        <v>105</v>
      </c>
      <c r="E774" s="2" t="s">
        <v>1177</v>
      </c>
      <c r="G774" s="2" t="s">
        <v>816</v>
      </c>
      <c r="I774" s="2" t="s">
        <v>1132</v>
      </c>
      <c r="J774" s="2" t="s">
        <v>1088</v>
      </c>
      <c r="K774" s="2" t="s">
        <v>1134</v>
      </c>
      <c r="L774" s="2" t="str">
        <f t="shared" si="111"/>
        <v>02_Slots/Gottheit/Goetter-mit-Epitheta/0190_Month/0030_mnTw_NR_03.png &lt;sup&gt;(NR)&lt;/sup&gt;</v>
      </c>
    </row>
    <row r="775" spans="1:12">
      <c r="A775" s="2" t="s">
        <v>60</v>
      </c>
      <c r="B775" s="40">
        <v>190</v>
      </c>
      <c r="C775" s="2" t="s">
        <v>105</v>
      </c>
      <c r="E775" s="2" t="s">
        <v>1177</v>
      </c>
      <c r="G775" s="2" t="s">
        <v>817</v>
      </c>
      <c r="I775" s="2" t="s">
        <v>1132</v>
      </c>
      <c r="J775" s="2" t="s">
        <v>1135</v>
      </c>
      <c r="K775" s="2" t="s">
        <v>1134</v>
      </c>
      <c r="L775" s="2" t="str">
        <f t="shared" si="111"/>
        <v>02_Slots/Gottheit/Goetter-mit-Epitheta/0190_Month/0040_mnTw_GR_01.png &lt;sup&gt;(Gr.)&lt;/sup&gt;</v>
      </c>
    </row>
    <row r="776" spans="1:12">
      <c r="A776" s="2" t="s">
        <v>60</v>
      </c>
      <c r="B776" s="40">
        <v>190</v>
      </c>
      <c r="C776" s="2" t="s">
        <v>106</v>
      </c>
      <c r="E776" s="2" t="s">
        <v>1177</v>
      </c>
      <c r="F776" s="2" t="s">
        <v>110</v>
      </c>
      <c r="G776" s="2" t="s">
        <v>818</v>
      </c>
      <c r="L776" s="2" t="str">
        <f t="shared" si="110"/>
        <v>02_Slots/Gottheit/Goetter-mit-Epitheta/0190_Month/det/0001_mnTw_det_01.png</v>
      </c>
    </row>
    <row r="777" spans="1:12">
      <c r="A777" s="2" t="s">
        <v>60</v>
      </c>
      <c r="B777" s="40">
        <v>190</v>
      </c>
      <c r="C777" s="2" t="s">
        <v>106</v>
      </c>
      <c r="E777" s="2" t="s">
        <v>1177</v>
      </c>
      <c r="F777" s="2" t="s">
        <v>110</v>
      </c>
      <c r="G777" s="2" t="s">
        <v>819</v>
      </c>
      <c r="L777" s="2" t="str">
        <f t="shared" si="110"/>
        <v>02_Slots/Gottheit/Goetter-mit-Epitheta/0190_Month/det/0010_mnTw_det_02.png</v>
      </c>
    </row>
    <row r="778" spans="1:12">
      <c r="A778" s="2" t="s">
        <v>60</v>
      </c>
      <c r="B778" s="40">
        <v>190</v>
      </c>
      <c r="C778" s="2" t="s">
        <v>107</v>
      </c>
      <c r="L778" s="2" t="s">
        <v>142</v>
      </c>
    </row>
    <row r="779" spans="1:12">
      <c r="A779" s="2" t="s">
        <v>60</v>
      </c>
      <c r="B779" s="40">
        <v>190</v>
      </c>
      <c r="C779" s="2" t="s">
        <v>108</v>
      </c>
      <c r="L779" s="2" t="s">
        <v>1113</v>
      </c>
    </row>
    <row r="781" spans="1:12">
      <c r="A781" s="2" t="s">
        <v>820</v>
      </c>
      <c r="B781" s="40">
        <v>1</v>
      </c>
      <c r="C781" s="2" t="s">
        <v>39</v>
      </c>
      <c r="L781" s="2" t="s">
        <v>821</v>
      </c>
    </row>
    <row r="782" spans="1:12">
      <c r="A782" s="2" t="s">
        <v>820</v>
      </c>
      <c r="B782" s="40">
        <v>1</v>
      </c>
      <c r="C782" s="2" t="s">
        <v>105</v>
      </c>
      <c r="E782" s="2" t="s">
        <v>1177</v>
      </c>
      <c r="F782" s="2" t="s">
        <v>823</v>
      </c>
      <c r="G782" s="2" t="s">
        <v>824</v>
      </c>
      <c r="L782" s="2" t="str">
        <f t="shared" ref="L782:L789" si="112">_xlfn.TEXTJOIN("", TRUE, D782:K782)</f>
        <v>02_Slots/Gottheit/Goetter-mit-Epitheta/0190_Month/epitheta/01_nb-wAs.t/0001_nb-WAs.t_01.png</v>
      </c>
    </row>
    <row r="783" spans="1:12">
      <c r="A783" s="2" t="s">
        <v>820</v>
      </c>
      <c r="B783" s="40">
        <v>1</v>
      </c>
      <c r="C783" s="2" t="s">
        <v>105</v>
      </c>
      <c r="E783" s="2" t="s">
        <v>1177</v>
      </c>
      <c r="F783" s="2" t="s">
        <v>823</v>
      </c>
      <c r="G783" s="2" t="s">
        <v>825</v>
      </c>
      <c r="I783" s="2" t="s">
        <v>1132</v>
      </c>
      <c r="J783" s="2" t="s">
        <v>1133</v>
      </c>
      <c r="K783" s="2" t="s">
        <v>1134</v>
      </c>
      <c r="L783" s="2" t="str">
        <f t="shared" si="112"/>
        <v>02_Slots/Gottheit/Goetter-mit-Epitheta/0190_Month/epitheta/01_nb-wAs.t/0010_nb-WAs.t_AR_01.png &lt;sup&gt;(AR)&lt;/sup&gt;</v>
      </c>
    </row>
    <row r="784" spans="1:12">
      <c r="A784" s="2" t="s">
        <v>820</v>
      </c>
      <c r="B784" s="40">
        <v>1</v>
      </c>
      <c r="C784" s="2" t="s">
        <v>105</v>
      </c>
      <c r="E784" s="2" t="s">
        <v>1177</v>
      </c>
      <c r="F784" s="2" t="s">
        <v>823</v>
      </c>
      <c r="G784" s="2" t="s">
        <v>826</v>
      </c>
      <c r="I784" s="2" t="s">
        <v>1132</v>
      </c>
      <c r="J784" s="2" t="s">
        <v>1088</v>
      </c>
      <c r="K784" s="2" t="s">
        <v>1134</v>
      </c>
      <c r="L784" s="2" t="str">
        <f t="shared" si="112"/>
        <v>02_Slots/Gottheit/Goetter-mit-Epitheta/0190_Month/epitheta/01_nb-wAs.t/0020_nb-WAs.t_NR_01.png &lt;sup&gt;(NR)&lt;/sup&gt;</v>
      </c>
    </row>
    <row r="785" spans="1:12">
      <c r="A785" s="2" t="s">
        <v>820</v>
      </c>
      <c r="B785" s="40">
        <v>1</v>
      </c>
      <c r="C785" s="2" t="s">
        <v>105</v>
      </c>
      <c r="E785" s="2" t="s">
        <v>1177</v>
      </c>
      <c r="F785" s="2" t="s">
        <v>823</v>
      </c>
      <c r="G785" s="2" t="s">
        <v>827</v>
      </c>
      <c r="I785" s="2" t="s">
        <v>1132</v>
      </c>
      <c r="J785" s="2" t="s">
        <v>1088</v>
      </c>
      <c r="K785" s="2" t="s">
        <v>1134</v>
      </c>
      <c r="L785" s="2" t="str">
        <f t="shared" si="112"/>
        <v>02_Slots/Gottheit/Goetter-mit-Epitheta/0190_Month/epitheta/01_nb-wAs.t/0030_nb-WAs.t_NR_02.png &lt;sup&gt;(NR)&lt;/sup&gt;</v>
      </c>
    </row>
    <row r="786" spans="1:12">
      <c r="A786" s="2" t="s">
        <v>820</v>
      </c>
      <c r="B786" s="40">
        <v>1</v>
      </c>
      <c r="C786" s="2" t="s">
        <v>105</v>
      </c>
      <c r="E786" s="2" t="s">
        <v>1177</v>
      </c>
      <c r="F786" s="2" t="s">
        <v>823</v>
      </c>
      <c r="G786" s="2" t="s">
        <v>828</v>
      </c>
      <c r="I786" s="2" t="s">
        <v>1132</v>
      </c>
      <c r="J786" s="2" t="s">
        <v>1088</v>
      </c>
      <c r="K786" s="2" t="s">
        <v>1134</v>
      </c>
      <c r="L786" s="2" t="str">
        <f t="shared" si="112"/>
        <v>02_Slots/Gottheit/Goetter-mit-Epitheta/0190_Month/epitheta/01_nb-wAs.t/0040_nb-WAs.t_NR_03.png &lt;sup&gt;(NR)&lt;/sup&gt;</v>
      </c>
    </row>
    <row r="787" spans="1:12">
      <c r="A787" s="2" t="s">
        <v>820</v>
      </c>
      <c r="B787" s="40">
        <v>1</v>
      </c>
      <c r="C787" s="2" t="s">
        <v>105</v>
      </c>
      <c r="E787" s="2" t="s">
        <v>1177</v>
      </c>
      <c r="F787" s="2" t="s">
        <v>823</v>
      </c>
      <c r="G787" s="2" t="s">
        <v>1315</v>
      </c>
      <c r="H787" s="2" t="s">
        <v>112</v>
      </c>
      <c r="I787" s="2" t="s">
        <v>1132</v>
      </c>
      <c r="J787" s="2" t="s">
        <v>1088</v>
      </c>
      <c r="K787" s="2" t="s">
        <v>1134</v>
      </c>
      <c r="L787" s="2" t="str">
        <f t="shared" si="112"/>
        <v>02_Slots/Gottheit/Goetter-mit-Epitheta/0190_Month/epitheta/01_nb-wAs.t/0050_nb-WAs.t_NR_04.png &lt;sup&gt;(NR)&lt;/sup&gt;</v>
      </c>
    </row>
    <row r="788" spans="1:12">
      <c r="A788" s="2" t="s">
        <v>820</v>
      </c>
      <c r="B788" s="40">
        <v>1</v>
      </c>
      <c r="C788" s="2" t="s">
        <v>105</v>
      </c>
      <c r="E788" s="2" t="s">
        <v>1177</v>
      </c>
      <c r="F788" s="2" t="s">
        <v>823</v>
      </c>
      <c r="G788" s="2" t="s">
        <v>1314</v>
      </c>
      <c r="H788" s="2" t="s">
        <v>112</v>
      </c>
      <c r="I788" s="2" t="s">
        <v>1132</v>
      </c>
      <c r="J788" s="2" t="s">
        <v>1141</v>
      </c>
      <c r="K788" s="2" t="s">
        <v>1134</v>
      </c>
      <c r="L788" s="2" t="str">
        <f t="shared" si="112"/>
        <v>02_Slots/Gottheit/Goetter-mit-Epitheta/0190_Month/epitheta/01_nb-wAs.t/0060_nb-WAs.t_Sp_01.png &lt;sup&gt;(Sp.)&lt;/sup&gt;</v>
      </c>
    </row>
    <row r="789" spans="1:12">
      <c r="A789" s="2" t="s">
        <v>820</v>
      </c>
      <c r="B789" s="40">
        <v>1</v>
      </c>
      <c r="C789" s="2" t="s">
        <v>105</v>
      </c>
      <c r="E789" s="2" t="s">
        <v>1177</v>
      </c>
      <c r="F789" s="2" t="s">
        <v>823</v>
      </c>
      <c r="G789" s="2" t="s">
        <v>1316</v>
      </c>
      <c r="H789" s="2" t="s">
        <v>112</v>
      </c>
      <c r="I789" s="2" t="s">
        <v>1132</v>
      </c>
      <c r="J789" s="2" t="s">
        <v>1317</v>
      </c>
      <c r="K789" s="2" t="s">
        <v>1134</v>
      </c>
      <c r="L789" s="2" t="str">
        <f t="shared" si="112"/>
        <v>02_Slots/Gottheit/Goetter-mit-Epitheta/0190_Month/epitheta/01_nb-wAs.t/0070_nb-WAs.t_Gr_01.png &lt;sup&gt;  &lt;/sup&gt;</v>
      </c>
    </row>
    <row r="790" spans="1:12">
      <c r="A790" s="2" t="s">
        <v>820</v>
      </c>
      <c r="B790" s="40">
        <v>1</v>
      </c>
      <c r="C790" s="2" t="s">
        <v>27</v>
      </c>
      <c r="L790" s="2" t="s">
        <v>822</v>
      </c>
    </row>
    <row r="794" spans="1:12">
      <c r="A794" s="2" t="s">
        <v>60</v>
      </c>
      <c r="B794" s="40">
        <v>200</v>
      </c>
      <c r="C794" s="2" t="s">
        <v>39</v>
      </c>
      <c r="L794" s="2" t="s">
        <v>656</v>
      </c>
    </row>
    <row r="795" spans="1:12">
      <c r="A795" s="2" t="s">
        <v>60</v>
      </c>
      <c r="B795" s="40">
        <v>200</v>
      </c>
      <c r="C795" s="2" t="s">
        <v>105</v>
      </c>
      <c r="E795" s="2" t="s">
        <v>1178</v>
      </c>
      <c r="G795" s="2" t="s">
        <v>829</v>
      </c>
      <c r="L795" s="2" t="str">
        <f>_xlfn.TEXTJOIN("", TRUE, D795:K795)</f>
        <v>02_Slots/Gottheit/Goetter-mit-Epitheta/0200_Neith/0001_nj.t_01.png</v>
      </c>
    </row>
    <row r="796" spans="1:12">
      <c r="A796" s="2" t="s">
        <v>60</v>
      </c>
      <c r="B796" s="40">
        <v>200</v>
      </c>
      <c r="C796" s="2" t="s">
        <v>105</v>
      </c>
      <c r="E796" s="2" t="s">
        <v>1178</v>
      </c>
      <c r="G796" s="2" t="s">
        <v>830</v>
      </c>
      <c r="L796" s="2" t="str">
        <f>_xlfn.TEXTJOIN("", TRUE, D796:K796)</f>
        <v>02_Slots/Gottheit/Goetter-mit-Epitheta/0200_Neith/0010_nj.t_02.png</v>
      </c>
    </row>
    <row r="797" spans="1:12">
      <c r="A797" s="2" t="s">
        <v>60</v>
      </c>
      <c r="B797" s="40">
        <v>200</v>
      </c>
      <c r="C797" s="2" t="s">
        <v>105</v>
      </c>
      <c r="E797" s="2" t="s">
        <v>1178</v>
      </c>
      <c r="G797" s="2" t="s">
        <v>831</v>
      </c>
      <c r="L797" s="2" t="str">
        <f>_xlfn.TEXTJOIN("", TRUE, D797:K797)</f>
        <v>02_Slots/Gottheit/Goetter-mit-Epitheta/0200_Neith/0020_nj.t_03.png</v>
      </c>
    </row>
    <row r="798" spans="1:12">
      <c r="A798" s="2" t="s">
        <v>60</v>
      </c>
      <c r="B798" s="40">
        <v>200</v>
      </c>
      <c r="C798" s="2" t="s">
        <v>105</v>
      </c>
      <c r="E798" s="2" t="s">
        <v>1178</v>
      </c>
      <c r="G798" s="2" t="s">
        <v>832</v>
      </c>
      <c r="L798" s="2" t="str">
        <f>_xlfn.TEXTJOIN("", TRUE, D798:K798)</f>
        <v>02_Slots/Gottheit/Goetter-mit-Epitheta/0200_Neith/0030_nj.t_04.png</v>
      </c>
    </row>
    <row r="799" spans="1:12">
      <c r="A799" s="2" t="s">
        <v>60</v>
      </c>
      <c r="B799" s="40">
        <v>200</v>
      </c>
      <c r="C799" s="2" t="s">
        <v>105</v>
      </c>
      <c r="E799" s="2" t="s">
        <v>1178</v>
      </c>
      <c r="G799" s="2" t="s">
        <v>833</v>
      </c>
      <c r="I799" s="2" t="s">
        <v>1132</v>
      </c>
      <c r="J799" s="2" t="s">
        <v>1088</v>
      </c>
      <c r="K799" s="2" t="s">
        <v>1134</v>
      </c>
      <c r="L799" s="2" t="str">
        <f>_xlfn.TEXTJOIN("", TRUE, D799:K799)</f>
        <v>02_Slots/Gottheit/Goetter-mit-Epitheta/0200_Neith/0040_nj.t_NR_01.png &lt;sup&gt;(NR)&lt;/sup&gt;</v>
      </c>
    </row>
    <row r="800" spans="1:12">
      <c r="A800" s="2" t="s">
        <v>60</v>
      </c>
      <c r="B800" s="40">
        <v>200</v>
      </c>
      <c r="C800" s="2" t="s">
        <v>106</v>
      </c>
      <c r="L800" s="2" t="str">
        <f t="shared" ref="L800" si="113">_xlfn.TEXTJOIN("", TRUE, D800:J800)</f>
        <v/>
      </c>
    </row>
    <row r="801" spans="1:12">
      <c r="A801" s="2" t="s">
        <v>60</v>
      </c>
      <c r="B801" s="40">
        <v>200</v>
      </c>
      <c r="C801" s="2" t="s">
        <v>107</v>
      </c>
      <c r="L801" s="2" t="s">
        <v>143</v>
      </c>
    </row>
    <row r="802" spans="1:12">
      <c r="A802" s="2" t="s">
        <v>60</v>
      </c>
      <c r="B802" s="40">
        <v>200</v>
      </c>
      <c r="C802" s="2" t="s">
        <v>108</v>
      </c>
    </row>
    <row r="805" spans="1:12">
      <c r="A805" s="2" t="s">
        <v>60</v>
      </c>
      <c r="B805" s="40">
        <v>210</v>
      </c>
      <c r="C805" s="2" t="s">
        <v>39</v>
      </c>
      <c r="L805" s="2" t="s">
        <v>657</v>
      </c>
    </row>
    <row r="806" spans="1:12">
      <c r="A806" s="2" t="s">
        <v>60</v>
      </c>
      <c r="B806" s="40">
        <v>210</v>
      </c>
      <c r="C806" s="2" t="s">
        <v>105</v>
      </c>
      <c r="E806" s="2" t="s">
        <v>1179</v>
      </c>
      <c r="G806" s="2" t="s">
        <v>834</v>
      </c>
      <c r="L806" s="2" t="str">
        <f t="shared" ref="L806:L811" si="114">_xlfn.TEXTJOIN("", TRUE, D806:K806)</f>
        <v>02_Slots/Gottheit/Goetter-mit-Epitheta/0210_Nut/0001_nw.t_01.png</v>
      </c>
    </row>
    <row r="807" spans="1:12">
      <c r="A807" s="2" t="s">
        <v>60</v>
      </c>
      <c r="B807" s="40">
        <v>210</v>
      </c>
      <c r="C807" s="2" t="s">
        <v>105</v>
      </c>
      <c r="E807" s="2" t="s">
        <v>1179</v>
      </c>
      <c r="G807" s="2" t="s">
        <v>835</v>
      </c>
      <c r="I807" s="2" t="s">
        <v>1132</v>
      </c>
      <c r="J807" s="2" t="s">
        <v>1133</v>
      </c>
      <c r="K807" s="2" t="s">
        <v>1134</v>
      </c>
      <c r="L807" s="2" t="str">
        <f t="shared" si="114"/>
        <v>02_Slots/Gottheit/Goetter-mit-Epitheta/0210_Nut/0010_nw.t_AR_01.png &lt;sup&gt;(AR)&lt;/sup&gt;</v>
      </c>
    </row>
    <row r="808" spans="1:12">
      <c r="A808" s="2" t="s">
        <v>60</v>
      </c>
      <c r="B808" s="40">
        <v>210</v>
      </c>
      <c r="C808" s="2" t="s">
        <v>105</v>
      </c>
      <c r="E808" s="2" t="s">
        <v>1179</v>
      </c>
      <c r="G808" s="2" t="s">
        <v>836</v>
      </c>
      <c r="I808" s="2" t="s">
        <v>1132</v>
      </c>
      <c r="J808" s="2" t="s">
        <v>1133</v>
      </c>
      <c r="K808" s="2" t="s">
        <v>1134</v>
      </c>
      <c r="L808" s="2" t="str">
        <f t="shared" si="114"/>
        <v>02_Slots/Gottheit/Goetter-mit-Epitheta/0210_Nut/0020_nw.t_AR_02.png &lt;sup&gt;(AR)&lt;/sup&gt;</v>
      </c>
    </row>
    <row r="809" spans="1:12">
      <c r="A809" s="2" t="s">
        <v>60</v>
      </c>
      <c r="B809" s="40">
        <v>210</v>
      </c>
      <c r="C809" s="2" t="s">
        <v>105</v>
      </c>
      <c r="E809" s="2" t="s">
        <v>1179</v>
      </c>
      <c r="G809" s="2" t="s">
        <v>837</v>
      </c>
      <c r="I809" s="2" t="s">
        <v>1132</v>
      </c>
      <c r="J809" s="2" t="s">
        <v>1133</v>
      </c>
      <c r="K809" s="2" t="s">
        <v>1134</v>
      </c>
      <c r="L809" s="2" t="str">
        <f t="shared" si="114"/>
        <v>02_Slots/Gottheit/Goetter-mit-Epitheta/0210_Nut/0030_nw.t_AR_03.png &lt;sup&gt;(AR)&lt;/sup&gt;</v>
      </c>
    </row>
    <row r="810" spans="1:12">
      <c r="A810" s="2" t="s">
        <v>60</v>
      </c>
      <c r="B810" s="40">
        <v>210</v>
      </c>
      <c r="C810" s="2" t="s">
        <v>105</v>
      </c>
      <c r="E810" s="2" t="s">
        <v>1179</v>
      </c>
      <c r="G810" s="2" t="s">
        <v>838</v>
      </c>
      <c r="I810" s="2" t="s">
        <v>1132</v>
      </c>
      <c r="J810" s="2" t="s">
        <v>1088</v>
      </c>
      <c r="K810" s="2" t="s">
        <v>1134</v>
      </c>
      <c r="L810" s="2" t="str">
        <f t="shared" si="114"/>
        <v>02_Slots/Gottheit/Goetter-mit-Epitheta/0210_Nut/0040_nw.t_NR_01.png &lt;sup&gt;(NR)&lt;/sup&gt;</v>
      </c>
    </row>
    <row r="811" spans="1:12">
      <c r="A811" s="2" t="s">
        <v>60</v>
      </c>
      <c r="B811" s="40">
        <v>210</v>
      </c>
      <c r="C811" s="2" t="s">
        <v>105</v>
      </c>
      <c r="E811" s="2" t="s">
        <v>1179</v>
      </c>
      <c r="G811" s="2" t="s">
        <v>839</v>
      </c>
      <c r="I811" s="2" t="s">
        <v>1132</v>
      </c>
      <c r="J811" s="2" t="s">
        <v>1135</v>
      </c>
      <c r="K811" s="2" t="s">
        <v>1134</v>
      </c>
      <c r="L811" s="2" t="str">
        <f t="shared" si="114"/>
        <v>02_Slots/Gottheit/Goetter-mit-Epitheta/0210_Nut/0050_nw.t_GR_01.png &lt;sup&gt;(Gr.)&lt;/sup&gt;</v>
      </c>
    </row>
    <row r="812" spans="1:12">
      <c r="A812" s="2" t="s">
        <v>60</v>
      </c>
      <c r="B812" s="40">
        <v>210</v>
      </c>
      <c r="C812" s="2" t="s">
        <v>106</v>
      </c>
      <c r="L812" s="2" t="str">
        <f t="shared" ref="L812" si="115">_xlfn.TEXTJOIN("", TRUE, D812:J812)</f>
        <v/>
      </c>
    </row>
    <row r="813" spans="1:12">
      <c r="A813" s="2" t="s">
        <v>60</v>
      </c>
      <c r="B813" s="40">
        <v>210</v>
      </c>
      <c r="C813" s="2" t="s">
        <v>107</v>
      </c>
      <c r="L813" s="2" t="s">
        <v>144</v>
      </c>
    </row>
    <row r="814" spans="1:12">
      <c r="A814" s="2" t="s">
        <v>60</v>
      </c>
      <c r="B814" s="40">
        <v>210</v>
      </c>
      <c r="C814" s="2" t="s">
        <v>108</v>
      </c>
    </row>
    <row r="817" spans="1:12">
      <c r="A817" s="2" t="s">
        <v>60</v>
      </c>
      <c r="B817" s="40">
        <v>220</v>
      </c>
      <c r="C817" s="2" t="s">
        <v>39</v>
      </c>
      <c r="L817" s="2" t="s">
        <v>658</v>
      </c>
    </row>
    <row r="818" spans="1:12">
      <c r="A818" s="2" t="s">
        <v>60</v>
      </c>
      <c r="B818" s="40">
        <v>220</v>
      </c>
      <c r="C818" s="2" t="s">
        <v>105</v>
      </c>
      <c r="E818" s="2" t="s">
        <v>1180</v>
      </c>
      <c r="G818" s="2" t="s">
        <v>840</v>
      </c>
      <c r="L818" s="2" t="str">
        <f t="shared" ref="L818:L824" si="116">_xlfn.TEXTJOIN("", TRUE, D818:K818)</f>
        <v>02_Slots/Gottheit/Goetter-mit-Epitheta/0220_Nephthys/0001_nb.t-Hw.t_01.png</v>
      </c>
    </row>
    <row r="819" spans="1:12">
      <c r="A819" s="2" t="s">
        <v>60</v>
      </c>
      <c r="B819" s="40">
        <v>220</v>
      </c>
      <c r="C819" s="2" t="s">
        <v>105</v>
      </c>
      <c r="E819" s="2" t="s">
        <v>1180</v>
      </c>
      <c r="G819" s="2" t="s">
        <v>841</v>
      </c>
      <c r="I819" s="2" t="s">
        <v>1132</v>
      </c>
      <c r="J819" s="2" t="s">
        <v>1133</v>
      </c>
      <c r="K819" s="2" t="s">
        <v>1134</v>
      </c>
      <c r="L819" s="2" t="str">
        <f t="shared" si="116"/>
        <v>02_Slots/Gottheit/Goetter-mit-Epitheta/0220_Nephthys/0010_nb.t-Hw.t_AR_01.png &lt;sup&gt;(AR)&lt;/sup&gt;</v>
      </c>
    </row>
    <row r="820" spans="1:12">
      <c r="A820" s="2" t="s">
        <v>60</v>
      </c>
      <c r="B820" s="40">
        <v>220</v>
      </c>
      <c r="C820" s="2" t="s">
        <v>105</v>
      </c>
      <c r="E820" s="2" t="s">
        <v>1180</v>
      </c>
      <c r="G820" s="2" t="s">
        <v>842</v>
      </c>
      <c r="I820" s="2" t="s">
        <v>1132</v>
      </c>
      <c r="J820" s="2" t="s">
        <v>1088</v>
      </c>
      <c r="K820" s="2" t="s">
        <v>1134</v>
      </c>
      <c r="L820" s="2" t="str">
        <f t="shared" si="116"/>
        <v>02_Slots/Gottheit/Goetter-mit-Epitheta/0220_Nephthys/0020_nb.t-Hw.t_NR_01.png &lt;sup&gt;(NR)&lt;/sup&gt;</v>
      </c>
    </row>
    <row r="821" spans="1:12">
      <c r="A821" s="2" t="s">
        <v>60</v>
      </c>
      <c r="B821" s="40">
        <v>220</v>
      </c>
      <c r="C821" s="2" t="s">
        <v>105</v>
      </c>
      <c r="E821" s="2" t="s">
        <v>1180</v>
      </c>
      <c r="G821" s="2" t="s">
        <v>843</v>
      </c>
      <c r="I821" s="2" t="s">
        <v>1132</v>
      </c>
      <c r="J821" s="2" t="s">
        <v>1088</v>
      </c>
      <c r="K821" s="2" t="s">
        <v>1134</v>
      </c>
      <c r="L821" s="2" t="str">
        <f t="shared" si="116"/>
        <v>02_Slots/Gottheit/Goetter-mit-Epitheta/0220_Nephthys/0030_nb.t-Hw.t_NR_02.png &lt;sup&gt;(NR)&lt;/sup&gt;</v>
      </c>
    </row>
    <row r="822" spans="1:12">
      <c r="A822" s="2" t="s">
        <v>60</v>
      </c>
      <c r="B822" s="40">
        <v>220</v>
      </c>
      <c r="C822" s="2" t="s">
        <v>105</v>
      </c>
      <c r="E822" s="2" t="s">
        <v>1180</v>
      </c>
      <c r="G822" s="2" t="s">
        <v>844</v>
      </c>
      <c r="I822" s="2" t="s">
        <v>1132</v>
      </c>
      <c r="J822" s="2" t="s">
        <v>1141</v>
      </c>
      <c r="K822" s="2" t="s">
        <v>1134</v>
      </c>
      <c r="L822" s="2" t="str">
        <f t="shared" si="116"/>
        <v>02_Slots/Gottheit/Goetter-mit-Epitheta/0220_Nephthys/0040_nb.t-Hw.t_SP_01.png &lt;sup&gt;(Sp.)&lt;/sup&gt;</v>
      </c>
    </row>
    <row r="823" spans="1:12">
      <c r="A823" s="2" t="s">
        <v>60</v>
      </c>
      <c r="B823" s="40">
        <v>220</v>
      </c>
      <c r="C823" s="2" t="s">
        <v>105</v>
      </c>
      <c r="E823" s="2" t="s">
        <v>1180</v>
      </c>
      <c r="G823" s="2" t="s">
        <v>845</v>
      </c>
      <c r="I823" s="2" t="s">
        <v>1132</v>
      </c>
      <c r="J823" s="2" t="s">
        <v>1135</v>
      </c>
      <c r="K823" s="2" t="s">
        <v>1134</v>
      </c>
      <c r="L823" s="2" t="str">
        <f t="shared" si="116"/>
        <v>02_Slots/Gottheit/Goetter-mit-Epitheta/0220_Nephthys/0050_nb.t-Hw.t_GR_01.png &lt;sup&gt;(Gr.)&lt;/sup&gt;</v>
      </c>
    </row>
    <row r="824" spans="1:12">
      <c r="A824" s="2" t="s">
        <v>60</v>
      </c>
      <c r="B824" s="40">
        <v>220</v>
      </c>
      <c r="C824" s="2" t="s">
        <v>105</v>
      </c>
      <c r="E824" s="2" t="s">
        <v>1180</v>
      </c>
      <c r="G824" s="2" t="s">
        <v>846</v>
      </c>
      <c r="I824" s="2" t="s">
        <v>1132</v>
      </c>
      <c r="J824" s="2" t="s">
        <v>1135</v>
      </c>
      <c r="K824" s="2" t="s">
        <v>1134</v>
      </c>
      <c r="L824" s="2" t="str">
        <f t="shared" si="116"/>
        <v>02_Slots/Gottheit/Goetter-mit-Epitheta/0220_Nephthys/0060_nb.t-Hw.t_GR_02.png &lt;sup&gt;(Gr.)&lt;/sup&gt;</v>
      </c>
    </row>
    <row r="825" spans="1:12">
      <c r="A825" s="2" t="s">
        <v>60</v>
      </c>
      <c r="B825" s="40">
        <v>220</v>
      </c>
      <c r="C825" s="2" t="s">
        <v>106</v>
      </c>
      <c r="L825" s="2" t="str">
        <f t="shared" ref="L825" si="117">_xlfn.TEXTJOIN("", TRUE, D825:J825)</f>
        <v/>
      </c>
    </row>
    <row r="826" spans="1:12">
      <c r="A826" s="2" t="s">
        <v>60</v>
      </c>
      <c r="B826" s="40">
        <v>220</v>
      </c>
      <c r="C826" s="2" t="s">
        <v>107</v>
      </c>
      <c r="L826" s="2" t="s">
        <v>145</v>
      </c>
    </row>
    <row r="827" spans="1:12">
      <c r="A827" s="2" t="s">
        <v>60</v>
      </c>
      <c r="B827" s="40">
        <v>220</v>
      </c>
      <c r="C827" s="2" t="s">
        <v>108</v>
      </c>
    </row>
    <row r="830" spans="1:12">
      <c r="A830" s="2" t="s">
        <v>60</v>
      </c>
      <c r="B830" s="40">
        <v>230</v>
      </c>
      <c r="C830" s="2" t="s">
        <v>39</v>
      </c>
      <c r="L830" s="2" t="s">
        <v>659</v>
      </c>
    </row>
    <row r="831" spans="1:12">
      <c r="A831" s="2" t="s">
        <v>60</v>
      </c>
      <c r="B831" s="40">
        <v>230</v>
      </c>
      <c r="C831" s="2" t="s">
        <v>105</v>
      </c>
      <c r="E831" s="2" t="s">
        <v>1181</v>
      </c>
      <c r="G831" s="2" t="s">
        <v>847</v>
      </c>
      <c r="L831" s="2" t="str">
        <f t="shared" ref="L831:L832" si="118">_xlfn.TEXTJOIN("", TRUE, D831:J831)</f>
        <v>02_Slots/Gottheit/Goetter-mit-Epitheta/0230_Nefertem/0001_nfr-tm_01.png</v>
      </c>
    </row>
    <row r="832" spans="1:12">
      <c r="A832" s="2" t="s">
        <v>60</v>
      </c>
      <c r="B832" s="40">
        <v>230</v>
      </c>
      <c r="C832" s="2" t="s">
        <v>105</v>
      </c>
      <c r="E832" s="2" t="s">
        <v>1181</v>
      </c>
      <c r="G832" s="2" t="s">
        <v>848</v>
      </c>
      <c r="L832" s="2" t="str">
        <f t="shared" si="118"/>
        <v>02_Slots/Gottheit/Goetter-mit-Epitheta/0230_Nefertem/0010_nfr-tm_02.png</v>
      </c>
    </row>
    <row r="833" spans="1:12">
      <c r="A833" s="2" t="s">
        <v>60</v>
      </c>
      <c r="B833" s="40">
        <v>230</v>
      </c>
      <c r="C833" s="2" t="s">
        <v>105</v>
      </c>
      <c r="E833" s="2" t="s">
        <v>1181</v>
      </c>
      <c r="G833" s="2" t="s">
        <v>849</v>
      </c>
      <c r="I833" s="2" t="s">
        <v>1132</v>
      </c>
      <c r="J833" s="2" t="s">
        <v>1088</v>
      </c>
      <c r="K833" s="2" t="s">
        <v>1134</v>
      </c>
      <c r="L833" s="2" t="str">
        <f t="shared" ref="L833:L837" si="119">_xlfn.TEXTJOIN("", TRUE, D833:K833)</f>
        <v>02_Slots/Gottheit/Goetter-mit-Epitheta/0230_Nefertem/0020_nfr-tm_NR_01.png &lt;sup&gt;(NR)&lt;/sup&gt;</v>
      </c>
    </row>
    <row r="834" spans="1:12">
      <c r="A834" s="2" t="s">
        <v>60</v>
      </c>
      <c r="B834" s="40">
        <v>230</v>
      </c>
      <c r="C834" s="2" t="s">
        <v>105</v>
      </c>
      <c r="E834" s="2" t="s">
        <v>1181</v>
      </c>
      <c r="G834" s="2" t="s">
        <v>850</v>
      </c>
      <c r="I834" s="2" t="s">
        <v>1132</v>
      </c>
      <c r="J834" s="2" t="s">
        <v>1135</v>
      </c>
      <c r="K834" s="2" t="s">
        <v>1134</v>
      </c>
      <c r="L834" s="2" t="str">
        <f t="shared" si="119"/>
        <v>02_Slots/Gottheit/Goetter-mit-Epitheta/0230_Nefertem/0030_nfr-tm_GR_01.png &lt;sup&gt;(Gr.)&lt;/sup&gt;</v>
      </c>
    </row>
    <row r="835" spans="1:12">
      <c r="A835" s="2" t="s">
        <v>60</v>
      </c>
      <c r="B835" s="40">
        <v>230</v>
      </c>
      <c r="C835" s="2" t="s">
        <v>105</v>
      </c>
      <c r="E835" s="2" t="s">
        <v>1181</v>
      </c>
      <c r="G835" s="2" t="s">
        <v>851</v>
      </c>
      <c r="I835" s="2" t="s">
        <v>1132</v>
      </c>
      <c r="J835" s="2" t="s">
        <v>1135</v>
      </c>
      <c r="K835" s="2" t="s">
        <v>1134</v>
      </c>
      <c r="L835" s="2" t="str">
        <f t="shared" si="119"/>
        <v>02_Slots/Gottheit/Goetter-mit-Epitheta/0230_Nefertem/0040_nfr-tm_GR_02.png &lt;sup&gt;(Gr.)&lt;/sup&gt;</v>
      </c>
    </row>
    <row r="836" spans="1:12">
      <c r="A836" s="2" t="s">
        <v>60</v>
      </c>
      <c r="B836" s="40">
        <v>230</v>
      </c>
      <c r="C836" s="2" t="s">
        <v>106</v>
      </c>
      <c r="E836" s="2" t="s">
        <v>1181</v>
      </c>
      <c r="F836" s="2" t="s">
        <v>110</v>
      </c>
      <c r="G836" s="2" t="s">
        <v>852</v>
      </c>
      <c r="I836" s="2" t="s">
        <v>1132</v>
      </c>
      <c r="J836" s="2" t="s">
        <v>1088</v>
      </c>
      <c r="K836" s="2" t="s">
        <v>1134</v>
      </c>
      <c r="L836" s="2" t="str">
        <f t="shared" si="119"/>
        <v>02_Slots/Gottheit/Goetter-mit-Epitheta/0230_Nefertem/det/0001_nfr-tm_det_NR_01.png &lt;sup&gt;(NR)&lt;/sup&gt;</v>
      </c>
    </row>
    <row r="837" spans="1:12">
      <c r="A837" s="2" t="s">
        <v>60</v>
      </c>
      <c r="B837" s="40">
        <v>230</v>
      </c>
      <c r="C837" s="2" t="s">
        <v>106</v>
      </c>
      <c r="E837" s="2" t="s">
        <v>1181</v>
      </c>
      <c r="F837" s="2" t="s">
        <v>110</v>
      </c>
      <c r="G837" s="2" t="s">
        <v>853</v>
      </c>
      <c r="I837" s="2" t="s">
        <v>1132</v>
      </c>
      <c r="J837" s="2" t="s">
        <v>1088</v>
      </c>
      <c r="K837" s="2" t="s">
        <v>1134</v>
      </c>
      <c r="L837" s="2" t="str">
        <f t="shared" si="119"/>
        <v>02_Slots/Gottheit/Goetter-mit-Epitheta/0230_Nefertem/det/0010_nfr-tm_det_NR_02.png &lt;sup&gt;(NR)&lt;/sup&gt;</v>
      </c>
    </row>
    <row r="838" spans="1:12">
      <c r="A838" s="2" t="s">
        <v>60</v>
      </c>
      <c r="B838" s="40">
        <v>230</v>
      </c>
      <c r="C838" s="2" t="s">
        <v>107</v>
      </c>
      <c r="L838" s="2" t="s">
        <v>146</v>
      </c>
    </row>
    <row r="839" spans="1:12">
      <c r="A839" s="2" t="s">
        <v>60</v>
      </c>
      <c r="B839" s="40">
        <v>230</v>
      </c>
      <c r="C839" s="2" t="s">
        <v>108</v>
      </c>
    </row>
    <row r="842" spans="1:12">
      <c r="A842" s="2" t="s">
        <v>60</v>
      </c>
      <c r="B842" s="40">
        <v>240</v>
      </c>
      <c r="C842" s="2" t="s">
        <v>39</v>
      </c>
      <c r="L842" s="2" t="s">
        <v>660</v>
      </c>
    </row>
    <row r="843" spans="1:12">
      <c r="A843" s="2" t="s">
        <v>60</v>
      </c>
      <c r="B843" s="40">
        <v>240</v>
      </c>
      <c r="C843" s="2" t="s">
        <v>105</v>
      </c>
      <c r="E843" s="2" t="s">
        <v>1182</v>
      </c>
      <c r="G843" s="2" t="s">
        <v>854</v>
      </c>
      <c r="L843" s="2" t="str">
        <f>_xlfn.TEXTJOIN("", TRUE, D843:J843)</f>
        <v>02_Slots/Gottheit/Goetter-mit-Epitheta/0240_Nechbet/0001_nxb.t_01.png</v>
      </c>
    </row>
    <row r="844" spans="1:12">
      <c r="A844" s="2" t="s">
        <v>60</v>
      </c>
      <c r="B844" s="40">
        <v>240</v>
      </c>
      <c r="C844" s="2" t="s">
        <v>105</v>
      </c>
      <c r="E844" s="2" t="s">
        <v>1182</v>
      </c>
      <c r="G844" s="2" t="s">
        <v>855</v>
      </c>
      <c r="L844" s="2" t="str">
        <f>_xlfn.TEXTJOIN("", TRUE, D844:J844)</f>
        <v>02_Slots/Gottheit/Goetter-mit-Epitheta/0240_Nechbet/0010_nxb.t_02.png</v>
      </c>
    </row>
    <row r="845" spans="1:12">
      <c r="A845" s="2" t="s">
        <v>60</v>
      </c>
      <c r="B845" s="40">
        <v>240</v>
      </c>
      <c r="C845" s="2" t="s">
        <v>105</v>
      </c>
      <c r="E845" s="2" t="s">
        <v>1182</v>
      </c>
      <c r="G845" s="2" t="s">
        <v>856</v>
      </c>
      <c r="I845" s="2" t="s">
        <v>1132</v>
      </c>
      <c r="J845" s="2" t="s">
        <v>1088</v>
      </c>
      <c r="K845" s="2" t="s">
        <v>1134</v>
      </c>
      <c r="L845" s="2" t="str">
        <f t="shared" ref="L845:L847" si="120">_xlfn.TEXTJOIN("", TRUE, D845:K845)</f>
        <v>02_Slots/Gottheit/Goetter-mit-Epitheta/0240_Nechbet/0020_nxb.t_NR_01.png &lt;sup&gt;(NR)&lt;/sup&gt;</v>
      </c>
    </row>
    <row r="846" spans="1:12">
      <c r="A846" s="2" t="s">
        <v>60</v>
      </c>
      <c r="B846" s="40">
        <v>240</v>
      </c>
      <c r="C846" s="2" t="s">
        <v>105</v>
      </c>
      <c r="E846" s="2" t="s">
        <v>1182</v>
      </c>
      <c r="G846" s="2" t="s">
        <v>857</v>
      </c>
      <c r="I846" s="2" t="s">
        <v>1132</v>
      </c>
      <c r="J846" s="2" t="s">
        <v>1135</v>
      </c>
      <c r="K846" s="2" t="s">
        <v>1134</v>
      </c>
      <c r="L846" s="2" t="str">
        <f t="shared" si="120"/>
        <v>02_Slots/Gottheit/Goetter-mit-Epitheta/0240_Nechbet/0030_nxb.t_GR_01.png &lt;sup&gt;(Gr.)&lt;/sup&gt;</v>
      </c>
    </row>
    <row r="847" spans="1:12">
      <c r="A847" s="2" t="s">
        <v>60</v>
      </c>
      <c r="B847" s="40">
        <v>240</v>
      </c>
      <c r="C847" s="2" t="s">
        <v>106</v>
      </c>
      <c r="E847" s="2" t="s">
        <v>1182</v>
      </c>
      <c r="F847" s="2" t="s">
        <v>110</v>
      </c>
      <c r="G847" s="2" t="s">
        <v>858</v>
      </c>
      <c r="H847" s="2" t="s">
        <v>112</v>
      </c>
      <c r="I847" s="2" t="s">
        <v>1132</v>
      </c>
      <c r="J847" s="2" t="s">
        <v>1133</v>
      </c>
      <c r="K847" s="2" t="s">
        <v>1134</v>
      </c>
      <c r="L847" s="2" t="str">
        <f t="shared" si="120"/>
        <v>02_Slots/Gottheit/Goetter-mit-Epitheta/0240_Nechbet/det/0001_nxb.t_det_AR_01.png &lt;sup&gt;(AR)&lt;/sup&gt;</v>
      </c>
    </row>
    <row r="848" spans="1:12">
      <c r="A848" s="2" t="s">
        <v>60</v>
      </c>
      <c r="B848" s="40">
        <v>240</v>
      </c>
      <c r="C848" s="2" t="s">
        <v>107</v>
      </c>
      <c r="L848" s="2" t="s">
        <v>147</v>
      </c>
    </row>
    <row r="849" spans="1:12">
      <c r="A849" s="2" t="s">
        <v>60</v>
      </c>
      <c r="B849" s="40">
        <v>240</v>
      </c>
      <c r="C849" s="2" t="s">
        <v>108</v>
      </c>
    </row>
    <row r="852" spans="1:12">
      <c r="A852" s="2" t="s">
        <v>60</v>
      </c>
      <c r="B852" s="40">
        <v>250</v>
      </c>
      <c r="C852" s="2" t="s">
        <v>39</v>
      </c>
      <c r="L852" s="2" t="s">
        <v>661</v>
      </c>
    </row>
    <row r="853" spans="1:12">
      <c r="A853" s="2" t="s">
        <v>60</v>
      </c>
      <c r="B853" s="40">
        <v>250</v>
      </c>
      <c r="C853" s="2" t="s">
        <v>105</v>
      </c>
      <c r="E853" s="2" t="s">
        <v>1183</v>
      </c>
      <c r="G853" s="2" t="s">
        <v>859</v>
      </c>
      <c r="L853" s="2" t="str">
        <f t="shared" ref="L853" si="121">_xlfn.TEXTJOIN("", TRUE, D853:J853)</f>
        <v>02_Slots/Gottheit/Goetter-mit-Epitheta/0250_Re/0001_ra_01.png</v>
      </c>
    </row>
    <row r="854" spans="1:12">
      <c r="A854" s="2" t="s">
        <v>60</v>
      </c>
      <c r="B854" s="40">
        <v>250</v>
      </c>
      <c r="C854" s="2" t="s">
        <v>105</v>
      </c>
      <c r="E854" s="2" t="s">
        <v>1183</v>
      </c>
      <c r="G854" s="2" t="s">
        <v>860</v>
      </c>
      <c r="I854" s="2" t="s">
        <v>1132</v>
      </c>
      <c r="J854" s="2" t="s">
        <v>1141</v>
      </c>
      <c r="K854" s="2" t="s">
        <v>1134</v>
      </c>
      <c r="L854" s="2" t="str">
        <f t="shared" ref="L854:L860" si="122">_xlfn.TEXTJOIN("", TRUE, D854:K854)</f>
        <v>02_Slots/Gottheit/Goetter-mit-Epitheta/0250_Re/0010_ra_SP_01.png &lt;sup&gt;(Sp.)&lt;/sup&gt;</v>
      </c>
    </row>
    <row r="855" spans="1:12">
      <c r="A855" s="2" t="s">
        <v>60</v>
      </c>
      <c r="B855" s="40">
        <v>250</v>
      </c>
      <c r="C855" s="2" t="s">
        <v>105</v>
      </c>
      <c r="E855" s="2" t="s">
        <v>1183</v>
      </c>
      <c r="G855" s="2" t="s">
        <v>861</v>
      </c>
      <c r="I855" s="2" t="s">
        <v>1132</v>
      </c>
      <c r="J855" s="2" t="s">
        <v>1135</v>
      </c>
      <c r="K855" s="2" t="s">
        <v>1134</v>
      </c>
      <c r="L855" s="2" t="str">
        <f t="shared" si="122"/>
        <v>02_Slots/Gottheit/Goetter-mit-Epitheta/0250_Re/0020_ra_GR_01.png &lt;sup&gt;(Gr.)&lt;/sup&gt;</v>
      </c>
    </row>
    <row r="856" spans="1:12">
      <c r="A856" s="2" t="s">
        <v>60</v>
      </c>
      <c r="B856" s="40">
        <v>250</v>
      </c>
      <c r="C856" s="2" t="s">
        <v>105</v>
      </c>
      <c r="E856" s="2" t="s">
        <v>1183</v>
      </c>
      <c r="G856" s="2" t="s">
        <v>862</v>
      </c>
      <c r="I856" s="2" t="s">
        <v>1132</v>
      </c>
      <c r="J856" s="2" t="s">
        <v>1135</v>
      </c>
      <c r="K856" s="2" t="s">
        <v>1134</v>
      </c>
      <c r="L856" s="2" t="str">
        <f t="shared" si="122"/>
        <v>02_Slots/Gottheit/Goetter-mit-Epitheta/0250_Re/0030_ra_GR_02.png &lt;sup&gt;(Gr.)&lt;/sup&gt;</v>
      </c>
    </row>
    <row r="857" spans="1:12">
      <c r="A857" s="2" t="s">
        <v>60</v>
      </c>
      <c r="B857" s="40">
        <v>250</v>
      </c>
      <c r="C857" s="2" t="s">
        <v>106</v>
      </c>
      <c r="E857" s="2" t="s">
        <v>1183</v>
      </c>
      <c r="F857" s="2" t="s">
        <v>110</v>
      </c>
      <c r="G857" s="2" t="s">
        <v>863</v>
      </c>
      <c r="I857" s="2" t="s">
        <v>1132</v>
      </c>
      <c r="J857" s="2" t="s">
        <v>1133</v>
      </c>
      <c r="K857" s="2" t="s">
        <v>1134</v>
      </c>
      <c r="L857" s="2" t="str">
        <f t="shared" si="122"/>
        <v>02_Slots/Gottheit/Goetter-mit-Epitheta/0250_Re/det/0001_ra_det_AR_01.png &lt;sup&gt;(AR)&lt;/sup&gt;</v>
      </c>
    </row>
    <row r="858" spans="1:12">
      <c r="A858" s="2" t="s">
        <v>60</v>
      </c>
      <c r="B858" s="40">
        <v>250</v>
      </c>
      <c r="C858" s="2" t="s">
        <v>106</v>
      </c>
      <c r="E858" s="2" t="s">
        <v>1183</v>
      </c>
      <c r="F858" s="2" t="s">
        <v>110</v>
      </c>
      <c r="G858" s="2" t="s">
        <v>864</v>
      </c>
      <c r="I858" s="2" t="s">
        <v>1132</v>
      </c>
      <c r="J858" s="2" t="s">
        <v>1136</v>
      </c>
      <c r="K858" s="2" t="s">
        <v>1134</v>
      </c>
      <c r="L858" s="2" t="str">
        <f t="shared" si="122"/>
        <v>02_Slots/Gottheit/Goetter-mit-Epitheta/0250_Re/det/0010_ra_det_MR_01.png &lt;sup&gt;(MR)&lt;/sup&gt;</v>
      </c>
    </row>
    <row r="859" spans="1:12">
      <c r="A859" s="2" t="s">
        <v>60</v>
      </c>
      <c r="B859" s="40">
        <v>250</v>
      </c>
      <c r="C859" s="2" t="s">
        <v>106</v>
      </c>
      <c r="E859" s="2" t="s">
        <v>1183</v>
      </c>
      <c r="F859" s="2" t="s">
        <v>110</v>
      </c>
      <c r="G859" s="2" t="s">
        <v>865</v>
      </c>
      <c r="I859" s="2" t="s">
        <v>1132</v>
      </c>
      <c r="J859" s="2" t="s">
        <v>1088</v>
      </c>
      <c r="K859" s="2" t="s">
        <v>1134</v>
      </c>
      <c r="L859" s="2" t="str">
        <f t="shared" si="122"/>
        <v>02_Slots/Gottheit/Goetter-mit-Epitheta/0250_Re/det/0020_ra_det_NR_01.png &lt;sup&gt;(NR)&lt;/sup&gt;</v>
      </c>
    </row>
    <row r="860" spans="1:12">
      <c r="A860" s="2" t="s">
        <v>60</v>
      </c>
      <c r="B860" s="40">
        <v>250</v>
      </c>
      <c r="C860" s="2" t="s">
        <v>106</v>
      </c>
      <c r="E860" s="2" t="s">
        <v>1183</v>
      </c>
      <c r="F860" s="2" t="s">
        <v>110</v>
      </c>
      <c r="G860" s="2" t="s">
        <v>866</v>
      </c>
      <c r="I860" s="2" t="s">
        <v>1132</v>
      </c>
      <c r="J860" s="2" t="s">
        <v>1088</v>
      </c>
      <c r="K860" s="2" t="s">
        <v>1134</v>
      </c>
      <c r="L860" s="2" t="str">
        <f t="shared" si="122"/>
        <v>02_Slots/Gottheit/Goetter-mit-Epitheta/0250_Re/det/0030_ra_det_NR_02.png &lt;sup&gt;(NR)&lt;/sup&gt;</v>
      </c>
    </row>
    <row r="861" spans="1:12">
      <c r="A861" s="2" t="s">
        <v>60</v>
      </c>
      <c r="B861" s="40">
        <v>250</v>
      </c>
      <c r="C861" s="2" t="s">
        <v>107</v>
      </c>
      <c r="L861" s="2" t="s">
        <v>148</v>
      </c>
    </row>
    <row r="862" spans="1:12">
      <c r="A862" s="2" t="s">
        <v>60</v>
      </c>
      <c r="B862" s="40">
        <v>250</v>
      </c>
      <c r="C862" s="2" t="s">
        <v>108</v>
      </c>
    </row>
    <row r="865" spans="1:12">
      <c r="A865" s="2" t="s">
        <v>60</v>
      </c>
      <c r="B865" s="40">
        <v>260</v>
      </c>
      <c r="C865" s="2" t="s">
        <v>39</v>
      </c>
      <c r="L865" s="2" t="s">
        <v>662</v>
      </c>
    </row>
    <row r="866" spans="1:12">
      <c r="A866" s="2" t="s">
        <v>60</v>
      </c>
      <c r="B866" s="40">
        <v>260</v>
      </c>
      <c r="C866" s="2" t="s">
        <v>105</v>
      </c>
      <c r="E866" s="2" t="s">
        <v>1184</v>
      </c>
      <c r="L866" s="2" t="str">
        <f>_xlfn.TEXTJOIN("", TRUE, D866:J866)</f>
        <v>02_Slots/Gottheit/Goetter-mit-Epitheta/0260_Re-Harachte/</v>
      </c>
    </row>
    <row r="867" spans="1:12">
      <c r="A867" s="2" t="s">
        <v>60</v>
      </c>
      <c r="B867" s="40">
        <v>260</v>
      </c>
      <c r="C867" s="2" t="s">
        <v>106</v>
      </c>
      <c r="L867" s="2" t="str">
        <f>_xlfn.TEXTJOIN("", TRUE, D867:J867)</f>
        <v/>
      </c>
    </row>
    <row r="868" spans="1:12">
      <c r="A868" s="2" t="s">
        <v>60</v>
      </c>
      <c r="B868" s="40">
        <v>260</v>
      </c>
      <c r="C868" s="2" t="s">
        <v>107</v>
      </c>
      <c r="L868" s="2" t="s">
        <v>149</v>
      </c>
    </row>
    <row r="869" spans="1:12">
      <c r="A869" s="2" t="s">
        <v>60</v>
      </c>
      <c r="B869" s="40">
        <v>260</v>
      </c>
      <c r="C869" s="2" t="s">
        <v>108</v>
      </c>
    </row>
    <row r="872" spans="1:12">
      <c r="A872" s="2" t="s">
        <v>60</v>
      </c>
      <c r="B872" s="40">
        <v>270</v>
      </c>
      <c r="C872" s="2" t="s">
        <v>39</v>
      </c>
      <c r="L872" s="2" t="s">
        <v>663</v>
      </c>
    </row>
    <row r="873" spans="1:12">
      <c r="A873" s="2" t="s">
        <v>60</v>
      </c>
      <c r="B873" s="40">
        <v>270</v>
      </c>
      <c r="C873" s="2" t="s">
        <v>105</v>
      </c>
      <c r="E873" s="2" t="s">
        <v>1185</v>
      </c>
      <c r="G873" s="2" t="s">
        <v>867</v>
      </c>
      <c r="L873" s="2" t="str">
        <f t="shared" ref="L873:L879" si="123">_xlfn.TEXTJOIN("", TRUE, D873:J873)</f>
        <v>02_Slots/Gottheit/Goetter-mit-Epitheta/0270_Renenutet/0001_rnnwt.t_01.png</v>
      </c>
    </row>
    <row r="874" spans="1:12">
      <c r="A874" s="2" t="s">
        <v>60</v>
      </c>
      <c r="B874" s="40">
        <v>270</v>
      </c>
      <c r="C874" s="2" t="s">
        <v>105</v>
      </c>
      <c r="E874" s="2" t="s">
        <v>1185</v>
      </c>
      <c r="G874" s="2" t="s">
        <v>868</v>
      </c>
      <c r="I874" s="2" t="s">
        <v>1132</v>
      </c>
      <c r="J874" s="2" t="s">
        <v>1133</v>
      </c>
      <c r="K874" s="2" t="s">
        <v>1134</v>
      </c>
      <c r="L874" s="2" t="str">
        <f t="shared" ref="L874:L878" si="124">_xlfn.TEXTJOIN("", TRUE, D874:K874)</f>
        <v>02_Slots/Gottheit/Goetter-mit-Epitheta/0270_Renenutet/0010_rnnwt.t_AR_01.png &lt;sup&gt;(AR)&lt;/sup&gt;</v>
      </c>
    </row>
    <row r="875" spans="1:12">
      <c r="A875" s="2" t="s">
        <v>60</v>
      </c>
      <c r="B875" s="40">
        <v>270</v>
      </c>
      <c r="C875" s="2" t="s">
        <v>105</v>
      </c>
      <c r="E875" s="2" t="s">
        <v>1185</v>
      </c>
      <c r="G875" s="2" t="s">
        <v>869</v>
      </c>
      <c r="I875" s="2" t="s">
        <v>1132</v>
      </c>
      <c r="J875" s="2" t="s">
        <v>1133</v>
      </c>
      <c r="K875" s="2" t="s">
        <v>1134</v>
      </c>
      <c r="L875" s="2" t="str">
        <f t="shared" si="124"/>
        <v>02_Slots/Gottheit/Goetter-mit-Epitheta/0270_Renenutet/0020_rnnwt.t_AR_02.png &lt;sup&gt;(AR)&lt;/sup&gt;</v>
      </c>
    </row>
    <row r="876" spans="1:12">
      <c r="A876" s="2" t="s">
        <v>60</v>
      </c>
      <c r="B876" s="40">
        <v>270</v>
      </c>
      <c r="C876" s="2" t="s">
        <v>105</v>
      </c>
      <c r="E876" s="2" t="s">
        <v>1185</v>
      </c>
      <c r="G876" s="2" t="s">
        <v>870</v>
      </c>
      <c r="I876" s="2" t="s">
        <v>1132</v>
      </c>
      <c r="J876" s="2" t="s">
        <v>1140</v>
      </c>
      <c r="K876" s="2" t="s">
        <v>1134</v>
      </c>
      <c r="L876" s="2" t="str">
        <f t="shared" si="124"/>
        <v>02_Slots/Gottheit/Goetter-mit-Epitheta/0270_Renenutet/0030_rnnwt.t_D.18_01.png &lt;sup&gt;(D.18)&lt;/sup&gt;</v>
      </c>
    </row>
    <row r="877" spans="1:12">
      <c r="A877" s="2" t="s">
        <v>60</v>
      </c>
      <c r="B877" s="40">
        <v>270</v>
      </c>
      <c r="C877" s="2" t="s">
        <v>105</v>
      </c>
      <c r="E877" s="2" t="s">
        <v>1185</v>
      </c>
      <c r="G877" s="2" t="s">
        <v>871</v>
      </c>
      <c r="I877" s="2" t="s">
        <v>1132</v>
      </c>
      <c r="J877" s="2" t="s">
        <v>1140</v>
      </c>
      <c r="K877" s="2" t="s">
        <v>1134</v>
      </c>
      <c r="L877" s="2" t="str">
        <f t="shared" si="124"/>
        <v>02_Slots/Gottheit/Goetter-mit-Epitheta/0270_Renenutet/0040_rnnwt.t_D.18_02.png &lt;sup&gt;(D.18)&lt;/sup&gt;</v>
      </c>
    </row>
    <row r="878" spans="1:12">
      <c r="A878" s="2" t="s">
        <v>60</v>
      </c>
      <c r="B878" s="40">
        <v>270</v>
      </c>
      <c r="C878" s="2" t="s">
        <v>105</v>
      </c>
      <c r="E878" s="2" t="s">
        <v>1185</v>
      </c>
      <c r="G878" s="2" t="s">
        <v>872</v>
      </c>
      <c r="I878" s="2" t="s">
        <v>1132</v>
      </c>
      <c r="J878" s="2" t="s">
        <v>1140</v>
      </c>
      <c r="K878" s="2" t="s">
        <v>1134</v>
      </c>
      <c r="L878" s="2" t="str">
        <f t="shared" si="124"/>
        <v>02_Slots/Gottheit/Goetter-mit-Epitheta/0270_Renenutet/0050_rnnwt.t_D.18_03.png &lt;sup&gt;(D.18)&lt;/sup&gt;</v>
      </c>
    </row>
    <row r="879" spans="1:12">
      <c r="A879" s="2" t="s">
        <v>60</v>
      </c>
      <c r="B879" s="40">
        <v>270</v>
      </c>
      <c r="C879" s="2" t="s">
        <v>106</v>
      </c>
      <c r="L879" s="2" t="str">
        <f t="shared" si="123"/>
        <v/>
      </c>
    </row>
    <row r="880" spans="1:12">
      <c r="A880" s="2" t="s">
        <v>60</v>
      </c>
      <c r="B880" s="40">
        <v>270</v>
      </c>
      <c r="C880" s="2" t="s">
        <v>107</v>
      </c>
      <c r="L880" s="2" t="s">
        <v>150</v>
      </c>
    </row>
    <row r="881" spans="1:12">
      <c r="A881" s="2" t="s">
        <v>60</v>
      </c>
      <c r="B881" s="40">
        <v>270</v>
      </c>
      <c r="C881" s="2" t="s">
        <v>108</v>
      </c>
    </row>
    <row r="884" spans="1:12">
      <c r="A884" s="2" t="s">
        <v>60</v>
      </c>
      <c r="B884" s="40">
        <v>280</v>
      </c>
      <c r="C884" s="2" t="s">
        <v>39</v>
      </c>
      <c r="L884" s="2" t="s">
        <v>664</v>
      </c>
    </row>
    <row r="885" spans="1:12">
      <c r="A885" s="2" t="s">
        <v>60</v>
      </c>
      <c r="B885" s="40">
        <v>280</v>
      </c>
      <c r="C885" s="2" t="s">
        <v>105</v>
      </c>
      <c r="E885" s="2" t="s">
        <v>1186</v>
      </c>
      <c r="G885" s="2" t="s">
        <v>873</v>
      </c>
      <c r="I885" s="2" t="s">
        <v>1132</v>
      </c>
      <c r="J885" s="2" t="s">
        <v>1133</v>
      </c>
      <c r="K885" s="2" t="s">
        <v>1134</v>
      </c>
      <c r="L885" s="2" t="str">
        <f t="shared" ref="L885:L896" si="125">_xlfn.TEXTJOIN("", TRUE, D885:K885)</f>
        <v>02_Slots/Gottheit/Goetter-mit-Epitheta/0280_Hapi-Nilgott/0001_Hapj_AR_01.png &lt;sup&gt;(AR)&lt;/sup&gt;</v>
      </c>
    </row>
    <row r="886" spans="1:12">
      <c r="A886" s="2" t="s">
        <v>60</v>
      </c>
      <c r="B886" s="40">
        <v>280</v>
      </c>
      <c r="C886" s="2" t="s">
        <v>105</v>
      </c>
      <c r="E886" s="2" t="s">
        <v>1186</v>
      </c>
      <c r="G886" s="2" t="s">
        <v>874</v>
      </c>
      <c r="I886" s="2" t="s">
        <v>1132</v>
      </c>
      <c r="J886" s="2" t="s">
        <v>1136</v>
      </c>
      <c r="K886" s="2" t="s">
        <v>1134</v>
      </c>
      <c r="L886" s="2" t="str">
        <f t="shared" si="125"/>
        <v>02_Slots/Gottheit/Goetter-mit-Epitheta/0280_Hapi-Nilgott/0010_Hapj_MR_01.png &lt;sup&gt;(MR)&lt;/sup&gt;</v>
      </c>
    </row>
    <row r="887" spans="1:12">
      <c r="A887" s="2" t="s">
        <v>60</v>
      </c>
      <c r="B887" s="40">
        <v>280</v>
      </c>
      <c r="C887" s="2" t="s">
        <v>105</v>
      </c>
      <c r="E887" s="2" t="s">
        <v>1186</v>
      </c>
      <c r="G887" s="2" t="s">
        <v>875</v>
      </c>
      <c r="I887" s="2" t="s">
        <v>1132</v>
      </c>
      <c r="J887" s="2" t="s">
        <v>1136</v>
      </c>
      <c r="K887" s="2" t="s">
        <v>1134</v>
      </c>
      <c r="L887" s="2" t="str">
        <f t="shared" si="125"/>
        <v>02_Slots/Gottheit/Goetter-mit-Epitheta/0280_Hapi-Nilgott/0020_Hapj_MR_02.png &lt;sup&gt;(MR)&lt;/sup&gt;</v>
      </c>
    </row>
    <row r="888" spans="1:12">
      <c r="A888" s="2" t="s">
        <v>60</v>
      </c>
      <c r="B888" s="40">
        <v>280</v>
      </c>
      <c r="C888" s="2" t="s">
        <v>105</v>
      </c>
      <c r="E888" s="2" t="s">
        <v>1186</v>
      </c>
      <c r="G888" s="2" t="s">
        <v>876</v>
      </c>
      <c r="I888" s="2" t="s">
        <v>1132</v>
      </c>
      <c r="J888" s="2" t="s">
        <v>1136</v>
      </c>
      <c r="K888" s="2" t="s">
        <v>1134</v>
      </c>
      <c r="L888" s="2" t="str">
        <f t="shared" si="125"/>
        <v>02_Slots/Gottheit/Goetter-mit-Epitheta/0280_Hapi-Nilgott/0030_Hapj_MR_03.png &lt;sup&gt;(MR)&lt;/sup&gt;</v>
      </c>
    </row>
    <row r="889" spans="1:12">
      <c r="A889" s="2" t="s">
        <v>60</v>
      </c>
      <c r="B889" s="40">
        <v>280</v>
      </c>
      <c r="C889" s="2" t="s">
        <v>105</v>
      </c>
      <c r="E889" s="2" t="s">
        <v>1186</v>
      </c>
      <c r="G889" s="2" t="s">
        <v>877</v>
      </c>
      <c r="I889" s="2" t="s">
        <v>1132</v>
      </c>
      <c r="J889" s="2" t="s">
        <v>1136</v>
      </c>
      <c r="K889" s="2" t="s">
        <v>1134</v>
      </c>
      <c r="L889" s="2" t="str">
        <f t="shared" si="125"/>
        <v>02_Slots/Gottheit/Goetter-mit-Epitheta/0280_Hapi-Nilgott/0040_Hapj_MR_04.png &lt;sup&gt;(MR)&lt;/sup&gt;</v>
      </c>
    </row>
    <row r="890" spans="1:12">
      <c r="A890" s="2" t="s">
        <v>60</v>
      </c>
      <c r="B890" s="40">
        <v>280</v>
      </c>
      <c r="C890" s="2" t="s">
        <v>105</v>
      </c>
      <c r="E890" s="2" t="s">
        <v>1186</v>
      </c>
      <c r="G890" s="2" t="s">
        <v>878</v>
      </c>
      <c r="I890" s="2" t="s">
        <v>1132</v>
      </c>
      <c r="J890" s="2" t="s">
        <v>1136</v>
      </c>
      <c r="K890" s="2" t="s">
        <v>1134</v>
      </c>
      <c r="L890" s="2" t="str">
        <f t="shared" si="125"/>
        <v>02_Slots/Gottheit/Goetter-mit-Epitheta/0280_Hapi-Nilgott/0050_Hapj_MR_05.png &lt;sup&gt;(MR)&lt;/sup&gt;</v>
      </c>
    </row>
    <row r="891" spans="1:12">
      <c r="A891" s="2" t="s">
        <v>60</v>
      </c>
      <c r="B891" s="40">
        <v>280</v>
      </c>
      <c r="C891" s="2" t="s">
        <v>105</v>
      </c>
      <c r="E891" s="2" t="s">
        <v>1186</v>
      </c>
      <c r="G891" s="2" t="s">
        <v>879</v>
      </c>
      <c r="I891" s="2" t="s">
        <v>1132</v>
      </c>
      <c r="J891" s="2" t="s">
        <v>1136</v>
      </c>
      <c r="K891" s="2" t="s">
        <v>1134</v>
      </c>
      <c r="L891" s="2" t="str">
        <f t="shared" si="125"/>
        <v>02_Slots/Gottheit/Goetter-mit-Epitheta/0280_Hapi-Nilgott/0060_Hapj_MR_06.png &lt;sup&gt;(MR)&lt;/sup&gt;</v>
      </c>
    </row>
    <row r="892" spans="1:12">
      <c r="A892" s="2" t="s">
        <v>60</v>
      </c>
      <c r="B892" s="40">
        <v>280</v>
      </c>
      <c r="C892" s="2" t="s">
        <v>105</v>
      </c>
      <c r="E892" s="2" t="s">
        <v>1186</v>
      </c>
      <c r="G892" s="2" t="s">
        <v>880</v>
      </c>
      <c r="I892" s="2" t="s">
        <v>1132</v>
      </c>
      <c r="J892" s="2" t="s">
        <v>1143</v>
      </c>
      <c r="K892" s="2" t="s">
        <v>1134</v>
      </c>
      <c r="L892" s="2" t="str">
        <f t="shared" si="125"/>
        <v>02_Slots/Gottheit/Goetter-mit-Epitheta/0280_Hapi-Nilgott/0070_Hapj_Sait._01.png &lt;sup&gt;(Saït.)&lt;/sup&gt;</v>
      </c>
    </row>
    <row r="893" spans="1:12">
      <c r="A893" s="2" t="s">
        <v>60</v>
      </c>
      <c r="B893" s="40">
        <v>280</v>
      </c>
      <c r="C893" s="2" t="s">
        <v>105</v>
      </c>
      <c r="E893" s="2" t="s">
        <v>1186</v>
      </c>
      <c r="G893" s="2" t="s">
        <v>881</v>
      </c>
      <c r="I893" s="2" t="s">
        <v>1132</v>
      </c>
      <c r="J893" s="2" t="s">
        <v>1143</v>
      </c>
      <c r="K893" s="2" t="s">
        <v>1134</v>
      </c>
      <c r="L893" s="2" t="str">
        <f t="shared" si="125"/>
        <v>02_Slots/Gottheit/Goetter-mit-Epitheta/0280_Hapi-Nilgott/0080_Hapj_Sait._02.png &lt;sup&gt;(Saït.)&lt;/sup&gt;</v>
      </c>
    </row>
    <row r="894" spans="1:12">
      <c r="A894" s="2" t="s">
        <v>60</v>
      </c>
      <c r="B894" s="40">
        <v>280</v>
      </c>
      <c r="C894" s="2" t="s">
        <v>105</v>
      </c>
      <c r="E894" s="2" t="s">
        <v>1186</v>
      </c>
      <c r="G894" s="2" t="s">
        <v>884</v>
      </c>
      <c r="I894" s="2" t="s">
        <v>1132</v>
      </c>
      <c r="J894" s="2" t="s">
        <v>1144</v>
      </c>
      <c r="K894" s="2" t="s">
        <v>1134</v>
      </c>
      <c r="L894" s="2" t="str">
        <f t="shared" si="125"/>
        <v>02_Slots/Gottheit/Goetter-mit-Epitheta/0280_Hapi-Nilgott/0090_Hapj_SP-GR_01.png &lt;sup&gt;(Sp.–Gr.)&lt;/sup&gt;</v>
      </c>
    </row>
    <row r="895" spans="1:12">
      <c r="A895" s="2" t="s">
        <v>60</v>
      </c>
      <c r="B895" s="40">
        <v>280</v>
      </c>
      <c r="C895" s="2" t="s">
        <v>105</v>
      </c>
      <c r="E895" s="2" t="s">
        <v>1186</v>
      </c>
      <c r="G895" s="2" t="s">
        <v>885</v>
      </c>
      <c r="I895" s="2" t="s">
        <v>1132</v>
      </c>
      <c r="J895" s="2" t="s">
        <v>1144</v>
      </c>
      <c r="K895" s="2" t="s">
        <v>1134</v>
      </c>
      <c r="L895" s="2" t="str">
        <f t="shared" si="125"/>
        <v>02_Slots/Gottheit/Goetter-mit-Epitheta/0280_Hapi-Nilgott/0100_Hapj_SP-GR_02.png &lt;sup&gt;(Sp.–Gr.)&lt;/sup&gt;</v>
      </c>
    </row>
    <row r="896" spans="1:12">
      <c r="A896" s="2" t="s">
        <v>60</v>
      </c>
      <c r="B896" s="40">
        <v>280</v>
      </c>
      <c r="C896" s="2" t="s">
        <v>105</v>
      </c>
      <c r="E896" s="2" t="s">
        <v>1186</v>
      </c>
      <c r="G896" s="2" t="s">
        <v>886</v>
      </c>
      <c r="I896" s="2" t="s">
        <v>1132</v>
      </c>
      <c r="J896" s="2" t="s">
        <v>1144</v>
      </c>
      <c r="K896" s="2" t="s">
        <v>1134</v>
      </c>
      <c r="L896" s="2" t="str">
        <f t="shared" si="125"/>
        <v>02_Slots/Gottheit/Goetter-mit-Epitheta/0280_Hapi-Nilgott/0110_Hapj_SP-GR_03.png &lt;sup&gt;(Sp.–Gr.)&lt;/sup&gt;</v>
      </c>
    </row>
    <row r="897" spans="1:12">
      <c r="A897" s="2" t="s">
        <v>60</v>
      </c>
      <c r="B897" s="40">
        <v>280</v>
      </c>
      <c r="C897" s="2" t="s">
        <v>106</v>
      </c>
      <c r="E897" s="2" t="s">
        <v>1186</v>
      </c>
      <c r="F897" s="2" t="s">
        <v>110</v>
      </c>
      <c r="G897" s="2" t="s">
        <v>882</v>
      </c>
      <c r="L897" s="2" t="str">
        <f t="shared" ref="L897:L898" si="126">_xlfn.TEXTJOIN("", TRUE, D897:J897)</f>
        <v>02_Slots/Gottheit/Goetter-mit-Epitheta/0280_Hapi-Nilgott/det/0001_Hapj_det_01.png</v>
      </c>
    </row>
    <row r="898" spans="1:12">
      <c r="A898" s="2" t="s">
        <v>60</v>
      </c>
      <c r="B898" s="40">
        <v>280</v>
      </c>
      <c r="C898" s="2" t="s">
        <v>106</v>
      </c>
      <c r="E898" s="2" t="s">
        <v>1186</v>
      </c>
      <c r="F898" s="2" t="s">
        <v>110</v>
      </c>
      <c r="G898" s="2" t="s">
        <v>883</v>
      </c>
      <c r="L898" s="2" t="str">
        <f t="shared" si="126"/>
        <v>02_Slots/Gottheit/Goetter-mit-Epitheta/0280_Hapi-Nilgott/det/0010_Hapj_det_02.png</v>
      </c>
    </row>
    <row r="899" spans="1:12">
      <c r="A899" s="2" t="s">
        <v>60</v>
      </c>
      <c r="B899" s="40">
        <v>280</v>
      </c>
      <c r="C899" s="2" t="s">
        <v>107</v>
      </c>
      <c r="L899" s="2" t="s">
        <v>151</v>
      </c>
    </row>
    <row r="900" spans="1:12">
      <c r="A900" s="2" t="s">
        <v>60</v>
      </c>
      <c r="B900" s="40">
        <v>280</v>
      </c>
      <c r="C900" s="2" t="s">
        <v>108</v>
      </c>
    </row>
    <row r="903" spans="1:12">
      <c r="A903" s="2" t="s">
        <v>60</v>
      </c>
      <c r="B903" s="40">
        <v>290</v>
      </c>
      <c r="C903" s="2" t="s">
        <v>39</v>
      </c>
      <c r="L903" s="2" t="s">
        <v>412</v>
      </c>
    </row>
    <row r="904" spans="1:12">
      <c r="A904" s="2" t="s">
        <v>60</v>
      </c>
      <c r="B904" s="40">
        <v>290</v>
      </c>
      <c r="C904" s="2" t="s">
        <v>105</v>
      </c>
      <c r="E904" s="2" t="s">
        <v>1187</v>
      </c>
      <c r="G904" s="2" t="s">
        <v>887</v>
      </c>
      <c r="L904" s="2" t="str">
        <f>_xlfn.TEXTJOIN("", TRUE, D904:J904)</f>
        <v>02_Slots/Gottheit/Goetter-mit-Epitheta/0290_Hathor/0001_Hwt-Hr_01.png</v>
      </c>
    </row>
    <row r="905" spans="1:12">
      <c r="A905" s="2" t="s">
        <v>60</v>
      </c>
      <c r="B905" s="40">
        <v>290</v>
      </c>
      <c r="C905" s="2" t="s">
        <v>105</v>
      </c>
      <c r="E905" s="2" t="s">
        <v>1187</v>
      </c>
      <c r="G905" s="2" t="s">
        <v>888</v>
      </c>
      <c r="I905" s="2" t="s">
        <v>1132</v>
      </c>
      <c r="J905" s="2" t="s">
        <v>1133</v>
      </c>
      <c r="K905" s="2" t="s">
        <v>1134</v>
      </c>
      <c r="L905" s="2" t="str">
        <f t="shared" ref="L905:L906" si="127">_xlfn.TEXTJOIN("", TRUE, D905:K905)</f>
        <v>02_Slots/Gottheit/Goetter-mit-Epitheta/0290_Hathor/0010_Hwt-Hr_AR_01.png &lt;sup&gt;(AR)&lt;/sup&gt;</v>
      </c>
    </row>
    <row r="906" spans="1:12">
      <c r="A906" s="2" t="s">
        <v>60</v>
      </c>
      <c r="B906" s="40">
        <v>290</v>
      </c>
      <c r="C906" s="2" t="s">
        <v>105</v>
      </c>
      <c r="E906" s="2" t="s">
        <v>1187</v>
      </c>
      <c r="G906" s="2" t="s">
        <v>889</v>
      </c>
      <c r="I906" s="2" t="s">
        <v>1132</v>
      </c>
      <c r="J906" s="2" t="s">
        <v>1133</v>
      </c>
      <c r="K906" s="2" t="s">
        <v>1134</v>
      </c>
      <c r="L906" s="2" t="str">
        <f t="shared" si="127"/>
        <v>02_Slots/Gottheit/Goetter-mit-Epitheta/0290_Hathor/0020_Hwt-Hr_AR_02.png &lt;sup&gt;(AR)&lt;/sup&gt;</v>
      </c>
    </row>
    <row r="907" spans="1:12">
      <c r="A907" s="2" t="s">
        <v>60</v>
      </c>
      <c r="B907" s="40">
        <v>290</v>
      </c>
      <c r="C907" s="2" t="s">
        <v>106</v>
      </c>
      <c r="L907" s="2" t="str">
        <f>_xlfn.TEXTJOIN("", TRUE, D907:J907)</f>
        <v/>
      </c>
    </row>
    <row r="908" spans="1:12">
      <c r="A908" s="2" t="s">
        <v>60</v>
      </c>
      <c r="B908" s="40">
        <v>290</v>
      </c>
      <c r="C908" s="2" t="s">
        <v>107</v>
      </c>
      <c r="L908" s="2" t="s">
        <v>152</v>
      </c>
    </row>
    <row r="909" spans="1:12">
      <c r="A909" s="2" t="s">
        <v>60</v>
      </c>
      <c r="B909" s="40">
        <v>290</v>
      </c>
      <c r="C909" s="2" t="s">
        <v>108</v>
      </c>
    </row>
    <row r="912" spans="1:12">
      <c r="A912" s="2" t="s">
        <v>60</v>
      </c>
      <c r="B912" s="40">
        <v>300</v>
      </c>
      <c r="C912" s="2" t="s">
        <v>39</v>
      </c>
      <c r="L912" s="2" t="s">
        <v>665</v>
      </c>
    </row>
    <row r="913" spans="1:12">
      <c r="A913" s="2" t="s">
        <v>60</v>
      </c>
      <c r="B913" s="40">
        <v>300</v>
      </c>
      <c r="C913" s="2" t="s">
        <v>105</v>
      </c>
      <c r="E913" s="2" t="s">
        <v>1188</v>
      </c>
      <c r="G913" s="2" t="s">
        <v>890</v>
      </c>
      <c r="L913" s="2" t="str">
        <f t="shared" ref="L913:L918" si="128">_xlfn.TEXTJOIN("", TRUE, D913:J913)</f>
        <v>02_Slots/Gottheit/Goetter-mit-Epitheta/0300_Apis/0001_Hp_01.png</v>
      </c>
    </row>
    <row r="914" spans="1:12">
      <c r="A914" s="2" t="s">
        <v>60</v>
      </c>
      <c r="B914" s="40">
        <v>300</v>
      </c>
      <c r="C914" s="2" t="s">
        <v>105</v>
      </c>
      <c r="E914" s="2" t="s">
        <v>1188</v>
      </c>
      <c r="G914" s="2" t="s">
        <v>891</v>
      </c>
      <c r="L914" s="2" t="str">
        <f t="shared" si="128"/>
        <v>02_Slots/Gottheit/Goetter-mit-Epitheta/0300_Apis/0010_Hp_02.png</v>
      </c>
    </row>
    <row r="915" spans="1:12">
      <c r="A915" s="2" t="s">
        <v>60</v>
      </c>
      <c r="B915" s="40">
        <v>300</v>
      </c>
      <c r="C915" s="2" t="s">
        <v>105</v>
      </c>
      <c r="E915" s="2" t="s">
        <v>1188</v>
      </c>
      <c r="G915" s="2" t="s">
        <v>892</v>
      </c>
      <c r="I915" s="2" t="s">
        <v>1132</v>
      </c>
      <c r="J915" s="2" t="s">
        <v>1133</v>
      </c>
      <c r="K915" s="2" t="s">
        <v>1134</v>
      </c>
      <c r="L915" s="2" t="str">
        <f t="shared" ref="L915:L916" si="129">_xlfn.TEXTJOIN("", TRUE, D915:K915)</f>
        <v>02_Slots/Gottheit/Goetter-mit-Epitheta/0300_Apis/0020_Hp_AR_01.png &lt;sup&gt;(AR)&lt;/sup&gt;</v>
      </c>
    </row>
    <row r="916" spans="1:12">
      <c r="A916" s="2" t="s">
        <v>60</v>
      </c>
      <c r="B916" s="40">
        <v>300</v>
      </c>
      <c r="C916" s="2" t="s">
        <v>105</v>
      </c>
      <c r="E916" s="2" t="s">
        <v>1188</v>
      </c>
      <c r="G916" s="2" t="s">
        <v>893</v>
      </c>
      <c r="I916" s="2" t="s">
        <v>1132</v>
      </c>
      <c r="J916" s="2" t="s">
        <v>1088</v>
      </c>
      <c r="K916" s="2" t="s">
        <v>1134</v>
      </c>
      <c r="L916" s="2" t="str">
        <f t="shared" si="129"/>
        <v>02_Slots/Gottheit/Goetter-mit-Epitheta/0300_Apis/0030_Hp_NR_01.png &lt;sup&gt;(NR)&lt;/sup&gt;</v>
      </c>
    </row>
    <row r="917" spans="1:12">
      <c r="A917" s="2" t="s">
        <v>60</v>
      </c>
      <c r="B917" s="40">
        <v>300</v>
      </c>
      <c r="C917" s="2" t="s">
        <v>106</v>
      </c>
      <c r="E917" s="2" t="s">
        <v>1188</v>
      </c>
      <c r="F917" s="2" t="s">
        <v>110</v>
      </c>
      <c r="G917" s="2" t="s">
        <v>894</v>
      </c>
      <c r="L917" s="2" t="str">
        <f t="shared" si="128"/>
        <v>02_Slots/Gottheit/Goetter-mit-Epitheta/0300_Apis/det/0001_Hp_det_01.png</v>
      </c>
    </row>
    <row r="918" spans="1:12">
      <c r="A918" s="2" t="s">
        <v>60</v>
      </c>
      <c r="B918" s="40">
        <v>300</v>
      </c>
      <c r="C918" s="2" t="s">
        <v>106</v>
      </c>
      <c r="E918" s="2" t="s">
        <v>1188</v>
      </c>
      <c r="F918" s="2" t="s">
        <v>110</v>
      </c>
      <c r="G918" s="2" t="s">
        <v>895</v>
      </c>
      <c r="L918" s="2" t="str">
        <f t="shared" si="128"/>
        <v>02_Slots/Gottheit/Goetter-mit-Epitheta/0300_Apis/det/0010_Hp_det_02.png</v>
      </c>
    </row>
    <row r="919" spans="1:12">
      <c r="A919" s="2" t="s">
        <v>60</v>
      </c>
      <c r="B919" s="40">
        <v>300</v>
      </c>
      <c r="C919" s="2" t="s">
        <v>106</v>
      </c>
      <c r="E919" s="2" t="s">
        <v>1188</v>
      </c>
      <c r="F919" s="2" t="s">
        <v>110</v>
      </c>
      <c r="G919" s="2" t="s">
        <v>896</v>
      </c>
      <c r="I919" s="2" t="s">
        <v>1132</v>
      </c>
      <c r="J919" s="2" t="s">
        <v>1154</v>
      </c>
      <c r="K919" s="2" t="s">
        <v>1134</v>
      </c>
      <c r="L919" s="2" t="str">
        <f>_xlfn.TEXTJOIN("", TRUE, D919:K919)</f>
        <v>02_Slots/Gottheit/Goetter-mit-Epitheta/0300_Apis/det/0020_Hp_det_AR-SP_01.png &lt;sup&gt;(AR; Sp.)&lt;/sup&gt;</v>
      </c>
    </row>
    <row r="920" spans="1:12">
      <c r="A920" s="2" t="s">
        <v>60</v>
      </c>
      <c r="B920" s="40">
        <v>300</v>
      </c>
      <c r="C920" s="2" t="s">
        <v>107</v>
      </c>
      <c r="L920" s="2" t="s">
        <v>153</v>
      </c>
    </row>
    <row r="921" spans="1:12">
      <c r="A921" s="2" t="s">
        <v>60</v>
      </c>
      <c r="B921" s="40">
        <v>300</v>
      </c>
      <c r="C921" s="2" t="s">
        <v>108</v>
      </c>
      <c r="L921" s="2" t="s">
        <v>1114</v>
      </c>
    </row>
    <row r="923" spans="1:12">
      <c r="A923" s="2" t="s">
        <v>897</v>
      </c>
      <c r="B923" s="40">
        <v>1</v>
      </c>
      <c r="C923" s="2" t="s">
        <v>39</v>
      </c>
      <c r="L923" s="2" t="s">
        <v>637</v>
      </c>
    </row>
    <row r="924" spans="1:12">
      <c r="A924" s="2" t="s">
        <v>897</v>
      </c>
      <c r="B924" s="40">
        <v>1</v>
      </c>
      <c r="C924" s="2" t="s">
        <v>105</v>
      </c>
      <c r="E924" s="2" t="s">
        <v>1188</v>
      </c>
      <c r="F924" s="2" t="s">
        <v>898</v>
      </c>
      <c r="G924" s="2" t="s">
        <v>899</v>
      </c>
      <c r="H924" s="2" t="s">
        <v>112</v>
      </c>
      <c r="I924" s="2" t="s">
        <v>1132</v>
      </c>
      <c r="J924" s="2" t="s">
        <v>1153</v>
      </c>
      <c r="K924" s="2" t="s">
        <v>1134</v>
      </c>
      <c r="L924" s="2" t="str">
        <f>_xlfn.TEXTJOIN("", TRUE, D924:K924)</f>
        <v>02_Slots/Gottheit/Goetter-mit-Epitheta/0300_Apis/epitheta/01_anx/0001_anx_seit-NR_01.png &lt;sup&gt;(seit NR)&lt;/sup&gt;</v>
      </c>
    </row>
    <row r="925" spans="1:12">
      <c r="A925" s="2" t="s">
        <v>897</v>
      </c>
      <c r="B925" s="40">
        <v>1</v>
      </c>
      <c r="C925" s="2" t="s">
        <v>27</v>
      </c>
      <c r="L925" s="2" t="s">
        <v>639</v>
      </c>
    </row>
    <row r="931" spans="1:12">
      <c r="A931" s="2" t="s">
        <v>60</v>
      </c>
      <c r="B931" s="40">
        <v>310</v>
      </c>
      <c r="C931" s="2" t="s">
        <v>39</v>
      </c>
      <c r="L931" s="2" t="s">
        <v>666</v>
      </c>
    </row>
    <row r="932" spans="1:12">
      <c r="A932" s="2" t="s">
        <v>60</v>
      </c>
      <c r="B932" s="40">
        <v>310</v>
      </c>
      <c r="C932" s="2" t="s">
        <v>105</v>
      </c>
      <c r="E932" s="2" t="s">
        <v>1189</v>
      </c>
      <c r="G932" s="2" t="s">
        <v>900</v>
      </c>
      <c r="L932" s="2" t="str">
        <f t="shared" ref="L932:L940" si="130">_xlfn.TEXTJOIN("", TRUE, D932:J932)</f>
        <v>02_Slots/Gottheit/Goetter-mit-Epitheta/0310_Hapi-Horussohn/0001_Hpy_01.png</v>
      </c>
    </row>
    <row r="933" spans="1:12">
      <c r="A933" s="2" t="s">
        <v>60</v>
      </c>
      <c r="B933" s="40">
        <v>310</v>
      </c>
      <c r="C933" s="2" t="s">
        <v>105</v>
      </c>
      <c r="E933" s="2" t="s">
        <v>1189</v>
      </c>
      <c r="G933" s="2" t="s">
        <v>901</v>
      </c>
      <c r="L933" s="2" t="str">
        <f t="shared" si="130"/>
        <v>02_Slots/Gottheit/Goetter-mit-Epitheta/0310_Hapi-Horussohn/0010_Hpy_02.png</v>
      </c>
    </row>
    <row r="934" spans="1:12">
      <c r="A934" s="2" t="s">
        <v>60</v>
      </c>
      <c r="B934" s="40">
        <v>310</v>
      </c>
      <c r="C934" s="2" t="s">
        <v>105</v>
      </c>
      <c r="E934" s="2" t="s">
        <v>1189</v>
      </c>
      <c r="G934" s="2" t="s">
        <v>902</v>
      </c>
      <c r="L934" s="2" t="str">
        <f t="shared" si="130"/>
        <v>02_Slots/Gottheit/Goetter-mit-Epitheta/0310_Hapi-Horussohn/0020_Hpy_03.png</v>
      </c>
    </row>
    <row r="935" spans="1:12">
      <c r="A935" s="2" t="s">
        <v>60</v>
      </c>
      <c r="B935" s="40">
        <v>310</v>
      </c>
      <c r="C935" s="2" t="s">
        <v>105</v>
      </c>
      <c r="E935" s="2" t="s">
        <v>1189</v>
      </c>
      <c r="G935" s="2" t="s">
        <v>903</v>
      </c>
      <c r="L935" s="2" t="str">
        <f t="shared" si="130"/>
        <v>02_Slots/Gottheit/Goetter-mit-Epitheta/0310_Hapi-Horussohn/0030_Hpy_04.png</v>
      </c>
    </row>
    <row r="936" spans="1:12">
      <c r="A936" s="2" t="s">
        <v>60</v>
      </c>
      <c r="B936" s="40">
        <v>310</v>
      </c>
      <c r="C936" s="2" t="s">
        <v>105</v>
      </c>
      <c r="E936" s="2" t="s">
        <v>1189</v>
      </c>
      <c r="G936" s="2" t="s">
        <v>904</v>
      </c>
      <c r="I936" s="2" t="s">
        <v>1132</v>
      </c>
      <c r="J936" s="2" t="s">
        <v>1133</v>
      </c>
      <c r="K936" s="2" t="s">
        <v>1134</v>
      </c>
      <c r="L936" s="2" t="str">
        <f t="shared" ref="L936:L938" si="131">_xlfn.TEXTJOIN("", TRUE, D936:K936)</f>
        <v>02_Slots/Gottheit/Goetter-mit-Epitheta/0310_Hapi-Horussohn/0040_Hpy_AR_01.png &lt;sup&gt;(AR)&lt;/sup&gt;</v>
      </c>
    </row>
    <row r="937" spans="1:12">
      <c r="A937" s="2" t="s">
        <v>60</v>
      </c>
      <c r="B937" s="40">
        <v>310</v>
      </c>
      <c r="C937" s="2" t="s">
        <v>105</v>
      </c>
      <c r="E937" s="2" t="s">
        <v>1189</v>
      </c>
      <c r="G937" s="2" t="s">
        <v>905</v>
      </c>
      <c r="I937" s="2" t="s">
        <v>1132</v>
      </c>
      <c r="J937" s="2" t="s">
        <v>1136</v>
      </c>
      <c r="K937" s="2" t="s">
        <v>1134</v>
      </c>
      <c r="L937" s="2" t="str">
        <f t="shared" si="131"/>
        <v>02_Slots/Gottheit/Goetter-mit-Epitheta/0310_Hapi-Horussohn/0050_Hpy_MR_01.png &lt;sup&gt;(MR)&lt;/sup&gt;</v>
      </c>
    </row>
    <row r="938" spans="1:12">
      <c r="A938" s="2" t="s">
        <v>60</v>
      </c>
      <c r="B938" s="40">
        <v>310</v>
      </c>
      <c r="C938" s="2" t="s">
        <v>105</v>
      </c>
      <c r="E938" s="2" t="s">
        <v>1189</v>
      </c>
      <c r="G938" s="2" t="s">
        <v>906</v>
      </c>
      <c r="I938" s="2" t="s">
        <v>1132</v>
      </c>
      <c r="J938" s="2" t="s">
        <v>1148</v>
      </c>
      <c r="K938" s="2" t="s">
        <v>1134</v>
      </c>
      <c r="L938" s="2" t="str">
        <f t="shared" si="131"/>
        <v>02_Slots/Gottheit/Goetter-mit-Epitheta/0310_Hapi-Horussohn/0060_Hpy_MR-NR-GR_01.png &lt;sup&gt;(MR; NR; Gr.)&lt;/sup&gt;</v>
      </c>
    </row>
    <row r="939" spans="1:12">
      <c r="A939" s="2" t="s">
        <v>60</v>
      </c>
      <c r="B939" s="40">
        <v>310</v>
      </c>
      <c r="C939" s="2" t="s">
        <v>106</v>
      </c>
      <c r="E939" s="2" t="s">
        <v>1189</v>
      </c>
      <c r="F939" s="2" t="s">
        <v>110</v>
      </c>
      <c r="G939" s="2" t="s">
        <v>907</v>
      </c>
      <c r="L939" s="2" t="str">
        <f t="shared" si="130"/>
        <v>02_Slots/Gottheit/Goetter-mit-Epitheta/0310_Hapi-Horussohn/det/0001_Hpy_det_01.png</v>
      </c>
    </row>
    <row r="940" spans="1:12">
      <c r="A940" s="2" t="s">
        <v>60</v>
      </c>
      <c r="B940" s="40">
        <v>310</v>
      </c>
      <c r="C940" s="2" t="s">
        <v>106</v>
      </c>
      <c r="E940" s="2" t="s">
        <v>1189</v>
      </c>
      <c r="F940" s="2" t="s">
        <v>110</v>
      </c>
      <c r="G940" s="2" t="s">
        <v>908</v>
      </c>
      <c r="L940" s="2" t="str">
        <f t="shared" si="130"/>
        <v>02_Slots/Gottheit/Goetter-mit-Epitheta/0310_Hapi-Horussohn/det/0010_Hpy_det_AR_01.png</v>
      </c>
    </row>
    <row r="941" spans="1:12">
      <c r="A941" s="2" t="s">
        <v>60</v>
      </c>
      <c r="B941" s="40">
        <v>310</v>
      </c>
      <c r="C941" s="2" t="s">
        <v>107</v>
      </c>
      <c r="L941" s="2" t="s">
        <v>154</v>
      </c>
    </row>
    <row r="942" spans="1:12">
      <c r="A942" s="2" t="s">
        <v>60</v>
      </c>
      <c r="B942" s="40">
        <v>310</v>
      </c>
      <c r="C942" s="2" t="s">
        <v>108</v>
      </c>
    </row>
    <row r="945" spans="1:12">
      <c r="A945" s="2" t="s">
        <v>60</v>
      </c>
      <c r="B945" s="40">
        <v>320</v>
      </c>
      <c r="C945" s="2" t="s">
        <v>39</v>
      </c>
      <c r="L945" s="2" t="s">
        <v>503</v>
      </c>
    </row>
    <row r="946" spans="1:12">
      <c r="A946" s="2" t="s">
        <v>60</v>
      </c>
      <c r="B946" s="40">
        <v>320</v>
      </c>
      <c r="C946" s="2" t="s">
        <v>105</v>
      </c>
      <c r="E946" s="2" t="s">
        <v>1190</v>
      </c>
      <c r="G946" s="2" t="s">
        <v>909</v>
      </c>
      <c r="L946" s="2" t="str">
        <f>_xlfn.TEXTJOIN("", TRUE, D946:J946)</f>
        <v>02_Slots/Gottheit/Goetter-mit-Epitheta/0320_Horus/0001_Hr_01.png</v>
      </c>
    </row>
    <row r="947" spans="1:12">
      <c r="A947" s="2" t="s">
        <v>60</v>
      </c>
      <c r="B947" s="40">
        <v>320</v>
      </c>
      <c r="C947" s="2" t="s">
        <v>105</v>
      </c>
      <c r="E947" s="2" t="s">
        <v>1190</v>
      </c>
      <c r="G947" s="2" t="s">
        <v>910</v>
      </c>
      <c r="L947" s="2" t="str">
        <f>_xlfn.TEXTJOIN("", TRUE, D947:J947)</f>
        <v>02_Slots/Gottheit/Goetter-mit-Epitheta/0320_Horus/0010_Hr_02.png</v>
      </c>
    </row>
    <row r="948" spans="1:12">
      <c r="A948" s="2" t="s">
        <v>60</v>
      </c>
      <c r="B948" s="40">
        <v>320</v>
      </c>
      <c r="C948" s="2" t="s">
        <v>105</v>
      </c>
      <c r="E948" s="2" t="s">
        <v>1190</v>
      </c>
      <c r="G948" s="2" t="s">
        <v>911</v>
      </c>
      <c r="I948" s="2" t="s">
        <v>1132</v>
      </c>
      <c r="J948" s="2" t="s">
        <v>1133</v>
      </c>
      <c r="K948" s="2" t="s">
        <v>1134</v>
      </c>
      <c r="L948" s="2" t="str">
        <f t="shared" ref="L948:L949" si="132">_xlfn.TEXTJOIN("", TRUE, D948:K948)</f>
        <v>02_Slots/Gottheit/Goetter-mit-Epitheta/0320_Horus/0020_Hr_AR_01.png &lt;sup&gt;(AR)&lt;/sup&gt;</v>
      </c>
    </row>
    <row r="949" spans="1:12">
      <c r="A949" s="2" t="s">
        <v>60</v>
      </c>
      <c r="B949" s="40">
        <v>320</v>
      </c>
      <c r="C949" s="2" t="s">
        <v>105</v>
      </c>
      <c r="E949" s="2" t="s">
        <v>1190</v>
      </c>
      <c r="G949" s="2" t="s">
        <v>912</v>
      </c>
      <c r="I949" s="2" t="s">
        <v>1132</v>
      </c>
      <c r="J949" s="2" t="s">
        <v>1136</v>
      </c>
      <c r="K949" s="2" t="s">
        <v>1134</v>
      </c>
      <c r="L949" s="2" t="str">
        <f t="shared" si="132"/>
        <v>02_Slots/Gottheit/Goetter-mit-Epitheta/0320_Horus/0030_Hr_MR_01.png &lt;sup&gt;(MR)&lt;/sup&gt;</v>
      </c>
    </row>
    <row r="950" spans="1:12">
      <c r="A950" s="2" t="s">
        <v>60</v>
      </c>
      <c r="B950" s="40">
        <v>320</v>
      </c>
      <c r="C950" s="2" t="s">
        <v>106</v>
      </c>
      <c r="L950" s="2" t="str">
        <f>_xlfn.TEXTJOIN("", TRUE, D950:J950)</f>
        <v/>
      </c>
    </row>
    <row r="951" spans="1:12">
      <c r="A951" s="2" t="s">
        <v>60</v>
      </c>
      <c r="B951" s="40">
        <v>320</v>
      </c>
      <c r="C951" s="2" t="s">
        <v>107</v>
      </c>
      <c r="L951" s="2" t="s">
        <v>155</v>
      </c>
    </row>
    <row r="952" spans="1:12">
      <c r="A952" s="2" t="s">
        <v>60</v>
      </c>
      <c r="B952" s="40">
        <v>320</v>
      </c>
      <c r="C952" s="2" t="s">
        <v>108</v>
      </c>
      <c r="L952" s="2" t="s">
        <v>1115</v>
      </c>
    </row>
    <row r="954" spans="1:12">
      <c r="A954" s="2" t="s">
        <v>916</v>
      </c>
      <c r="B954" s="40">
        <v>1</v>
      </c>
      <c r="C954" s="2" t="s">
        <v>39</v>
      </c>
      <c r="L954" s="2" t="s">
        <v>931</v>
      </c>
    </row>
    <row r="955" spans="1:12">
      <c r="A955" s="2" t="s">
        <v>916</v>
      </c>
      <c r="B955" s="40">
        <v>1</v>
      </c>
      <c r="C955" s="2" t="s">
        <v>105</v>
      </c>
      <c r="E955" s="2" t="s">
        <v>1190</v>
      </c>
      <c r="F955" s="2" t="s">
        <v>913</v>
      </c>
      <c r="G955" s="2" t="s">
        <v>914</v>
      </c>
      <c r="H955" s="2" t="s">
        <v>112</v>
      </c>
      <c r="L955" s="2" t="str">
        <f>_xlfn.TEXTJOIN("", TRUE, D955:J955)</f>
        <v>02_Slots/Gottheit/Goetter-mit-Epitheta/0320_Horus/epitheta/0001_m-Ax.t_01.png</v>
      </c>
    </row>
    <row r="956" spans="1:12">
      <c r="A956" s="2" t="s">
        <v>916</v>
      </c>
      <c r="B956" s="40">
        <v>1</v>
      </c>
      <c r="C956" s="2" t="s">
        <v>27</v>
      </c>
      <c r="L956" s="2" t="s">
        <v>932</v>
      </c>
    </row>
    <row r="958" spans="1:12">
      <c r="A958" s="2" t="s">
        <v>916</v>
      </c>
      <c r="B958" s="40">
        <v>2</v>
      </c>
      <c r="C958" s="2" t="s">
        <v>39</v>
      </c>
      <c r="L958" s="2" t="s">
        <v>930</v>
      </c>
    </row>
    <row r="959" spans="1:12">
      <c r="A959" s="2" t="s">
        <v>916</v>
      </c>
      <c r="B959" s="40">
        <v>2</v>
      </c>
      <c r="C959" s="2" t="s">
        <v>105</v>
      </c>
      <c r="E959" s="2" t="s">
        <v>1190</v>
      </c>
      <c r="F959" s="2" t="s">
        <v>913</v>
      </c>
      <c r="G959" s="2" t="s">
        <v>915</v>
      </c>
      <c r="H959" s="2" t="s">
        <v>112</v>
      </c>
      <c r="L959" s="2" t="str">
        <f>_xlfn.TEXTJOIN("", TRUE, D959:J959)</f>
        <v>02_Slots/Gottheit/Goetter-mit-Epitheta/0320_Horus/epitheta/0001_nD-jt_01.png</v>
      </c>
    </row>
    <row r="960" spans="1:12">
      <c r="A960" s="2" t="s">
        <v>916</v>
      </c>
      <c r="B960" s="40">
        <v>2</v>
      </c>
      <c r="C960" s="2" t="s">
        <v>27</v>
      </c>
      <c r="L960" s="2" t="s">
        <v>929</v>
      </c>
    </row>
    <row r="962" spans="1:12">
      <c r="A962" s="2" t="s">
        <v>916</v>
      </c>
      <c r="B962" s="40">
        <v>3</v>
      </c>
      <c r="C962" s="2" t="s">
        <v>39</v>
      </c>
      <c r="L962" s="2" t="s">
        <v>927</v>
      </c>
    </row>
    <row r="963" spans="1:12">
      <c r="A963" s="2" t="s">
        <v>916</v>
      </c>
      <c r="B963" s="40">
        <v>3</v>
      </c>
      <c r="C963" s="2" t="s">
        <v>105</v>
      </c>
      <c r="E963" s="2" t="s">
        <v>1190</v>
      </c>
      <c r="F963" s="2" t="s">
        <v>913</v>
      </c>
      <c r="G963" s="2" t="s">
        <v>917</v>
      </c>
      <c r="H963" s="2" t="s">
        <v>112</v>
      </c>
      <c r="I963" s="2" t="s">
        <v>1132</v>
      </c>
      <c r="J963" s="2" t="s">
        <v>1124</v>
      </c>
      <c r="K963" s="2" t="s">
        <v>1134</v>
      </c>
      <c r="L963" s="2" t="str">
        <f>_xlfn.TEXTJOIN("", TRUE, D963:K963)</f>
        <v>02_Slots/Gottheit/Goetter-mit-Epitheta/0320_Horus/epitheta/0001_pA-Xrd_SP_01.png &lt;sup&gt;(Spät.)&lt;/sup&gt;</v>
      </c>
    </row>
    <row r="964" spans="1:12">
      <c r="A964" s="2" t="s">
        <v>916</v>
      </c>
      <c r="B964" s="40">
        <v>3</v>
      </c>
      <c r="C964" s="2" t="s">
        <v>27</v>
      </c>
      <c r="L964" s="2" t="s">
        <v>928</v>
      </c>
    </row>
    <row r="966" spans="1:12">
      <c r="A966" s="2" t="s">
        <v>916</v>
      </c>
      <c r="B966" s="40">
        <v>4</v>
      </c>
      <c r="C966" s="2" t="s">
        <v>39</v>
      </c>
      <c r="L966" s="2" t="s">
        <v>925</v>
      </c>
    </row>
    <row r="967" spans="1:12">
      <c r="A967" s="2" t="s">
        <v>916</v>
      </c>
      <c r="B967" s="40">
        <v>4</v>
      </c>
      <c r="C967" s="2" t="s">
        <v>105</v>
      </c>
      <c r="E967" s="2" t="s">
        <v>1190</v>
      </c>
      <c r="F967" s="2" t="s">
        <v>913</v>
      </c>
      <c r="G967" s="2" t="s">
        <v>918</v>
      </c>
      <c r="H967" s="2" t="s">
        <v>112</v>
      </c>
      <c r="L967" s="2" t="str">
        <f>_xlfn.TEXTJOIN("", TRUE, D967:J967)</f>
        <v>02_Slots/Gottheit/Goetter-mit-Epitheta/0320_Horus/epitheta/0001_sA-s.t_01.png</v>
      </c>
    </row>
    <row r="968" spans="1:12">
      <c r="A968" s="2" t="s">
        <v>916</v>
      </c>
      <c r="B968" s="40">
        <v>4</v>
      </c>
      <c r="C968" s="2" t="s">
        <v>27</v>
      </c>
      <c r="L968" s="2" t="s">
        <v>926</v>
      </c>
    </row>
    <row r="970" spans="1:12">
      <c r="A970" s="2" t="s">
        <v>916</v>
      </c>
      <c r="B970" s="40">
        <v>5</v>
      </c>
      <c r="C970" s="2" t="s">
        <v>39</v>
      </c>
      <c r="L970" s="2" t="s">
        <v>923</v>
      </c>
    </row>
    <row r="971" spans="1:12">
      <c r="A971" s="2" t="s">
        <v>916</v>
      </c>
      <c r="B971" s="40">
        <v>5</v>
      </c>
      <c r="C971" s="2" t="s">
        <v>105</v>
      </c>
      <c r="E971" s="2" t="s">
        <v>1190</v>
      </c>
      <c r="F971" s="2" t="s">
        <v>913</v>
      </c>
      <c r="G971" s="2" t="s">
        <v>919</v>
      </c>
      <c r="H971" s="2" t="s">
        <v>112</v>
      </c>
      <c r="L971" s="2" t="str">
        <f>_xlfn.TEXTJOIN("", TRUE, D971:J971)</f>
        <v>02_Slots/Gottheit/Goetter-mit-Epitheta/0320_Horus/epitheta/0001_smA-tA.wj_01.png</v>
      </c>
    </row>
    <row r="972" spans="1:12">
      <c r="A972" s="2" t="s">
        <v>916</v>
      </c>
      <c r="B972" s="40">
        <v>5</v>
      </c>
      <c r="C972" s="2" t="s">
        <v>27</v>
      </c>
      <c r="L972" s="2" t="s">
        <v>924</v>
      </c>
    </row>
    <row r="974" spans="1:12">
      <c r="A974" s="2" t="s">
        <v>916</v>
      </c>
      <c r="B974" s="40">
        <v>6</v>
      </c>
      <c r="C974" s="2" t="s">
        <v>39</v>
      </c>
      <c r="L974" s="2" t="s">
        <v>921</v>
      </c>
    </row>
    <row r="975" spans="1:12">
      <c r="A975" s="2" t="s">
        <v>916</v>
      </c>
      <c r="B975" s="40">
        <v>6</v>
      </c>
      <c r="C975" s="2" t="s">
        <v>105</v>
      </c>
      <c r="E975" s="2" t="s">
        <v>1190</v>
      </c>
      <c r="F975" s="2" t="s">
        <v>913</v>
      </c>
      <c r="G975" s="2" t="s">
        <v>920</v>
      </c>
      <c r="H975" s="2" t="s">
        <v>112</v>
      </c>
      <c r="L975" s="2" t="str">
        <f>_xlfn.TEXTJOIN("", TRUE, D975:J975)</f>
        <v>02_Slots/Gottheit/Goetter-mit-Epitheta/0320_Horus/epitheta/0001_wr_01.png</v>
      </c>
    </row>
    <row r="976" spans="1:12">
      <c r="A976" s="2" t="s">
        <v>916</v>
      </c>
      <c r="B976" s="40">
        <v>6</v>
      </c>
      <c r="C976" s="2" t="s">
        <v>27</v>
      </c>
      <c r="L976" s="2" t="s">
        <v>922</v>
      </c>
    </row>
    <row r="978" spans="1:12">
      <c r="A978" s="2" t="s">
        <v>60</v>
      </c>
      <c r="B978" s="40">
        <v>330</v>
      </c>
      <c r="C978" s="2" t="s">
        <v>39</v>
      </c>
      <c r="L978" s="2" t="s">
        <v>667</v>
      </c>
    </row>
    <row r="979" spans="1:12">
      <c r="A979" s="2" t="s">
        <v>60</v>
      </c>
      <c r="B979" s="40">
        <v>330</v>
      </c>
      <c r="C979" s="2" t="s">
        <v>105</v>
      </c>
      <c r="E979" s="2" t="s">
        <v>1191</v>
      </c>
      <c r="G979" s="2" t="s">
        <v>933</v>
      </c>
      <c r="L979" s="2" t="str">
        <f>_xlfn.TEXTJOIN("", TRUE, D979:J979)</f>
        <v>02_Slots/Gottheit/Goetter-mit-Epitheta/0330_Harachte/0001_Hr-Axtj_01.png</v>
      </c>
    </row>
    <row r="980" spans="1:12">
      <c r="A980" s="2" t="s">
        <v>60</v>
      </c>
      <c r="B980" s="40">
        <v>330</v>
      </c>
      <c r="C980" s="2" t="s">
        <v>105</v>
      </c>
      <c r="E980" s="2" t="s">
        <v>1191</v>
      </c>
      <c r="G980" s="2" t="s">
        <v>934</v>
      </c>
      <c r="L980" s="2" t="str">
        <f>_xlfn.TEXTJOIN("", TRUE, D980:J980)</f>
        <v>02_Slots/Gottheit/Goetter-mit-Epitheta/0330_Harachte/0010_Hr-Axtj_02.png</v>
      </c>
    </row>
    <row r="981" spans="1:12">
      <c r="A981" s="2" t="s">
        <v>60</v>
      </c>
      <c r="B981" s="40">
        <v>330</v>
      </c>
      <c r="C981" s="2" t="s">
        <v>105</v>
      </c>
      <c r="E981" s="2" t="s">
        <v>1191</v>
      </c>
      <c r="G981" s="2" t="s">
        <v>935</v>
      </c>
      <c r="L981" s="2" t="str">
        <f>_xlfn.TEXTJOIN("", TRUE, D981:J981)</f>
        <v>02_Slots/Gottheit/Goetter-mit-Epitheta/0330_Harachte/0020_Hr-Axtj_03.png</v>
      </c>
    </row>
    <row r="982" spans="1:12">
      <c r="A982" s="2" t="s">
        <v>60</v>
      </c>
      <c r="B982" s="40">
        <v>330</v>
      </c>
      <c r="C982" s="2" t="s">
        <v>106</v>
      </c>
      <c r="L982" s="2" t="str">
        <f>_xlfn.TEXTJOIN("", TRUE, D982:J982)</f>
        <v/>
      </c>
    </row>
    <row r="983" spans="1:12">
      <c r="A983" s="2" t="s">
        <v>60</v>
      </c>
      <c r="B983" s="40">
        <v>330</v>
      </c>
      <c r="C983" s="2" t="s">
        <v>107</v>
      </c>
      <c r="L983" s="2" t="s">
        <v>156</v>
      </c>
    </row>
    <row r="984" spans="1:12">
      <c r="A984" s="2" t="s">
        <v>60</v>
      </c>
      <c r="B984" s="40">
        <v>330</v>
      </c>
      <c r="C984" s="2" t="s">
        <v>108</v>
      </c>
    </row>
    <row r="987" spans="1:12">
      <c r="A987" s="2" t="s">
        <v>60</v>
      </c>
      <c r="B987" s="40">
        <v>340</v>
      </c>
      <c r="C987" s="2" t="s">
        <v>39</v>
      </c>
      <c r="L987" s="2" t="s">
        <v>668</v>
      </c>
    </row>
    <row r="988" spans="1:12">
      <c r="A988" s="2" t="s">
        <v>60</v>
      </c>
      <c r="B988" s="40">
        <v>340</v>
      </c>
      <c r="C988" s="2" t="s">
        <v>105</v>
      </c>
      <c r="E988" s="2" t="s">
        <v>1192</v>
      </c>
      <c r="G988" s="2" t="s">
        <v>936</v>
      </c>
      <c r="L988" s="2" t="str">
        <f>_xlfn.TEXTJOIN("", TRUE, D988:J988)</f>
        <v>02_Slots/Gottheit/Goetter-mit-Epitheta/0340_Heqet/0001_Hqt_01.png</v>
      </c>
    </row>
    <row r="989" spans="1:12">
      <c r="A989" s="2" t="s">
        <v>60</v>
      </c>
      <c r="B989" s="40">
        <v>340</v>
      </c>
      <c r="C989" s="2" t="s">
        <v>105</v>
      </c>
      <c r="E989" s="2" t="s">
        <v>1192</v>
      </c>
      <c r="G989" s="2" t="s">
        <v>937</v>
      </c>
      <c r="I989" s="2" t="s">
        <v>1132</v>
      </c>
      <c r="J989" s="2" t="s">
        <v>1140</v>
      </c>
      <c r="K989" s="2" t="s">
        <v>1134</v>
      </c>
      <c r="L989" s="2" t="str">
        <f>_xlfn.TEXTJOIN("", TRUE, D989:K989)</f>
        <v>02_Slots/Gottheit/Goetter-mit-Epitheta/0340_Heqet/0010_Hqt_D.18_01.png &lt;sup&gt;(D.18)&lt;/sup&gt;</v>
      </c>
    </row>
    <row r="990" spans="1:12">
      <c r="A990" s="2" t="s">
        <v>60</v>
      </c>
      <c r="B990" s="40">
        <v>340</v>
      </c>
      <c r="C990" s="2" t="s">
        <v>106</v>
      </c>
      <c r="E990" s="2" t="s">
        <v>1192</v>
      </c>
      <c r="F990" s="2" t="s">
        <v>110</v>
      </c>
      <c r="G990" s="2" t="s">
        <v>938</v>
      </c>
      <c r="L990" s="2" t="str">
        <f>_xlfn.TEXTJOIN("", TRUE, D990:J990)</f>
        <v>02_Slots/Gottheit/Goetter-mit-Epitheta/0340_Heqet/det/0001_Hqt_det_01.png</v>
      </c>
    </row>
    <row r="991" spans="1:12">
      <c r="A991" s="2" t="s">
        <v>60</v>
      </c>
      <c r="B991" s="40">
        <v>340</v>
      </c>
      <c r="C991" s="2" t="s">
        <v>106</v>
      </c>
      <c r="E991" s="2" t="s">
        <v>1192</v>
      </c>
      <c r="F991" s="2" t="s">
        <v>110</v>
      </c>
      <c r="G991" s="2" t="s">
        <v>939</v>
      </c>
      <c r="L991" s="2" t="str">
        <f>_xlfn.TEXTJOIN("", TRUE, D991:J991)</f>
        <v>02_Slots/Gottheit/Goetter-mit-Epitheta/0340_Heqet/det/0010_Hqt_det_02.png</v>
      </c>
    </row>
    <row r="992" spans="1:12">
      <c r="A992" s="2" t="s">
        <v>60</v>
      </c>
      <c r="B992" s="40">
        <v>340</v>
      </c>
      <c r="C992" s="2" t="s">
        <v>107</v>
      </c>
      <c r="L992" s="2" t="s">
        <v>157</v>
      </c>
    </row>
    <row r="993" spans="1:12">
      <c r="A993" s="2" t="s">
        <v>60</v>
      </c>
      <c r="B993" s="40">
        <v>340</v>
      </c>
      <c r="C993" s="2" t="s">
        <v>108</v>
      </c>
    </row>
    <row r="996" spans="1:12">
      <c r="A996" s="2" t="s">
        <v>60</v>
      </c>
      <c r="B996" s="40">
        <v>350</v>
      </c>
      <c r="C996" s="2" t="s">
        <v>39</v>
      </c>
      <c r="L996" s="2" t="s">
        <v>669</v>
      </c>
    </row>
    <row r="997" spans="1:12">
      <c r="A997" s="2" t="s">
        <v>60</v>
      </c>
      <c r="B997" s="40">
        <v>350</v>
      </c>
      <c r="C997" s="2" t="s">
        <v>105</v>
      </c>
      <c r="E997" s="2" t="s">
        <v>1193</v>
      </c>
      <c r="G997" s="2" t="s">
        <v>940</v>
      </c>
      <c r="L997" s="2" t="str">
        <f t="shared" ref="L997:L1004" si="133">_xlfn.TEXTJOIN("", TRUE, D997:J997)</f>
        <v>02_Slots/Gottheit/Goetter-mit-Epitheta/0350_Chnum/0001_Xnm.w_01.png</v>
      </c>
    </row>
    <row r="998" spans="1:12">
      <c r="A998" s="2" t="s">
        <v>60</v>
      </c>
      <c r="B998" s="40">
        <v>350</v>
      </c>
      <c r="C998" s="2" t="s">
        <v>105</v>
      </c>
      <c r="E998" s="2" t="s">
        <v>1193</v>
      </c>
      <c r="G998" s="2" t="s">
        <v>941</v>
      </c>
      <c r="L998" s="2" t="str">
        <f t="shared" si="133"/>
        <v>02_Slots/Gottheit/Goetter-mit-Epitheta/0350_Chnum/0010_Xnm.w_02.png</v>
      </c>
    </row>
    <row r="999" spans="1:12">
      <c r="A999" s="2" t="s">
        <v>60</v>
      </c>
      <c r="B999" s="40">
        <v>350</v>
      </c>
      <c r="C999" s="2" t="s">
        <v>105</v>
      </c>
      <c r="E999" s="2" t="s">
        <v>1193</v>
      </c>
      <c r="G999" s="2" t="s">
        <v>942</v>
      </c>
      <c r="L999" s="2" t="str">
        <f t="shared" si="133"/>
        <v>02_Slots/Gottheit/Goetter-mit-Epitheta/0350_Chnum/0020_Xnm.w_03.png</v>
      </c>
    </row>
    <row r="1000" spans="1:12">
      <c r="A1000" s="2" t="s">
        <v>60</v>
      </c>
      <c r="B1000" s="40">
        <v>350</v>
      </c>
      <c r="C1000" s="2" t="s">
        <v>105</v>
      </c>
      <c r="E1000" s="2" t="s">
        <v>1193</v>
      </c>
      <c r="G1000" s="2" t="s">
        <v>943</v>
      </c>
      <c r="L1000" s="2" t="str">
        <f t="shared" si="133"/>
        <v>02_Slots/Gottheit/Goetter-mit-Epitheta/0350_Chnum/0030_Xnm.w_04.png</v>
      </c>
    </row>
    <row r="1001" spans="1:12">
      <c r="A1001" s="2" t="s">
        <v>60</v>
      </c>
      <c r="B1001" s="40">
        <v>350</v>
      </c>
      <c r="C1001" s="2" t="s">
        <v>105</v>
      </c>
      <c r="E1001" s="2" t="s">
        <v>1193</v>
      </c>
      <c r="G1001" s="2" t="s">
        <v>944</v>
      </c>
      <c r="I1001" s="2" t="s">
        <v>1132</v>
      </c>
      <c r="J1001" s="2" t="s">
        <v>1135</v>
      </c>
      <c r="K1001" s="2" t="s">
        <v>1134</v>
      </c>
      <c r="L1001" s="2" t="str">
        <f t="shared" ref="L1001:L1002" si="134">_xlfn.TEXTJOIN("", TRUE, D1001:K1001)</f>
        <v>02_Slots/Gottheit/Goetter-mit-Epitheta/0350_Chnum/0040_Xnm.w_GR_01.png &lt;sup&gt;(Gr.)&lt;/sup&gt;</v>
      </c>
    </row>
    <row r="1002" spans="1:12">
      <c r="A1002" s="2" t="s">
        <v>60</v>
      </c>
      <c r="B1002" s="40">
        <v>350</v>
      </c>
      <c r="C1002" s="2" t="s">
        <v>105</v>
      </c>
      <c r="E1002" s="2" t="s">
        <v>1193</v>
      </c>
      <c r="G1002" s="2" t="s">
        <v>945</v>
      </c>
      <c r="I1002" s="2" t="s">
        <v>1132</v>
      </c>
      <c r="J1002" s="2" t="s">
        <v>1135</v>
      </c>
      <c r="K1002" s="2" t="s">
        <v>1134</v>
      </c>
      <c r="L1002" s="2" t="str">
        <f t="shared" si="134"/>
        <v>02_Slots/Gottheit/Goetter-mit-Epitheta/0350_Chnum/0050_Xnm.w_GR_02.png &lt;sup&gt;(Gr.)&lt;/sup&gt;</v>
      </c>
    </row>
    <row r="1003" spans="1:12">
      <c r="A1003" s="2" t="s">
        <v>60</v>
      </c>
      <c r="B1003" s="40">
        <v>350</v>
      </c>
      <c r="C1003" s="2" t="s">
        <v>106</v>
      </c>
      <c r="E1003" s="2" t="s">
        <v>1193</v>
      </c>
      <c r="F1003" s="2" t="s">
        <v>110</v>
      </c>
      <c r="G1003" s="2" t="s">
        <v>946</v>
      </c>
      <c r="L1003" s="2" t="str">
        <f t="shared" si="133"/>
        <v>02_Slots/Gottheit/Goetter-mit-Epitheta/0350_Chnum/det/0001_Xnm.w_det_01.png</v>
      </c>
    </row>
    <row r="1004" spans="1:12">
      <c r="A1004" s="2" t="s">
        <v>60</v>
      </c>
      <c r="B1004" s="40">
        <v>350</v>
      </c>
      <c r="C1004" s="2" t="s">
        <v>106</v>
      </c>
      <c r="E1004" s="2" t="s">
        <v>1193</v>
      </c>
      <c r="F1004" s="2" t="s">
        <v>110</v>
      </c>
      <c r="G1004" s="2" t="s">
        <v>947</v>
      </c>
      <c r="L1004" s="2" t="str">
        <f t="shared" si="133"/>
        <v>02_Slots/Gottheit/Goetter-mit-Epitheta/0350_Chnum/det/0010_Xnm.w_det_02.png</v>
      </c>
    </row>
    <row r="1005" spans="1:12">
      <c r="A1005" s="2" t="s">
        <v>60</v>
      </c>
      <c r="B1005" s="40">
        <v>350</v>
      </c>
      <c r="C1005" s="2" t="s">
        <v>107</v>
      </c>
      <c r="L1005" s="2" t="s">
        <v>158</v>
      </c>
    </row>
    <row r="1006" spans="1:12">
      <c r="A1006" s="2" t="s">
        <v>60</v>
      </c>
      <c r="B1006" s="40">
        <v>350</v>
      </c>
      <c r="C1006" s="2" t="s">
        <v>108</v>
      </c>
    </row>
    <row r="1009" spans="1:12">
      <c r="A1009" s="2" t="s">
        <v>60</v>
      </c>
      <c r="B1009" s="40">
        <v>360</v>
      </c>
      <c r="C1009" s="2" t="s">
        <v>39</v>
      </c>
      <c r="L1009" s="2" t="s">
        <v>670</v>
      </c>
    </row>
    <row r="1010" spans="1:12">
      <c r="A1010" s="2" t="s">
        <v>60</v>
      </c>
      <c r="B1010" s="40">
        <v>360</v>
      </c>
      <c r="C1010" s="2" t="s">
        <v>105</v>
      </c>
      <c r="E1010" s="2" t="s">
        <v>1194</v>
      </c>
      <c r="G1010" s="2" t="s">
        <v>948</v>
      </c>
      <c r="L1010" s="2" t="str">
        <f t="shared" ref="L1010:L1011" si="135">_xlfn.TEXTJOIN("", TRUE, D1010:K1010)</f>
        <v>02_Slots/Gottheit/Goetter-mit-Epitheta/0360_Chons/0001_Xnsw_01.png</v>
      </c>
    </row>
    <row r="1011" spans="1:12">
      <c r="A1011" s="2" t="s">
        <v>60</v>
      </c>
      <c r="B1011" s="40">
        <v>360</v>
      </c>
      <c r="C1011" s="2" t="s">
        <v>105</v>
      </c>
      <c r="E1011" s="2" t="s">
        <v>1194</v>
      </c>
      <c r="G1011" s="2" t="s">
        <v>949</v>
      </c>
      <c r="L1011" s="2" t="str">
        <f t="shared" si="135"/>
        <v>02_Slots/Gottheit/Goetter-mit-Epitheta/0360_Chons/0010_Xnsw_02.png</v>
      </c>
    </row>
    <row r="1012" spans="1:12">
      <c r="A1012" s="2" t="s">
        <v>60</v>
      </c>
      <c r="B1012" s="40">
        <v>360</v>
      </c>
      <c r="C1012" s="2" t="s">
        <v>105</v>
      </c>
      <c r="E1012" s="2" t="s">
        <v>1194</v>
      </c>
      <c r="G1012" s="2" t="s">
        <v>950</v>
      </c>
      <c r="I1012" s="2" t="s">
        <v>1132</v>
      </c>
      <c r="J1012" s="2" t="s">
        <v>1088</v>
      </c>
      <c r="K1012" s="2" t="s">
        <v>1134</v>
      </c>
      <c r="L1012" s="2" t="str">
        <f>_xlfn.TEXTJOIN("", TRUE, D1012:K1012)</f>
        <v>02_Slots/Gottheit/Goetter-mit-Epitheta/0360_Chons/0020_Xnsw_NR_01.png &lt;sup&gt;(NR)&lt;/sup&gt;</v>
      </c>
    </row>
    <row r="1013" spans="1:12">
      <c r="A1013" s="2" t="s">
        <v>60</v>
      </c>
      <c r="B1013" s="40">
        <v>360</v>
      </c>
      <c r="C1013" s="2" t="s">
        <v>106</v>
      </c>
      <c r="L1013" s="2" t="str">
        <f>_xlfn.TEXTJOIN("", TRUE, D1013:J1013)</f>
        <v/>
      </c>
    </row>
    <row r="1014" spans="1:12">
      <c r="A1014" s="2" t="s">
        <v>60</v>
      </c>
      <c r="B1014" s="40">
        <v>360</v>
      </c>
      <c r="C1014" s="2" t="s">
        <v>107</v>
      </c>
      <c r="L1014" s="2" t="s">
        <v>159</v>
      </c>
    </row>
    <row r="1015" spans="1:12">
      <c r="A1015" s="2" t="s">
        <v>60</v>
      </c>
      <c r="B1015" s="40">
        <v>360</v>
      </c>
      <c r="C1015" s="2" t="s">
        <v>108</v>
      </c>
      <c r="L1015" s="47" t="s">
        <v>1486</v>
      </c>
    </row>
    <row r="1016" spans="1:12">
      <c r="K1016" s="47"/>
    </row>
    <row r="1017" spans="1:12">
      <c r="A1017" s="2" t="s">
        <v>1487</v>
      </c>
      <c r="B1017" s="40">
        <v>1</v>
      </c>
      <c r="C1017" s="2" t="s">
        <v>39</v>
      </c>
      <c r="L1017" s="47" t="s">
        <v>1491</v>
      </c>
    </row>
    <row r="1018" spans="1:12">
      <c r="A1018" s="2" t="s">
        <v>1487</v>
      </c>
      <c r="B1018" s="40">
        <v>1</v>
      </c>
      <c r="C1018" s="2" t="s">
        <v>105</v>
      </c>
      <c r="E1018" s="2" t="s">
        <v>1194</v>
      </c>
      <c r="F1018" s="2" t="s">
        <v>1490</v>
      </c>
      <c r="G1018" s="2" t="s">
        <v>1488</v>
      </c>
      <c r="I1018" s="2" t="s">
        <v>1132</v>
      </c>
      <c r="J1018" s="2" t="s">
        <v>1088</v>
      </c>
      <c r="K1018" s="2" t="s">
        <v>1134</v>
      </c>
      <c r="L1018" s="2" t="str">
        <f t="shared" ref="L1018:L1019" si="136">_xlfn.TEXTJOIN("", TRUE, D1018:K1018)</f>
        <v>02_Slots/Gottheit/Goetter-mit-Epitheta/0360_Chons/epitheta/01-m-wAs.t/0001_m-WAs.t_NR_01.png &lt;sup&gt;(NR)&lt;/sup&gt;</v>
      </c>
    </row>
    <row r="1019" spans="1:12">
      <c r="A1019" s="2" t="s">
        <v>1487</v>
      </c>
      <c r="B1019" s="40">
        <v>1</v>
      </c>
      <c r="C1019" s="2" t="s">
        <v>105</v>
      </c>
      <c r="E1019" s="2" t="s">
        <v>1194</v>
      </c>
      <c r="F1019" s="2" t="s">
        <v>1490</v>
      </c>
      <c r="G1019" s="2" t="s">
        <v>1489</v>
      </c>
      <c r="I1019" s="2" t="s">
        <v>1132</v>
      </c>
      <c r="J1019" s="2" t="s">
        <v>1088</v>
      </c>
      <c r="K1019" s="2" t="s">
        <v>1134</v>
      </c>
      <c r="L1019" s="2" t="str">
        <f t="shared" si="136"/>
        <v>02_Slots/Gottheit/Goetter-mit-Epitheta/0360_Chons/epitheta/01-m-wAs.t/0010_m-WAs.t_NR_02.png &lt;sup&gt;(NR)&lt;/sup&gt;</v>
      </c>
    </row>
    <row r="1020" spans="1:12">
      <c r="A1020" s="2" t="s">
        <v>1487</v>
      </c>
      <c r="B1020" s="40">
        <v>1</v>
      </c>
      <c r="C1020" s="2" t="s">
        <v>27</v>
      </c>
      <c r="L1020" s="47" t="s">
        <v>1492</v>
      </c>
    </row>
    <row r="1021" spans="1:12">
      <c r="L1021" s="47"/>
    </row>
    <row r="1022" spans="1:12">
      <c r="A1022" s="2" t="s">
        <v>1487</v>
      </c>
      <c r="B1022" s="40">
        <v>2</v>
      </c>
      <c r="C1022" s="2" t="s">
        <v>39</v>
      </c>
      <c r="L1022" s="47" t="s">
        <v>1493</v>
      </c>
    </row>
    <row r="1023" spans="1:12">
      <c r="A1023" s="2" t="s">
        <v>1487</v>
      </c>
      <c r="B1023" s="40">
        <v>2</v>
      </c>
      <c r="C1023" s="2" t="s">
        <v>105</v>
      </c>
      <c r="E1023" s="2" t="s">
        <v>1194</v>
      </c>
      <c r="F1023" s="2" t="s">
        <v>1496</v>
      </c>
      <c r="G1023" s="2" t="s">
        <v>1495</v>
      </c>
      <c r="I1023" s="2" t="s">
        <v>1132</v>
      </c>
      <c r="J1023" s="2" t="s">
        <v>1141</v>
      </c>
      <c r="K1023" s="2" t="s">
        <v>1134</v>
      </c>
      <c r="L1023" s="2" t="str">
        <f t="shared" ref="L1023" si="137">_xlfn.TEXTJOIN("", TRUE, D1023:K1023)</f>
        <v>02_Slots/Gottheit/Goetter-mit-Epitheta/0360_Chons/epitheta/02-pA-jrj-sxr.w-m-WAs.t/0001_pA-jrj-sxr.w-m-WAs.t_Sp_01.png &lt;sup&gt;(Sp.)&lt;/sup&gt;</v>
      </c>
    </row>
    <row r="1024" spans="1:12">
      <c r="A1024" s="2" t="s">
        <v>1487</v>
      </c>
      <c r="B1024" s="40">
        <v>2</v>
      </c>
      <c r="C1024" s="2" t="s">
        <v>27</v>
      </c>
      <c r="L1024" s="47" t="s">
        <v>1494</v>
      </c>
    </row>
    <row r="1025" spans="1:12">
      <c r="L1025" s="47"/>
    </row>
    <row r="1026" spans="1:12">
      <c r="L1026" s="47"/>
    </row>
    <row r="1027" spans="1:12">
      <c r="L1027" s="47"/>
    </row>
    <row r="1028" spans="1:12">
      <c r="L1028" s="47"/>
    </row>
    <row r="1031" spans="1:12">
      <c r="A1031" s="2" t="s">
        <v>60</v>
      </c>
      <c r="B1031" s="40">
        <v>370</v>
      </c>
      <c r="C1031" s="2" t="s">
        <v>39</v>
      </c>
      <c r="L1031" s="2" t="s">
        <v>671</v>
      </c>
    </row>
    <row r="1032" spans="1:12">
      <c r="A1032" s="2" t="s">
        <v>60</v>
      </c>
      <c r="B1032" s="40">
        <v>370</v>
      </c>
      <c r="C1032" s="2" t="s">
        <v>105</v>
      </c>
      <c r="E1032" s="2" t="s">
        <v>1195</v>
      </c>
      <c r="G1032" s="2" t="s">
        <v>951</v>
      </c>
      <c r="L1032" s="2" t="str">
        <f>_xlfn.TEXTJOIN("", TRUE, D1032:J1032)</f>
        <v>02_Slots/Gottheit/Goetter-mit-Epitheta/0370_Sobek/0001_sbk_01.png</v>
      </c>
    </row>
    <row r="1033" spans="1:12">
      <c r="A1033" s="2" t="s">
        <v>60</v>
      </c>
      <c r="B1033" s="40">
        <v>370</v>
      </c>
      <c r="C1033" s="2" t="s">
        <v>105</v>
      </c>
      <c r="E1033" s="2" t="s">
        <v>1195</v>
      </c>
      <c r="G1033" s="2" t="s">
        <v>952</v>
      </c>
      <c r="L1033" s="2" t="str">
        <f>_xlfn.TEXTJOIN("", TRUE, D1033:J1033)</f>
        <v>02_Slots/Gottheit/Goetter-mit-Epitheta/0370_Sobek/0010_sbk_02.png</v>
      </c>
    </row>
    <row r="1034" spans="1:12">
      <c r="A1034" s="2" t="s">
        <v>60</v>
      </c>
      <c r="B1034" s="40">
        <v>370</v>
      </c>
      <c r="C1034" s="2" t="s">
        <v>105</v>
      </c>
      <c r="E1034" s="2" t="s">
        <v>1195</v>
      </c>
      <c r="G1034" s="2" t="s">
        <v>953</v>
      </c>
      <c r="L1034" s="2" t="str">
        <f>_xlfn.TEXTJOIN("", TRUE, D1034:J1034)</f>
        <v>02_Slots/Gottheit/Goetter-mit-Epitheta/0370_Sobek/0020_sbk_03.png</v>
      </c>
    </row>
    <row r="1035" spans="1:12">
      <c r="A1035" s="2" t="s">
        <v>60</v>
      </c>
      <c r="B1035" s="40">
        <v>370</v>
      </c>
      <c r="C1035" s="2" t="s">
        <v>105</v>
      </c>
      <c r="E1035" s="2" t="s">
        <v>1195</v>
      </c>
      <c r="G1035" s="2" t="s">
        <v>954</v>
      </c>
      <c r="I1035" s="2" t="s">
        <v>1132</v>
      </c>
      <c r="J1035" s="2" t="s">
        <v>1088</v>
      </c>
      <c r="K1035" s="2" t="s">
        <v>1134</v>
      </c>
      <c r="L1035" s="2" t="str">
        <f>_xlfn.TEXTJOIN("", TRUE, D1035:K1035)</f>
        <v>02_Slots/Gottheit/Goetter-mit-Epitheta/0370_Sobek/0030_sbk_NR_01.png &lt;sup&gt;(NR)&lt;/sup&gt;</v>
      </c>
    </row>
    <row r="1036" spans="1:12">
      <c r="A1036" s="2" t="s">
        <v>60</v>
      </c>
      <c r="B1036" s="40">
        <v>370</v>
      </c>
      <c r="C1036" s="2" t="s">
        <v>106</v>
      </c>
      <c r="E1036" s="2" t="s">
        <v>1195</v>
      </c>
      <c r="F1036" s="2" t="s">
        <v>110</v>
      </c>
      <c r="G1036" s="2" t="s">
        <v>955</v>
      </c>
      <c r="L1036" s="2" t="str">
        <f>_xlfn.TEXTJOIN("", TRUE, D1036:J1036)</f>
        <v>02_Slots/Gottheit/Goetter-mit-Epitheta/0370_Sobek/det/0001_sbk_det_01.png</v>
      </c>
    </row>
    <row r="1037" spans="1:12">
      <c r="A1037" s="2" t="s">
        <v>60</v>
      </c>
      <c r="B1037" s="40">
        <v>370</v>
      </c>
      <c r="C1037" s="2" t="s">
        <v>107</v>
      </c>
      <c r="L1037" s="2" t="s">
        <v>160</v>
      </c>
    </row>
    <row r="1038" spans="1:12">
      <c r="A1038" s="2" t="s">
        <v>60</v>
      </c>
      <c r="B1038" s="40">
        <v>370</v>
      </c>
      <c r="C1038" s="2" t="s">
        <v>108</v>
      </c>
    </row>
    <row r="1041" spans="1:12">
      <c r="A1041" s="2" t="s">
        <v>60</v>
      </c>
      <c r="B1041" s="40">
        <v>380</v>
      </c>
      <c r="C1041" s="2" t="s">
        <v>39</v>
      </c>
      <c r="L1041" s="2" t="s">
        <v>672</v>
      </c>
    </row>
    <row r="1042" spans="1:12">
      <c r="A1042" s="2" t="s">
        <v>60</v>
      </c>
      <c r="B1042" s="40">
        <v>380</v>
      </c>
      <c r="C1042" s="2" t="s">
        <v>105</v>
      </c>
      <c r="E1042" s="2" t="s">
        <v>1196</v>
      </c>
      <c r="G1042" s="2" t="s">
        <v>956</v>
      </c>
      <c r="L1042" s="2" t="str">
        <f t="shared" ref="L1042:L1050" si="138">_xlfn.TEXTJOIN("", TRUE, D1042:J1042)</f>
        <v>02_Slots/Gottheit/Goetter-mit-Epitheta/0380_Selkis/0001_srq.t_01.png</v>
      </c>
    </row>
    <row r="1043" spans="1:12">
      <c r="A1043" s="2" t="s">
        <v>60</v>
      </c>
      <c r="B1043" s="40">
        <v>380</v>
      </c>
      <c r="C1043" s="2" t="s">
        <v>105</v>
      </c>
      <c r="E1043" s="2" t="s">
        <v>1196</v>
      </c>
      <c r="G1043" s="2" t="s">
        <v>957</v>
      </c>
      <c r="L1043" s="2" t="str">
        <f t="shared" si="138"/>
        <v>02_Slots/Gottheit/Goetter-mit-Epitheta/0380_Selkis/0010_srq.t_02.png</v>
      </c>
    </row>
    <row r="1044" spans="1:12">
      <c r="A1044" s="2" t="s">
        <v>60</v>
      </c>
      <c r="B1044" s="40">
        <v>380</v>
      </c>
      <c r="C1044" s="2" t="s">
        <v>105</v>
      </c>
      <c r="E1044" s="2" t="s">
        <v>1196</v>
      </c>
      <c r="G1044" s="2" t="s">
        <v>958</v>
      </c>
      <c r="L1044" s="2" t="str">
        <f t="shared" si="138"/>
        <v>02_Slots/Gottheit/Goetter-mit-Epitheta/0380_Selkis/0020_srq.t_03.png</v>
      </c>
    </row>
    <row r="1045" spans="1:12">
      <c r="A1045" s="2" t="s">
        <v>60</v>
      </c>
      <c r="B1045" s="40">
        <v>380</v>
      </c>
      <c r="C1045" s="2" t="s">
        <v>105</v>
      </c>
      <c r="E1045" s="2" t="s">
        <v>1196</v>
      </c>
      <c r="G1045" s="2" t="s">
        <v>959</v>
      </c>
      <c r="I1045" s="2" t="s">
        <v>1132</v>
      </c>
      <c r="J1045" s="2" t="s">
        <v>1149</v>
      </c>
      <c r="K1045" s="2" t="s">
        <v>1134</v>
      </c>
      <c r="L1045" s="2" t="str">
        <f t="shared" ref="L1045:L1048" si="139">_xlfn.TEXTJOIN("", TRUE, D1045:K1045)</f>
        <v>02_Slots/Gottheit/Goetter-mit-Epitheta/0380_Selkis/0030_srq.t_Pyr.-MR_01.png &lt;sup&gt;(Pyr.; NR)&lt;/sup&gt;</v>
      </c>
    </row>
    <row r="1046" spans="1:12">
      <c r="A1046" s="2" t="s">
        <v>60</v>
      </c>
      <c r="B1046" s="40">
        <v>380</v>
      </c>
      <c r="C1046" s="2" t="s">
        <v>105</v>
      </c>
      <c r="E1046" s="2" t="s">
        <v>1196</v>
      </c>
      <c r="G1046" s="2" t="s">
        <v>960</v>
      </c>
      <c r="I1046" s="2" t="s">
        <v>1132</v>
      </c>
      <c r="J1046" s="2" t="s">
        <v>1135</v>
      </c>
      <c r="K1046" s="2" t="s">
        <v>1134</v>
      </c>
      <c r="L1046" s="2" t="str">
        <f t="shared" si="139"/>
        <v>02_Slots/Gottheit/Goetter-mit-Epitheta/0380_Selkis/0040_srq.t_GR_01.png &lt;sup&gt;(Gr.)&lt;/sup&gt;</v>
      </c>
    </row>
    <row r="1047" spans="1:12">
      <c r="A1047" s="2" t="s">
        <v>60</v>
      </c>
      <c r="B1047" s="40">
        <v>380</v>
      </c>
      <c r="C1047" s="2" t="s">
        <v>105</v>
      </c>
      <c r="E1047" s="2" t="s">
        <v>1196</v>
      </c>
      <c r="G1047" s="2" t="s">
        <v>961</v>
      </c>
      <c r="I1047" s="2" t="s">
        <v>1132</v>
      </c>
      <c r="J1047" s="2" t="s">
        <v>1135</v>
      </c>
      <c r="K1047" s="2" t="s">
        <v>1134</v>
      </c>
      <c r="L1047" s="2" t="str">
        <f t="shared" si="139"/>
        <v>02_Slots/Gottheit/Goetter-mit-Epitheta/0380_Selkis/0050_srq.t_GR_02.png &lt;sup&gt;(Gr.)&lt;/sup&gt;</v>
      </c>
    </row>
    <row r="1048" spans="1:12">
      <c r="A1048" s="2" t="s">
        <v>60</v>
      </c>
      <c r="B1048" s="40">
        <v>380</v>
      </c>
      <c r="C1048" s="2" t="s">
        <v>105</v>
      </c>
      <c r="E1048" s="2" t="s">
        <v>1196</v>
      </c>
      <c r="G1048" s="2" t="s">
        <v>962</v>
      </c>
      <c r="I1048" s="2" t="s">
        <v>1132</v>
      </c>
      <c r="J1048" s="2" t="s">
        <v>1135</v>
      </c>
      <c r="K1048" s="2" t="s">
        <v>1134</v>
      </c>
      <c r="L1048" s="2" t="str">
        <f t="shared" si="139"/>
        <v>02_Slots/Gottheit/Goetter-mit-Epitheta/0380_Selkis/0060_srq.t_GR_03.png &lt;sup&gt;(Gr.)&lt;/sup&gt;</v>
      </c>
    </row>
    <row r="1049" spans="1:12">
      <c r="A1049" s="2" t="s">
        <v>60</v>
      </c>
      <c r="B1049" s="40">
        <v>380</v>
      </c>
      <c r="C1049" s="2" t="s">
        <v>106</v>
      </c>
      <c r="E1049" s="2" t="s">
        <v>1196</v>
      </c>
      <c r="F1049" s="2" t="s">
        <v>110</v>
      </c>
      <c r="G1049" s="2" t="s">
        <v>963</v>
      </c>
      <c r="L1049" s="2" t="str">
        <f t="shared" si="138"/>
        <v>02_Slots/Gottheit/Goetter-mit-Epitheta/0380_Selkis/det/0001_srq.t_det_01.png</v>
      </c>
    </row>
    <row r="1050" spans="1:12">
      <c r="A1050" s="2" t="s">
        <v>60</v>
      </c>
      <c r="B1050" s="40">
        <v>380</v>
      </c>
      <c r="C1050" s="2" t="s">
        <v>106</v>
      </c>
      <c r="E1050" s="2" t="s">
        <v>1196</v>
      </c>
      <c r="F1050" s="2" t="s">
        <v>110</v>
      </c>
      <c r="G1050" s="2" t="s">
        <v>964</v>
      </c>
      <c r="L1050" s="2" t="str">
        <f t="shared" si="138"/>
        <v>02_Slots/Gottheit/Goetter-mit-Epitheta/0380_Selkis/det/0010_srq.t_det_02.png</v>
      </c>
    </row>
    <row r="1051" spans="1:12">
      <c r="A1051" s="2" t="s">
        <v>60</v>
      </c>
      <c r="B1051" s="40">
        <v>380</v>
      </c>
      <c r="C1051" s="2" t="s">
        <v>107</v>
      </c>
      <c r="L1051" s="2" t="s">
        <v>161</v>
      </c>
    </row>
    <row r="1052" spans="1:12">
      <c r="A1052" s="2" t="s">
        <v>60</v>
      </c>
      <c r="B1052" s="40">
        <v>380</v>
      </c>
      <c r="C1052" s="2" t="s">
        <v>108</v>
      </c>
    </row>
    <row r="1055" spans="1:12">
      <c r="A1055" s="2" t="s">
        <v>60</v>
      </c>
      <c r="B1055" s="40">
        <v>390</v>
      </c>
      <c r="C1055" s="2" t="s">
        <v>39</v>
      </c>
      <c r="L1055" s="2" t="s">
        <v>673</v>
      </c>
    </row>
    <row r="1056" spans="1:12">
      <c r="A1056" s="2" t="s">
        <v>60</v>
      </c>
      <c r="B1056" s="40">
        <v>390</v>
      </c>
      <c r="C1056" s="2" t="s">
        <v>105</v>
      </c>
      <c r="E1056" s="2" t="s">
        <v>1197</v>
      </c>
      <c r="G1056" s="2" t="s">
        <v>965</v>
      </c>
      <c r="L1056" s="2" t="str">
        <f t="shared" ref="L1056:L1062" si="140">_xlfn.TEXTJOIN("", TRUE, D1056:J1056)</f>
        <v>02_Slots/Gottheit/Goetter-mit-Epitheta/0390_Sachmet/0001_sxm.t_01.png</v>
      </c>
    </row>
    <row r="1057" spans="1:12">
      <c r="A1057" s="2" t="s">
        <v>60</v>
      </c>
      <c r="B1057" s="40">
        <v>390</v>
      </c>
      <c r="C1057" s="2" t="s">
        <v>105</v>
      </c>
      <c r="E1057" s="2" t="s">
        <v>1197</v>
      </c>
      <c r="G1057" s="2" t="s">
        <v>966</v>
      </c>
      <c r="I1057" s="2" t="s">
        <v>1132</v>
      </c>
      <c r="J1057" s="2" t="s">
        <v>1133</v>
      </c>
      <c r="K1057" s="2" t="s">
        <v>1134</v>
      </c>
      <c r="L1057" s="2" t="str">
        <f t="shared" ref="L1057:L1061" si="141">_xlfn.TEXTJOIN("", TRUE, D1057:K1057)</f>
        <v>02_Slots/Gottheit/Goetter-mit-Epitheta/0390_Sachmet/0010_sxm.t_AR_01.png &lt;sup&gt;(AR)&lt;/sup&gt;</v>
      </c>
    </row>
    <row r="1058" spans="1:12">
      <c r="A1058" s="2" t="s">
        <v>60</v>
      </c>
      <c r="B1058" s="40">
        <v>390</v>
      </c>
      <c r="C1058" s="2" t="s">
        <v>105</v>
      </c>
      <c r="E1058" s="2" t="s">
        <v>1197</v>
      </c>
      <c r="G1058" s="2" t="s">
        <v>967</v>
      </c>
      <c r="I1058" s="2" t="s">
        <v>1132</v>
      </c>
      <c r="J1058" s="2" t="s">
        <v>1133</v>
      </c>
      <c r="K1058" s="2" t="s">
        <v>1134</v>
      </c>
      <c r="L1058" s="2" t="str">
        <f t="shared" si="141"/>
        <v>02_Slots/Gottheit/Goetter-mit-Epitheta/0390_Sachmet/0020_sxm.t_AR_02.png &lt;sup&gt;(AR)&lt;/sup&gt;</v>
      </c>
    </row>
    <row r="1059" spans="1:12">
      <c r="A1059" s="2" t="s">
        <v>60</v>
      </c>
      <c r="B1059" s="40">
        <v>390</v>
      </c>
      <c r="C1059" s="2" t="s">
        <v>105</v>
      </c>
      <c r="E1059" s="2" t="s">
        <v>1197</v>
      </c>
      <c r="G1059" s="2" t="s">
        <v>968</v>
      </c>
      <c r="I1059" s="2" t="s">
        <v>1132</v>
      </c>
      <c r="J1059" s="2" t="s">
        <v>1088</v>
      </c>
      <c r="K1059" s="2" t="s">
        <v>1134</v>
      </c>
      <c r="L1059" s="2" t="str">
        <f t="shared" si="141"/>
        <v>02_Slots/Gottheit/Goetter-mit-Epitheta/0390_Sachmet/0030_sxm.t_NR_01.png &lt;sup&gt;(NR)&lt;/sup&gt;</v>
      </c>
    </row>
    <row r="1060" spans="1:12">
      <c r="A1060" s="2" t="s">
        <v>60</v>
      </c>
      <c r="B1060" s="40">
        <v>390</v>
      </c>
      <c r="C1060" s="2" t="s">
        <v>105</v>
      </c>
      <c r="E1060" s="2" t="s">
        <v>1197</v>
      </c>
      <c r="G1060" s="2" t="s">
        <v>969</v>
      </c>
      <c r="I1060" s="2" t="s">
        <v>1132</v>
      </c>
      <c r="J1060" s="2" t="s">
        <v>1135</v>
      </c>
      <c r="K1060" s="2" t="s">
        <v>1134</v>
      </c>
      <c r="L1060" s="2" t="str">
        <f t="shared" si="141"/>
        <v>02_Slots/Gottheit/Goetter-mit-Epitheta/0390_Sachmet/0040_sxm.t_GR_01.png &lt;sup&gt;(Gr.)&lt;/sup&gt;</v>
      </c>
    </row>
    <row r="1061" spans="1:12">
      <c r="A1061" s="2" t="s">
        <v>60</v>
      </c>
      <c r="B1061" s="40">
        <v>390</v>
      </c>
      <c r="C1061" s="2" t="s">
        <v>105</v>
      </c>
      <c r="E1061" s="2" t="s">
        <v>1197</v>
      </c>
      <c r="G1061" s="2" t="s">
        <v>970</v>
      </c>
      <c r="I1061" s="2" t="s">
        <v>1132</v>
      </c>
      <c r="J1061" s="2" t="s">
        <v>1135</v>
      </c>
      <c r="K1061" s="2" t="s">
        <v>1134</v>
      </c>
      <c r="L1061" s="2" t="str">
        <f t="shared" si="141"/>
        <v>02_Slots/Gottheit/Goetter-mit-Epitheta/0390_Sachmet/0050_sxm.t_GR_02.png &lt;sup&gt;(Gr.)&lt;/sup&gt;</v>
      </c>
    </row>
    <row r="1062" spans="1:12">
      <c r="A1062" s="2" t="s">
        <v>60</v>
      </c>
      <c r="B1062" s="40">
        <v>390</v>
      </c>
      <c r="C1062" s="2" t="s">
        <v>106</v>
      </c>
      <c r="L1062" s="2" t="str">
        <f t="shared" si="140"/>
        <v/>
      </c>
    </row>
    <row r="1063" spans="1:12">
      <c r="A1063" s="2" t="s">
        <v>60</v>
      </c>
      <c r="B1063" s="40">
        <v>390</v>
      </c>
      <c r="C1063" s="2" t="s">
        <v>107</v>
      </c>
      <c r="L1063" s="2" t="s">
        <v>162</v>
      </c>
    </row>
    <row r="1064" spans="1:12">
      <c r="A1064" s="2" t="s">
        <v>60</v>
      </c>
      <c r="B1064" s="40">
        <v>390</v>
      </c>
      <c r="C1064" s="2" t="s">
        <v>108</v>
      </c>
    </row>
    <row r="1067" spans="1:12">
      <c r="A1067" s="2" t="s">
        <v>60</v>
      </c>
      <c r="B1067" s="40">
        <v>400</v>
      </c>
      <c r="C1067" s="2" t="s">
        <v>39</v>
      </c>
      <c r="L1067" s="2" t="s">
        <v>674</v>
      </c>
    </row>
    <row r="1068" spans="1:12">
      <c r="A1068" s="2" t="s">
        <v>60</v>
      </c>
      <c r="B1068" s="40">
        <v>400</v>
      </c>
      <c r="C1068" s="2" t="s">
        <v>105</v>
      </c>
      <c r="E1068" s="2" t="s">
        <v>1198</v>
      </c>
      <c r="G1068" s="2" t="s">
        <v>971</v>
      </c>
      <c r="L1068" s="2" t="str">
        <f>_xlfn.TEXTJOIN("", TRUE, D1068:J1068)</f>
        <v>02_Slots/Gottheit/Goetter-mit-Epitheta/0400_Sokar/0001_skr_01.png</v>
      </c>
    </row>
    <row r="1069" spans="1:12">
      <c r="A1069" s="2" t="s">
        <v>60</v>
      </c>
      <c r="B1069" s="40">
        <v>400</v>
      </c>
      <c r="C1069" s="2" t="s">
        <v>106</v>
      </c>
      <c r="E1069" s="2" t="s">
        <v>1198</v>
      </c>
      <c r="F1069" s="2" t="s">
        <v>110</v>
      </c>
      <c r="G1069" s="2" t="s">
        <v>972</v>
      </c>
      <c r="L1069" s="2" t="str">
        <f>_xlfn.TEXTJOIN("", TRUE, D1069:J1069)</f>
        <v>02_Slots/Gottheit/Goetter-mit-Epitheta/0400_Sokar/det/0001_skr_det_01.png</v>
      </c>
    </row>
    <row r="1070" spans="1:12">
      <c r="A1070" s="2" t="s">
        <v>60</v>
      </c>
      <c r="B1070" s="40">
        <v>400</v>
      </c>
      <c r="C1070" s="2" t="s">
        <v>107</v>
      </c>
      <c r="L1070" s="2" t="s">
        <v>163</v>
      </c>
    </row>
    <row r="1071" spans="1:12">
      <c r="A1071" s="2" t="s">
        <v>60</v>
      </c>
      <c r="B1071" s="40">
        <v>400</v>
      </c>
      <c r="C1071" s="2" t="s">
        <v>108</v>
      </c>
    </row>
    <row r="1074" spans="1:12">
      <c r="A1074" s="2" t="s">
        <v>60</v>
      </c>
      <c r="B1074" s="40">
        <v>410</v>
      </c>
      <c r="C1074" s="2" t="s">
        <v>39</v>
      </c>
      <c r="L1074" s="2" t="s">
        <v>675</v>
      </c>
    </row>
    <row r="1075" spans="1:12">
      <c r="A1075" s="2" t="s">
        <v>60</v>
      </c>
      <c r="B1075" s="40">
        <v>410</v>
      </c>
      <c r="C1075" s="2" t="s">
        <v>105</v>
      </c>
      <c r="E1075" s="2" t="s">
        <v>1199</v>
      </c>
      <c r="G1075" s="2" t="s">
        <v>989</v>
      </c>
      <c r="L1075" s="2" t="str">
        <f t="shared" ref="L1075:L1088" si="142">_xlfn.TEXTJOIN("", TRUE, D1075:J1075)</f>
        <v>02_Slots/Gottheit/Goetter-mit-Epitheta/0410_Seth/0001_stX_01.png</v>
      </c>
    </row>
    <row r="1076" spans="1:12">
      <c r="A1076" s="2" t="s">
        <v>60</v>
      </c>
      <c r="B1076" s="40">
        <v>410</v>
      </c>
      <c r="C1076" s="2" t="s">
        <v>105</v>
      </c>
      <c r="E1076" s="2" t="s">
        <v>1199</v>
      </c>
      <c r="G1076" s="2" t="s">
        <v>990</v>
      </c>
      <c r="I1076" s="2" t="s">
        <v>1132</v>
      </c>
      <c r="J1076" s="2" t="s">
        <v>1133</v>
      </c>
      <c r="K1076" s="2" t="s">
        <v>1134</v>
      </c>
      <c r="L1076" s="2" t="str">
        <f t="shared" ref="L1076:L1086" si="143">_xlfn.TEXTJOIN("", TRUE, D1076:K1076)</f>
        <v>02_Slots/Gottheit/Goetter-mit-Epitheta/0410_Seth/0010_stX_AR_01.png &lt;sup&gt;(AR)&lt;/sup&gt;</v>
      </c>
    </row>
    <row r="1077" spans="1:12">
      <c r="A1077" s="2" t="s">
        <v>60</v>
      </c>
      <c r="B1077" s="40">
        <v>410</v>
      </c>
      <c r="C1077" s="2" t="s">
        <v>105</v>
      </c>
      <c r="E1077" s="2" t="s">
        <v>1199</v>
      </c>
      <c r="G1077" s="2" t="s">
        <v>991</v>
      </c>
      <c r="I1077" s="2" t="s">
        <v>1132</v>
      </c>
      <c r="J1077" s="2" t="s">
        <v>1136</v>
      </c>
      <c r="K1077" s="2" t="s">
        <v>1134</v>
      </c>
      <c r="L1077" s="2" t="str">
        <f t="shared" si="143"/>
        <v>02_Slots/Gottheit/Goetter-mit-Epitheta/0410_Seth/0020_stX_MR_01.png &lt;sup&gt;(MR)&lt;/sup&gt;</v>
      </c>
    </row>
    <row r="1078" spans="1:12">
      <c r="A1078" s="2" t="s">
        <v>60</v>
      </c>
      <c r="B1078" s="40">
        <v>410</v>
      </c>
      <c r="C1078" s="2" t="s">
        <v>105</v>
      </c>
      <c r="E1078" s="2" t="s">
        <v>1199</v>
      </c>
      <c r="G1078" s="2" t="s">
        <v>992</v>
      </c>
      <c r="I1078" s="2" t="s">
        <v>1132</v>
      </c>
      <c r="J1078" s="2" t="s">
        <v>1150</v>
      </c>
      <c r="K1078" s="2" t="s">
        <v>1134</v>
      </c>
      <c r="L1078" s="2" t="str">
        <f t="shared" si="143"/>
        <v>02_Slots/Gottheit/Goetter-mit-Epitheta/0410_Seth/0030_stX_MR-SP_01.png &lt;sup&gt;(MR; Sp.)&lt;/sup&gt;</v>
      </c>
    </row>
    <row r="1079" spans="1:12">
      <c r="A1079" s="2" t="s">
        <v>60</v>
      </c>
      <c r="B1079" s="40">
        <v>410</v>
      </c>
      <c r="C1079" s="2" t="s">
        <v>105</v>
      </c>
      <c r="E1079" s="2" t="s">
        <v>1199</v>
      </c>
      <c r="G1079" s="2" t="s">
        <v>993</v>
      </c>
      <c r="I1079" s="2" t="s">
        <v>1132</v>
      </c>
      <c r="J1079" s="2" t="s">
        <v>1088</v>
      </c>
      <c r="K1079" s="2" t="s">
        <v>1134</v>
      </c>
      <c r="L1079" s="2" t="str">
        <f t="shared" si="143"/>
        <v>02_Slots/Gottheit/Goetter-mit-Epitheta/0410_Seth/0040_stX_NR_01.png &lt;sup&gt;(NR)&lt;/sup&gt;</v>
      </c>
    </row>
    <row r="1080" spans="1:12">
      <c r="A1080" s="2" t="s">
        <v>60</v>
      </c>
      <c r="B1080" s="40">
        <v>410</v>
      </c>
      <c r="C1080" s="2" t="s">
        <v>105</v>
      </c>
      <c r="E1080" s="2" t="s">
        <v>1199</v>
      </c>
      <c r="G1080" s="2" t="s">
        <v>994</v>
      </c>
      <c r="I1080" s="2" t="s">
        <v>1132</v>
      </c>
      <c r="J1080" s="2" t="s">
        <v>1140</v>
      </c>
      <c r="K1080" s="2" t="s">
        <v>1134</v>
      </c>
      <c r="L1080" s="2" t="str">
        <f t="shared" si="143"/>
        <v>02_Slots/Gottheit/Goetter-mit-Epitheta/0410_Seth/0050_stX_D.18_01.png &lt;sup&gt;(D.18)&lt;/sup&gt;</v>
      </c>
    </row>
    <row r="1081" spans="1:12">
      <c r="A1081" s="2" t="s">
        <v>60</v>
      </c>
      <c r="B1081" s="40">
        <v>410</v>
      </c>
      <c r="C1081" s="2" t="s">
        <v>105</v>
      </c>
      <c r="E1081" s="2" t="s">
        <v>1199</v>
      </c>
      <c r="G1081" s="2" t="s">
        <v>995</v>
      </c>
      <c r="I1081" s="2" t="s">
        <v>1132</v>
      </c>
      <c r="J1081" s="2" t="s">
        <v>1140</v>
      </c>
      <c r="K1081" s="2" t="s">
        <v>1134</v>
      </c>
      <c r="L1081" s="2" t="str">
        <f t="shared" si="143"/>
        <v>02_Slots/Gottheit/Goetter-mit-Epitheta/0410_Seth/0060_stX_D.18_02.png &lt;sup&gt;(D.18)&lt;/sup&gt;</v>
      </c>
    </row>
    <row r="1082" spans="1:12">
      <c r="A1082" s="2" t="s">
        <v>60</v>
      </c>
      <c r="B1082" s="40">
        <v>410</v>
      </c>
      <c r="C1082" s="2" t="s">
        <v>105</v>
      </c>
      <c r="E1082" s="2" t="s">
        <v>1199</v>
      </c>
      <c r="G1082" s="2" t="s">
        <v>996</v>
      </c>
      <c r="I1082" s="2" t="s">
        <v>1132</v>
      </c>
      <c r="J1082" s="2" t="s">
        <v>1140</v>
      </c>
      <c r="K1082" s="2" t="s">
        <v>1134</v>
      </c>
      <c r="L1082" s="2" t="str">
        <f t="shared" si="143"/>
        <v>02_Slots/Gottheit/Goetter-mit-Epitheta/0410_Seth/0070_stX_D.18_03.png &lt;sup&gt;(D.18)&lt;/sup&gt;</v>
      </c>
    </row>
    <row r="1083" spans="1:12">
      <c r="A1083" s="2" t="s">
        <v>60</v>
      </c>
      <c r="B1083" s="40">
        <v>410</v>
      </c>
      <c r="C1083" s="2" t="s">
        <v>105</v>
      </c>
      <c r="E1083" s="2" t="s">
        <v>1199</v>
      </c>
      <c r="G1083" s="2" t="s">
        <v>997</v>
      </c>
      <c r="I1083" s="2" t="s">
        <v>1132</v>
      </c>
      <c r="J1083" s="2" t="s">
        <v>1145</v>
      </c>
      <c r="K1083" s="2" t="s">
        <v>1134</v>
      </c>
      <c r="L1083" s="2" t="str">
        <f t="shared" si="143"/>
        <v>02_Slots/Gottheit/Goetter-mit-Epitheta/0410_Seth/0080_stX_D.19_01.png &lt;sup&gt;(D.19)&lt;/sup&gt;</v>
      </c>
    </row>
    <row r="1084" spans="1:12">
      <c r="A1084" s="2" t="s">
        <v>60</v>
      </c>
      <c r="B1084" s="40">
        <v>410</v>
      </c>
      <c r="C1084" s="2" t="s">
        <v>105</v>
      </c>
      <c r="E1084" s="2" t="s">
        <v>1199</v>
      </c>
      <c r="G1084" s="2" t="s">
        <v>998</v>
      </c>
      <c r="I1084" s="2" t="s">
        <v>1132</v>
      </c>
      <c r="J1084" s="2" t="s">
        <v>1145</v>
      </c>
      <c r="K1084" s="2" t="s">
        <v>1134</v>
      </c>
      <c r="L1084" s="2" t="str">
        <f t="shared" si="143"/>
        <v>02_Slots/Gottheit/Goetter-mit-Epitheta/0410_Seth/0090_stX_D.19_02.png &lt;sup&gt;(D.19)&lt;/sup&gt;</v>
      </c>
    </row>
    <row r="1085" spans="1:12">
      <c r="A1085" s="2" t="s">
        <v>60</v>
      </c>
      <c r="B1085" s="40">
        <v>410</v>
      </c>
      <c r="C1085" s="2" t="s">
        <v>105</v>
      </c>
      <c r="E1085" s="2" t="s">
        <v>1199</v>
      </c>
      <c r="G1085" s="2" t="s">
        <v>999</v>
      </c>
      <c r="I1085" s="2" t="s">
        <v>1132</v>
      </c>
      <c r="J1085" s="2" t="s">
        <v>1135</v>
      </c>
      <c r="K1085" s="2" t="s">
        <v>1134</v>
      </c>
      <c r="L1085" s="2" t="str">
        <f t="shared" si="143"/>
        <v>02_Slots/Gottheit/Goetter-mit-Epitheta/0410_Seth/0100_stX_GR_01.png &lt;sup&gt;(Gr.)&lt;/sup&gt;</v>
      </c>
    </row>
    <row r="1086" spans="1:12">
      <c r="A1086" s="2" t="s">
        <v>60</v>
      </c>
      <c r="B1086" s="40">
        <v>410</v>
      </c>
      <c r="C1086" s="2" t="s">
        <v>105</v>
      </c>
      <c r="E1086" s="2" t="s">
        <v>1199</v>
      </c>
      <c r="G1086" s="2" t="s">
        <v>988</v>
      </c>
      <c r="I1086" s="2" t="s">
        <v>1132</v>
      </c>
      <c r="J1086" s="2" t="s">
        <v>1135</v>
      </c>
      <c r="K1086" s="2" t="s">
        <v>1134</v>
      </c>
      <c r="L1086" s="2" t="str">
        <f t="shared" si="143"/>
        <v>02_Slots/Gottheit/Goetter-mit-Epitheta/0410_Seth/0110_stX_GR_02.png &lt;sup&gt;(Gr.)&lt;/sup&gt;</v>
      </c>
    </row>
    <row r="1087" spans="1:12">
      <c r="A1087" s="2" t="s">
        <v>60</v>
      </c>
      <c r="B1087" s="40">
        <v>410</v>
      </c>
      <c r="C1087" s="2" t="s">
        <v>106</v>
      </c>
      <c r="E1087" s="2" t="s">
        <v>1199</v>
      </c>
      <c r="F1087" s="2" t="s">
        <v>110</v>
      </c>
      <c r="G1087" s="2" t="s">
        <v>1000</v>
      </c>
      <c r="L1087" s="2" t="str">
        <f t="shared" si="142"/>
        <v>02_Slots/Gottheit/Goetter-mit-Epitheta/0410_Seth/det/0001_stX_det_01.png</v>
      </c>
    </row>
    <row r="1088" spans="1:12">
      <c r="A1088" s="2" t="s">
        <v>60</v>
      </c>
      <c r="B1088" s="40">
        <v>410</v>
      </c>
      <c r="C1088" s="2" t="s">
        <v>106</v>
      </c>
      <c r="E1088" s="2" t="s">
        <v>1199</v>
      </c>
      <c r="F1088" s="2" t="s">
        <v>110</v>
      </c>
      <c r="G1088" s="2" t="s">
        <v>1001</v>
      </c>
      <c r="L1088" s="2" t="str">
        <f t="shared" si="142"/>
        <v>02_Slots/Gottheit/Goetter-mit-Epitheta/0410_Seth/det/0010_stX_det_02.png</v>
      </c>
    </row>
    <row r="1089" spans="1:12">
      <c r="A1089" s="2" t="s">
        <v>60</v>
      </c>
      <c r="B1089" s="40">
        <v>410</v>
      </c>
      <c r="C1089" s="2" t="s">
        <v>106</v>
      </c>
      <c r="E1089" s="2" t="s">
        <v>1199</v>
      </c>
      <c r="F1089" s="2" t="s">
        <v>110</v>
      </c>
      <c r="G1089" s="2" t="s">
        <v>1002</v>
      </c>
      <c r="I1089" s="2" t="s">
        <v>1132</v>
      </c>
      <c r="J1089" s="2" t="s">
        <v>1136</v>
      </c>
      <c r="K1089" s="2" t="s">
        <v>1134</v>
      </c>
      <c r="L1089" s="2" t="str">
        <f>_xlfn.TEXTJOIN("", TRUE, D1089:K1089)</f>
        <v>02_Slots/Gottheit/Goetter-mit-Epitheta/0410_Seth/det/0020_stX_det_MR_01.png &lt;sup&gt;(MR)&lt;/sup&gt;</v>
      </c>
    </row>
    <row r="1090" spans="1:12">
      <c r="A1090" s="2" t="s">
        <v>60</v>
      </c>
      <c r="B1090" s="40">
        <v>410</v>
      </c>
      <c r="C1090" s="2" t="s">
        <v>107</v>
      </c>
      <c r="L1090" s="2" t="s">
        <v>165</v>
      </c>
    </row>
    <row r="1091" spans="1:12">
      <c r="A1091" s="2" t="s">
        <v>60</v>
      </c>
      <c r="B1091" s="40">
        <v>410</v>
      </c>
      <c r="C1091" s="2" t="s">
        <v>108</v>
      </c>
    </row>
    <row r="1094" spans="1:12">
      <c r="A1094" s="2" t="s">
        <v>60</v>
      </c>
      <c r="B1094" s="40">
        <v>420</v>
      </c>
      <c r="C1094" s="2" t="s">
        <v>39</v>
      </c>
      <c r="L1094" s="2" t="s">
        <v>676</v>
      </c>
    </row>
    <row r="1095" spans="1:12">
      <c r="A1095" s="2" t="s">
        <v>60</v>
      </c>
      <c r="B1095" s="40">
        <v>420</v>
      </c>
      <c r="C1095" s="2" t="s">
        <v>105</v>
      </c>
      <c r="E1095" s="2" t="s">
        <v>1200</v>
      </c>
      <c r="G1095" s="2" t="s">
        <v>1003</v>
      </c>
      <c r="L1095" s="2" t="str">
        <f t="shared" ref="L1095:L1100" si="144">_xlfn.TEXTJOIN("", TRUE, D1095:J1095)</f>
        <v>02_Slots/Gottheit/Goetter-mit-Epitheta/0420_Schu/0001_Sw_01.png</v>
      </c>
    </row>
    <row r="1096" spans="1:12">
      <c r="A1096" s="2" t="s">
        <v>60</v>
      </c>
      <c r="B1096" s="40">
        <v>420</v>
      </c>
      <c r="C1096" s="2" t="s">
        <v>105</v>
      </c>
      <c r="E1096" s="2" t="s">
        <v>1200</v>
      </c>
      <c r="G1096" s="2" t="s">
        <v>1004</v>
      </c>
      <c r="I1096" s="2" t="s">
        <v>1132</v>
      </c>
      <c r="J1096" s="2" t="s">
        <v>1133</v>
      </c>
      <c r="K1096" s="2" t="s">
        <v>1134</v>
      </c>
      <c r="L1096" s="2" t="str">
        <f t="shared" ref="L1096:L1099" si="145">_xlfn.TEXTJOIN("", TRUE, D1096:K1096)</f>
        <v>02_Slots/Gottheit/Goetter-mit-Epitheta/0420_Schu/0010_Sw_AR_01.png &lt;sup&gt;(AR)&lt;/sup&gt;</v>
      </c>
    </row>
    <row r="1097" spans="1:12">
      <c r="A1097" s="2" t="s">
        <v>60</v>
      </c>
      <c r="B1097" s="40">
        <v>420</v>
      </c>
      <c r="C1097" s="2" t="s">
        <v>105</v>
      </c>
      <c r="E1097" s="2" t="s">
        <v>1200</v>
      </c>
      <c r="G1097" s="2" t="s">
        <v>1005</v>
      </c>
      <c r="I1097" s="2" t="s">
        <v>1132</v>
      </c>
      <c r="J1097" s="2" t="s">
        <v>1136</v>
      </c>
      <c r="K1097" s="2" t="s">
        <v>1134</v>
      </c>
      <c r="L1097" s="2" t="str">
        <f t="shared" si="145"/>
        <v>02_Slots/Gottheit/Goetter-mit-Epitheta/0420_Schu/0020_Sw_MR_01.png &lt;sup&gt;(MR)&lt;/sup&gt;</v>
      </c>
    </row>
    <row r="1098" spans="1:12">
      <c r="A1098" s="2" t="s">
        <v>60</v>
      </c>
      <c r="B1098" s="40">
        <v>420</v>
      </c>
      <c r="C1098" s="2" t="s">
        <v>105</v>
      </c>
      <c r="E1098" s="2" t="s">
        <v>1200</v>
      </c>
      <c r="G1098" s="2" t="s">
        <v>1006</v>
      </c>
      <c r="I1098" s="2" t="s">
        <v>1132</v>
      </c>
      <c r="J1098" s="2" t="s">
        <v>1088</v>
      </c>
      <c r="K1098" s="2" t="s">
        <v>1134</v>
      </c>
      <c r="L1098" s="2" t="str">
        <f t="shared" si="145"/>
        <v>02_Slots/Gottheit/Goetter-mit-Epitheta/0420_Schu/0030_Sw_NR_01.png &lt;sup&gt;(NR)&lt;/sup&gt;</v>
      </c>
    </row>
    <row r="1099" spans="1:12">
      <c r="A1099" s="2" t="s">
        <v>60</v>
      </c>
      <c r="B1099" s="40">
        <v>420</v>
      </c>
      <c r="C1099" s="2" t="s">
        <v>105</v>
      </c>
      <c r="E1099" s="2" t="s">
        <v>1200</v>
      </c>
      <c r="G1099" s="2" t="s">
        <v>1007</v>
      </c>
      <c r="I1099" s="2" t="s">
        <v>1132</v>
      </c>
      <c r="J1099" s="2" t="s">
        <v>1135</v>
      </c>
      <c r="K1099" s="2" t="s">
        <v>1134</v>
      </c>
      <c r="L1099" s="2" t="str">
        <f t="shared" si="145"/>
        <v>02_Slots/Gottheit/Goetter-mit-Epitheta/0420_Schu/0040_Sw_GR_01.png &lt;sup&gt;(Gr.)&lt;/sup&gt;</v>
      </c>
    </row>
    <row r="1100" spans="1:12">
      <c r="A1100" s="2" t="s">
        <v>60</v>
      </c>
      <c r="B1100" s="40">
        <v>420</v>
      </c>
      <c r="C1100" s="2" t="s">
        <v>106</v>
      </c>
      <c r="L1100" s="2" t="str">
        <f t="shared" si="144"/>
        <v/>
      </c>
    </row>
    <row r="1101" spans="1:12">
      <c r="A1101" s="2" t="s">
        <v>60</v>
      </c>
      <c r="B1101" s="40">
        <v>420</v>
      </c>
      <c r="C1101" s="2" t="s">
        <v>107</v>
      </c>
      <c r="L1101" s="2" t="s">
        <v>166</v>
      </c>
    </row>
    <row r="1102" spans="1:12">
      <c r="A1102" s="2" t="s">
        <v>60</v>
      </c>
      <c r="B1102" s="40">
        <v>420</v>
      </c>
      <c r="C1102" s="2" t="s">
        <v>108</v>
      </c>
    </row>
    <row r="1105" spans="1:12">
      <c r="A1105" s="2" t="s">
        <v>60</v>
      </c>
      <c r="B1105" s="40">
        <v>430</v>
      </c>
      <c r="C1105" s="2" t="s">
        <v>39</v>
      </c>
      <c r="L1105" s="2" t="s">
        <v>677</v>
      </c>
    </row>
    <row r="1106" spans="1:12">
      <c r="A1106" s="2" t="s">
        <v>60</v>
      </c>
      <c r="B1106" s="40">
        <v>430</v>
      </c>
      <c r="C1106" s="2" t="s">
        <v>105</v>
      </c>
      <c r="E1106" s="2" t="s">
        <v>1201</v>
      </c>
      <c r="G1106" s="2" t="s">
        <v>1009</v>
      </c>
      <c r="L1106" s="2" t="str">
        <f t="shared" ref="L1106:L1108" si="146">_xlfn.TEXTJOIN("", TRUE, D1106:J1106)</f>
        <v>02_Slots/Gottheit/Goetter-mit-Epitheta/0430_Qebehsenuef/0001_qbH-snw=f_01.png</v>
      </c>
    </row>
    <row r="1107" spans="1:12">
      <c r="A1107" s="2" t="s">
        <v>60</v>
      </c>
      <c r="B1107" s="40">
        <v>430</v>
      </c>
      <c r="C1107" s="2" t="s">
        <v>105</v>
      </c>
      <c r="E1107" s="2" t="s">
        <v>1201</v>
      </c>
      <c r="G1107" s="2" t="s">
        <v>1010</v>
      </c>
      <c r="L1107" s="2" t="str">
        <f t="shared" si="146"/>
        <v>02_Slots/Gottheit/Goetter-mit-Epitheta/0430_Qebehsenuef/0010_qbH-snw=f_02.png</v>
      </c>
    </row>
    <row r="1108" spans="1:12">
      <c r="A1108" s="2" t="s">
        <v>60</v>
      </c>
      <c r="B1108" s="40">
        <v>430</v>
      </c>
      <c r="C1108" s="2" t="s">
        <v>105</v>
      </c>
      <c r="E1108" s="2" t="s">
        <v>1201</v>
      </c>
      <c r="G1108" s="2" t="s">
        <v>1011</v>
      </c>
      <c r="L1108" s="2" t="str">
        <f t="shared" si="146"/>
        <v>02_Slots/Gottheit/Goetter-mit-Epitheta/0430_Qebehsenuef/0020_qbH-snw=f_03.png</v>
      </c>
    </row>
    <row r="1109" spans="1:12">
      <c r="A1109" s="2" t="s">
        <v>60</v>
      </c>
      <c r="B1109" s="40">
        <v>430</v>
      </c>
      <c r="C1109" s="2" t="s">
        <v>105</v>
      </c>
      <c r="E1109" s="2" t="s">
        <v>1201</v>
      </c>
      <c r="G1109" s="2" t="s">
        <v>1012</v>
      </c>
      <c r="I1109" s="2" t="s">
        <v>1132</v>
      </c>
      <c r="J1109" s="2" t="s">
        <v>1136</v>
      </c>
      <c r="K1109" s="2" t="s">
        <v>1134</v>
      </c>
      <c r="L1109" s="2" t="str">
        <f t="shared" ref="L1109:L1116" si="147">_xlfn.TEXTJOIN("", TRUE, D1109:K1109)</f>
        <v>02_Slots/Gottheit/Goetter-mit-Epitheta/0430_Qebehsenuef/0030_qbH-snw=f_MR_01.png &lt;sup&gt;(MR)&lt;/sup&gt;</v>
      </c>
    </row>
    <row r="1110" spans="1:12">
      <c r="A1110" s="2" t="s">
        <v>60</v>
      </c>
      <c r="B1110" s="40">
        <v>430</v>
      </c>
      <c r="C1110" s="2" t="s">
        <v>105</v>
      </c>
      <c r="E1110" s="2" t="s">
        <v>1201</v>
      </c>
      <c r="G1110" s="2" t="s">
        <v>1013</v>
      </c>
      <c r="I1110" s="2" t="s">
        <v>1132</v>
      </c>
      <c r="J1110" s="2" t="s">
        <v>1136</v>
      </c>
      <c r="K1110" s="2" t="s">
        <v>1134</v>
      </c>
      <c r="L1110" s="2" t="str">
        <f t="shared" si="147"/>
        <v>02_Slots/Gottheit/Goetter-mit-Epitheta/0430_Qebehsenuef/0040_qbH-snw=f_MR_02.png &lt;sup&gt;(MR)&lt;/sup&gt;</v>
      </c>
    </row>
    <row r="1111" spans="1:12">
      <c r="A1111" s="2" t="s">
        <v>60</v>
      </c>
      <c r="B1111" s="40">
        <v>430</v>
      </c>
      <c r="C1111" s="2" t="s">
        <v>105</v>
      </c>
      <c r="E1111" s="2" t="s">
        <v>1201</v>
      </c>
      <c r="G1111" s="2" t="s">
        <v>1014</v>
      </c>
      <c r="I1111" s="2" t="s">
        <v>1132</v>
      </c>
      <c r="J1111" s="2" t="s">
        <v>1135</v>
      </c>
      <c r="K1111" s="2" t="s">
        <v>1134</v>
      </c>
      <c r="L1111" s="2" t="str">
        <f t="shared" si="147"/>
        <v>02_Slots/Gottheit/Goetter-mit-Epitheta/0430_Qebehsenuef/0050_qbH-snw=f_GR_01.png &lt;sup&gt;(Gr.)&lt;/sup&gt;</v>
      </c>
    </row>
    <row r="1112" spans="1:12">
      <c r="A1112" s="2" t="s">
        <v>60</v>
      </c>
      <c r="B1112" s="40">
        <v>430</v>
      </c>
      <c r="C1112" s="2" t="s">
        <v>105</v>
      </c>
      <c r="E1112" s="2" t="s">
        <v>1201</v>
      </c>
      <c r="G1112" s="2" t="s">
        <v>1015</v>
      </c>
      <c r="I1112" s="2" t="s">
        <v>1132</v>
      </c>
      <c r="J1112" s="2" t="s">
        <v>1135</v>
      </c>
      <c r="K1112" s="2" t="s">
        <v>1134</v>
      </c>
      <c r="L1112" s="2" t="str">
        <f t="shared" si="147"/>
        <v>02_Slots/Gottheit/Goetter-mit-Epitheta/0430_Qebehsenuef/0060_qbH-snw=f_GR_02.png &lt;sup&gt;(Gr.)&lt;/sup&gt;</v>
      </c>
    </row>
    <row r="1113" spans="1:12">
      <c r="A1113" s="2" t="s">
        <v>60</v>
      </c>
      <c r="B1113" s="40">
        <v>430</v>
      </c>
      <c r="C1113" s="2" t="s">
        <v>105</v>
      </c>
      <c r="E1113" s="2" t="s">
        <v>1201</v>
      </c>
      <c r="G1113" s="2" t="s">
        <v>1016</v>
      </c>
      <c r="I1113" s="2" t="s">
        <v>1132</v>
      </c>
      <c r="J1113" s="2" t="s">
        <v>1135</v>
      </c>
      <c r="K1113" s="2" t="s">
        <v>1134</v>
      </c>
      <c r="L1113" s="2" t="str">
        <f t="shared" si="147"/>
        <v>02_Slots/Gottheit/Goetter-mit-Epitheta/0430_Qebehsenuef/0070_qbH-snw=f_GR_03.png &lt;sup&gt;(Gr.)&lt;/sup&gt;</v>
      </c>
    </row>
    <row r="1114" spans="1:12">
      <c r="A1114" s="2" t="s">
        <v>60</v>
      </c>
      <c r="B1114" s="40">
        <v>430</v>
      </c>
      <c r="C1114" s="2" t="s">
        <v>105</v>
      </c>
      <c r="E1114" s="2" t="s">
        <v>1201</v>
      </c>
      <c r="G1114" s="2" t="s">
        <v>1008</v>
      </c>
      <c r="I1114" s="2" t="s">
        <v>1132</v>
      </c>
      <c r="J1114" s="2" t="s">
        <v>1135</v>
      </c>
      <c r="K1114" s="2" t="s">
        <v>1134</v>
      </c>
      <c r="L1114" s="2" t="str">
        <f t="shared" si="147"/>
        <v>02_Slots/Gottheit/Goetter-mit-Epitheta/0430_Qebehsenuef/0080_qbH-snw=f_GR_04.png &lt;sup&gt;(Gr.)&lt;/sup&gt;</v>
      </c>
    </row>
    <row r="1115" spans="1:12">
      <c r="A1115" s="2" t="s">
        <v>60</v>
      </c>
      <c r="B1115" s="40">
        <v>430</v>
      </c>
      <c r="C1115" s="2" t="s">
        <v>106</v>
      </c>
      <c r="E1115" s="2" t="s">
        <v>1201</v>
      </c>
      <c r="F1115" s="2" t="s">
        <v>110</v>
      </c>
      <c r="G1115" s="2" t="s">
        <v>1017</v>
      </c>
      <c r="I1115" s="2" t="s">
        <v>1132</v>
      </c>
      <c r="J1115" s="2" t="s">
        <v>1135</v>
      </c>
      <c r="K1115" s="2" t="s">
        <v>1134</v>
      </c>
      <c r="L1115" s="2" t="str">
        <f t="shared" si="147"/>
        <v>02_Slots/Gottheit/Goetter-mit-Epitheta/0430_Qebehsenuef/det/0001_qbH-snw=f_det_GR_01.png &lt;sup&gt;(Gr.)&lt;/sup&gt;</v>
      </c>
    </row>
    <row r="1116" spans="1:12">
      <c r="A1116" s="2" t="s">
        <v>60</v>
      </c>
      <c r="B1116" s="40">
        <v>430</v>
      </c>
      <c r="C1116" s="2" t="s">
        <v>106</v>
      </c>
      <c r="E1116" s="2" t="s">
        <v>1201</v>
      </c>
      <c r="F1116" s="2" t="s">
        <v>110</v>
      </c>
      <c r="G1116" s="2" t="s">
        <v>1018</v>
      </c>
      <c r="I1116" s="2" t="s">
        <v>1132</v>
      </c>
      <c r="J1116" s="2" t="s">
        <v>1135</v>
      </c>
      <c r="K1116" s="2" t="s">
        <v>1134</v>
      </c>
      <c r="L1116" s="2" t="str">
        <f t="shared" si="147"/>
        <v>02_Slots/Gottheit/Goetter-mit-Epitheta/0430_Qebehsenuef/det/0010_qbH-snw=f_det_GR_02.png &lt;sup&gt;(Gr.)&lt;/sup&gt;</v>
      </c>
    </row>
    <row r="1117" spans="1:12">
      <c r="A1117" s="2" t="s">
        <v>60</v>
      </c>
      <c r="B1117" s="40">
        <v>430</v>
      </c>
      <c r="C1117" s="2" t="s">
        <v>107</v>
      </c>
      <c r="L1117" s="2" t="s">
        <v>167</v>
      </c>
    </row>
    <row r="1118" spans="1:12">
      <c r="A1118" s="2" t="s">
        <v>60</v>
      </c>
      <c r="B1118" s="40">
        <v>430</v>
      </c>
      <c r="C1118" s="2" t="s">
        <v>108</v>
      </c>
    </row>
    <row r="1121" spans="1:12">
      <c r="A1121" s="2" t="s">
        <v>60</v>
      </c>
      <c r="B1121" s="40">
        <v>440</v>
      </c>
      <c r="C1121" s="2" t="s">
        <v>39</v>
      </c>
      <c r="L1121" s="2" t="s">
        <v>678</v>
      </c>
    </row>
    <row r="1122" spans="1:12">
      <c r="A1122" s="2" t="s">
        <v>60</v>
      </c>
      <c r="B1122" s="40">
        <v>440</v>
      </c>
      <c r="C1122" s="2" t="s">
        <v>105</v>
      </c>
      <c r="E1122" s="2" t="s">
        <v>1202</v>
      </c>
      <c r="G1122" s="2" t="s">
        <v>1019</v>
      </c>
      <c r="I1122" s="2" t="s">
        <v>1132</v>
      </c>
      <c r="J1122" s="2" t="s">
        <v>1133</v>
      </c>
      <c r="K1122" s="2" t="s">
        <v>1134</v>
      </c>
      <c r="L1122" s="2" t="str">
        <f t="shared" ref="L1122:L1126" si="148">_xlfn.TEXTJOIN("", TRUE, D1122:K1122)</f>
        <v>02_Slots/Gottheit/Goetter-mit-Epitheta/0440_Duamutef/0001_dwA-mw.t=f_AR_01.png &lt;sup&gt;(AR)&lt;/sup&gt;</v>
      </c>
    </row>
    <row r="1123" spans="1:12">
      <c r="A1123" s="2" t="s">
        <v>60</v>
      </c>
      <c r="B1123" s="40">
        <v>440</v>
      </c>
      <c r="C1123" s="2" t="s">
        <v>105</v>
      </c>
      <c r="E1123" s="2" t="s">
        <v>1202</v>
      </c>
      <c r="G1123" s="2" t="s">
        <v>1020</v>
      </c>
      <c r="I1123" s="2" t="s">
        <v>1132</v>
      </c>
      <c r="J1123" s="2" t="s">
        <v>1133</v>
      </c>
      <c r="K1123" s="2" t="s">
        <v>1134</v>
      </c>
      <c r="L1123" s="2" t="str">
        <f t="shared" si="148"/>
        <v>02_Slots/Gottheit/Goetter-mit-Epitheta/0440_Duamutef/0010_dwA-mw.t=f_AR_02.png &lt;sup&gt;(AR)&lt;/sup&gt;</v>
      </c>
    </row>
    <row r="1124" spans="1:12">
      <c r="A1124" s="2" t="s">
        <v>60</v>
      </c>
      <c r="B1124" s="40">
        <v>440</v>
      </c>
      <c r="C1124" s="2" t="s">
        <v>105</v>
      </c>
      <c r="E1124" s="2" t="s">
        <v>1202</v>
      </c>
      <c r="G1124" s="2" t="s">
        <v>1021</v>
      </c>
      <c r="I1124" s="2" t="s">
        <v>1132</v>
      </c>
      <c r="J1124" s="2" t="s">
        <v>1136</v>
      </c>
      <c r="K1124" s="2" t="s">
        <v>1134</v>
      </c>
      <c r="L1124" s="2" t="str">
        <f t="shared" si="148"/>
        <v>02_Slots/Gottheit/Goetter-mit-Epitheta/0440_Duamutef/0020_dwA-mw.t=f_MR_01.png &lt;sup&gt;(MR)&lt;/sup&gt;</v>
      </c>
    </row>
    <row r="1125" spans="1:12">
      <c r="A1125" s="2" t="s">
        <v>60</v>
      </c>
      <c r="B1125" s="40">
        <v>440</v>
      </c>
      <c r="C1125" s="2" t="s">
        <v>105</v>
      </c>
      <c r="E1125" s="2" t="s">
        <v>1202</v>
      </c>
      <c r="G1125" s="2" t="s">
        <v>1022</v>
      </c>
      <c r="I1125" s="2" t="s">
        <v>1132</v>
      </c>
      <c r="J1125" s="2" t="s">
        <v>1136</v>
      </c>
      <c r="K1125" s="2" t="s">
        <v>1134</v>
      </c>
      <c r="L1125" s="2" t="str">
        <f t="shared" si="148"/>
        <v>02_Slots/Gottheit/Goetter-mit-Epitheta/0440_Duamutef/0030_dwA-mw.t=f_MR_02.png &lt;sup&gt;(MR)&lt;/sup&gt;</v>
      </c>
    </row>
    <row r="1126" spans="1:12">
      <c r="A1126" s="2" t="s">
        <v>60</v>
      </c>
      <c r="B1126" s="40">
        <v>440</v>
      </c>
      <c r="C1126" s="2" t="s">
        <v>105</v>
      </c>
      <c r="E1126" s="2" t="s">
        <v>1202</v>
      </c>
      <c r="G1126" s="2" t="s">
        <v>1023</v>
      </c>
      <c r="I1126" s="2" t="s">
        <v>1132</v>
      </c>
      <c r="J1126" s="2" t="s">
        <v>1136</v>
      </c>
      <c r="K1126" s="2" t="s">
        <v>1134</v>
      </c>
      <c r="L1126" s="2" t="str">
        <f t="shared" si="148"/>
        <v>02_Slots/Gottheit/Goetter-mit-Epitheta/0440_Duamutef/0040_dwA-mw.t=f_MR_03.png &lt;sup&gt;(MR)&lt;/sup&gt;</v>
      </c>
    </row>
    <row r="1127" spans="1:12">
      <c r="A1127" s="2" t="s">
        <v>60</v>
      </c>
      <c r="B1127" s="40">
        <v>440</v>
      </c>
      <c r="C1127" s="2" t="s">
        <v>106</v>
      </c>
      <c r="L1127" s="2" t="str">
        <f t="shared" ref="L1127" si="149">_xlfn.TEXTJOIN("", TRUE, D1127:J1127)</f>
        <v/>
      </c>
    </row>
    <row r="1128" spans="1:12">
      <c r="A1128" s="2" t="s">
        <v>60</v>
      </c>
      <c r="B1128" s="40">
        <v>440</v>
      </c>
      <c r="C1128" s="2" t="s">
        <v>107</v>
      </c>
      <c r="L1128" s="2" t="s">
        <v>168</v>
      </c>
    </row>
    <row r="1129" spans="1:12">
      <c r="A1129" s="2" t="s">
        <v>60</v>
      </c>
      <c r="B1129" s="40">
        <v>440</v>
      </c>
      <c r="C1129" s="2" t="s">
        <v>108</v>
      </c>
    </row>
    <row r="1132" spans="1:12">
      <c r="A1132" s="2" t="s">
        <v>60</v>
      </c>
      <c r="B1132" s="40">
        <v>450</v>
      </c>
      <c r="C1132" s="2" t="s">
        <v>39</v>
      </c>
      <c r="L1132" s="2" t="s">
        <v>679</v>
      </c>
    </row>
    <row r="1133" spans="1:12">
      <c r="A1133" s="2" t="s">
        <v>60</v>
      </c>
      <c r="B1133" s="40">
        <v>450</v>
      </c>
      <c r="C1133" s="2" t="s">
        <v>105</v>
      </c>
      <c r="E1133" s="2" t="s">
        <v>1203</v>
      </c>
      <c r="G1133" s="2" t="s">
        <v>1024</v>
      </c>
      <c r="I1133" s="2" t="s">
        <v>1132</v>
      </c>
      <c r="J1133" s="2" t="s">
        <v>1133</v>
      </c>
      <c r="K1133" s="2" t="s">
        <v>1134</v>
      </c>
      <c r="L1133" s="2" t="str">
        <f t="shared" ref="L1133:L1143" si="150">_xlfn.TEXTJOIN("", TRUE, D1133:K1133)</f>
        <v>02_Slots/Gottheit/Goetter-mit-Epitheta/0450_Thot/0001_DHwtj_AR_01.png &lt;sup&gt;(AR)&lt;/sup&gt;</v>
      </c>
    </row>
    <row r="1134" spans="1:12">
      <c r="A1134" s="2" t="s">
        <v>60</v>
      </c>
      <c r="B1134" s="40">
        <v>450</v>
      </c>
      <c r="C1134" s="2" t="s">
        <v>105</v>
      </c>
      <c r="E1134" s="2" t="s">
        <v>1203</v>
      </c>
      <c r="G1134" s="2" t="s">
        <v>1025</v>
      </c>
      <c r="I1134" s="2" t="s">
        <v>1132</v>
      </c>
      <c r="J1134" s="2" t="s">
        <v>1136</v>
      </c>
      <c r="K1134" s="2" t="s">
        <v>1134</v>
      </c>
      <c r="L1134" s="2" t="str">
        <f t="shared" si="150"/>
        <v>02_Slots/Gottheit/Goetter-mit-Epitheta/0450_Thot/0010_DHwtj_MR_01.png &lt;sup&gt;(MR)&lt;/sup&gt;</v>
      </c>
    </row>
    <row r="1135" spans="1:12">
      <c r="A1135" s="2" t="s">
        <v>60</v>
      </c>
      <c r="B1135" s="40">
        <v>450</v>
      </c>
      <c r="C1135" s="2" t="s">
        <v>105</v>
      </c>
      <c r="E1135" s="2" t="s">
        <v>1203</v>
      </c>
      <c r="G1135" s="2" t="s">
        <v>1026</v>
      </c>
      <c r="I1135" s="2" t="s">
        <v>1132</v>
      </c>
      <c r="J1135" s="2" t="s">
        <v>1136</v>
      </c>
      <c r="K1135" s="2" t="s">
        <v>1134</v>
      </c>
      <c r="L1135" s="2" t="str">
        <f t="shared" si="150"/>
        <v>02_Slots/Gottheit/Goetter-mit-Epitheta/0450_Thot/0020_DHwtj_MR_02.png &lt;sup&gt;(MR)&lt;/sup&gt;</v>
      </c>
    </row>
    <row r="1136" spans="1:12">
      <c r="A1136" s="2" t="s">
        <v>60</v>
      </c>
      <c r="B1136" s="40">
        <v>450</v>
      </c>
      <c r="C1136" s="2" t="s">
        <v>105</v>
      </c>
      <c r="E1136" s="2" t="s">
        <v>1203</v>
      </c>
      <c r="G1136" s="2" t="s">
        <v>1027</v>
      </c>
      <c r="I1136" s="2" t="s">
        <v>1132</v>
      </c>
      <c r="J1136" s="2" t="s">
        <v>1136</v>
      </c>
      <c r="K1136" s="2" t="s">
        <v>1134</v>
      </c>
      <c r="L1136" s="2" t="str">
        <f t="shared" si="150"/>
        <v>02_Slots/Gottheit/Goetter-mit-Epitheta/0450_Thot/0030_DHwtj_MR_03.png &lt;sup&gt;(MR)&lt;/sup&gt;</v>
      </c>
    </row>
    <row r="1137" spans="1:12">
      <c r="A1137" s="2" t="s">
        <v>60</v>
      </c>
      <c r="B1137" s="40">
        <v>450</v>
      </c>
      <c r="C1137" s="2" t="s">
        <v>105</v>
      </c>
      <c r="E1137" s="2" t="s">
        <v>1203</v>
      </c>
      <c r="G1137" s="2" t="s">
        <v>1028</v>
      </c>
      <c r="I1137" s="2" t="s">
        <v>1132</v>
      </c>
      <c r="J1137" s="2" t="s">
        <v>1136</v>
      </c>
      <c r="K1137" s="2" t="s">
        <v>1134</v>
      </c>
      <c r="L1137" s="2" t="str">
        <f t="shared" si="150"/>
        <v>02_Slots/Gottheit/Goetter-mit-Epitheta/0450_Thot/0040_DHwtj_MR_04.png &lt;sup&gt;(MR)&lt;/sup&gt;</v>
      </c>
    </row>
    <row r="1138" spans="1:12">
      <c r="A1138" s="2" t="s">
        <v>60</v>
      </c>
      <c r="B1138" s="40">
        <v>450</v>
      </c>
      <c r="C1138" s="2" t="s">
        <v>105</v>
      </c>
      <c r="E1138" s="2" t="s">
        <v>1203</v>
      </c>
      <c r="G1138" s="2" t="s">
        <v>1029</v>
      </c>
      <c r="I1138" s="2" t="s">
        <v>1132</v>
      </c>
      <c r="J1138" s="2" t="s">
        <v>1136</v>
      </c>
      <c r="K1138" s="2" t="s">
        <v>1134</v>
      </c>
      <c r="L1138" s="2" t="str">
        <f t="shared" si="150"/>
        <v>02_Slots/Gottheit/Goetter-mit-Epitheta/0450_Thot/0050_DHwtj_MR_05.png &lt;sup&gt;(MR)&lt;/sup&gt;</v>
      </c>
    </row>
    <row r="1139" spans="1:12">
      <c r="A1139" s="2" t="s">
        <v>60</v>
      </c>
      <c r="B1139" s="40">
        <v>450</v>
      </c>
      <c r="C1139" s="2" t="s">
        <v>105</v>
      </c>
      <c r="E1139" s="2" t="s">
        <v>1203</v>
      </c>
      <c r="G1139" s="2" t="s">
        <v>1030</v>
      </c>
      <c r="I1139" s="2" t="s">
        <v>1132</v>
      </c>
      <c r="J1139" s="2" t="s">
        <v>1141</v>
      </c>
      <c r="K1139" s="2" t="s">
        <v>1134</v>
      </c>
      <c r="L1139" s="2" t="str">
        <f t="shared" si="150"/>
        <v>02_Slots/Gottheit/Goetter-mit-Epitheta/0450_Thot/0060_DHwtj_SP_01.png &lt;sup&gt;(Sp.)&lt;/sup&gt;</v>
      </c>
    </row>
    <row r="1140" spans="1:12">
      <c r="A1140" s="2" t="s">
        <v>60</v>
      </c>
      <c r="B1140" s="40">
        <v>450</v>
      </c>
      <c r="C1140" s="2" t="s">
        <v>105</v>
      </c>
      <c r="E1140" s="2" t="s">
        <v>1203</v>
      </c>
      <c r="G1140" s="2" t="s">
        <v>1031</v>
      </c>
      <c r="I1140" s="2" t="s">
        <v>1132</v>
      </c>
      <c r="J1140" s="2" t="s">
        <v>1141</v>
      </c>
      <c r="K1140" s="2" t="s">
        <v>1134</v>
      </c>
      <c r="L1140" s="2" t="str">
        <f t="shared" si="150"/>
        <v>02_Slots/Gottheit/Goetter-mit-Epitheta/0450_Thot/0070_DHwtj_SP_02.png &lt;sup&gt;(Sp.)&lt;/sup&gt;</v>
      </c>
    </row>
    <row r="1141" spans="1:12">
      <c r="A1141" s="2" t="s">
        <v>60</v>
      </c>
      <c r="B1141" s="40">
        <v>450</v>
      </c>
      <c r="C1141" s="2" t="s">
        <v>105</v>
      </c>
      <c r="E1141" s="2" t="s">
        <v>1203</v>
      </c>
      <c r="G1141" s="2" t="s">
        <v>1032</v>
      </c>
      <c r="I1141" s="2" t="s">
        <v>1132</v>
      </c>
      <c r="J1141" s="2" t="s">
        <v>1151</v>
      </c>
      <c r="K1141" s="2" t="s">
        <v>1134</v>
      </c>
      <c r="L1141" s="2" t="str">
        <f t="shared" si="150"/>
        <v>02_Slots/Gottheit/Goetter-mit-Epitheta/0450_Thot/0080_DHwtj_SP-GR_01.png &lt;sup&gt;(Sp.; Gr.)&lt;/sup&gt;</v>
      </c>
    </row>
    <row r="1142" spans="1:12">
      <c r="A1142" s="2" t="s">
        <v>60</v>
      </c>
      <c r="B1142" s="40">
        <v>450</v>
      </c>
      <c r="C1142" s="2" t="s">
        <v>105</v>
      </c>
      <c r="E1142" s="2" t="s">
        <v>1203</v>
      </c>
      <c r="G1142" s="2" t="s">
        <v>1033</v>
      </c>
      <c r="I1142" s="2" t="s">
        <v>1132</v>
      </c>
      <c r="J1142" s="2" t="s">
        <v>1151</v>
      </c>
      <c r="K1142" s="2" t="s">
        <v>1134</v>
      </c>
      <c r="L1142" s="2" t="str">
        <f t="shared" si="150"/>
        <v>02_Slots/Gottheit/Goetter-mit-Epitheta/0450_Thot/0090_DHwtj_SP-GR_02.png &lt;sup&gt;(Sp.; Gr.)&lt;/sup&gt;</v>
      </c>
    </row>
    <row r="1143" spans="1:12">
      <c r="A1143" s="2" t="s">
        <v>60</v>
      </c>
      <c r="B1143" s="40">
        <v>450</v>
      </c>
      <c r="C1143" s="2" t="s">
        <v>106</v>
      </c>
      <c r="E1143" s="2" t="s">
        <v>1203</v>
      </c>
      <c r="F1143" s="2" t="s">
        <v>110</v>
      </c>
      <c r="G1143" s="2" t="s">
        <v>1034</v>
      </c>
      <c r="I1143" s="2" t="s">
        <v>1132</v>
      </c>
      <c r="J1143" s="2" t="s">
        <v>1141</v>
      </c>
      <c r="K1143" s="2" t="s">
        <v>1134</v>
      </c>
      <c r="L1143" s="2" t="str">
        <f t="shared" si="150"/>
        <v>02_Slots/Gottheit/Goetter-mit-Epitheta/0450_Thot/det/0001_DHwtj_det_SP_01.png &lt;sup&gt;(Sp.)&lt;/sup&gt;</v>
      </c>
    </row>
    <row r="1144" spans="1:12">
      <c r="A1144" s="2" t="s">
        <v>60</v>
      </c>
      <c r="B1144" s="40">
        <v>450</v>
      </c>
      <c r="C1144" s="2" t="s">
        <v>107</v>
      </c>
      <c r="L1144" s="2" t="s">
        <v>169</v>
      </c>
    </row>
    <row r="1145" spans="1:12">
      <c r="A1145" s="2" t="s">
        <v>60</v>
      </c>
      <c r="B1145" s="40">
        <v>450</v>
      </c>
      <c r="C1145" s="2" t="s">
        <v>108</v>
      </c>
    </row>
    <row r="1151" spans="1:12">
      <c r="A1151" s="13" t="s">
        <v>1221</v>
      </c>
      <c r="B1151" s="40">
        <v>1</v>
      </c>
      <c r="C1151" s="2" t="s">
        <v>1277</v>
      </c>
      <c r="L1151" s="2" t="s">
        <v>1278</v>
      </c>
    </row>
    <row r="1152" spans="1:12">
      <c r="A1152" s="13" t="s">
        <v>1221</v>
      </c>
      <c r="B1152" s="40">
        <v>1</v>
      </c>
      <c r="C1152" s="2" t="s">
        <v>1220</v>
      </c>
      <c r="E1152" s="2" t="s">
        <v>1274</v>
      </c>
      <c r="G1152" s="2" t="s">
        <v>1273</v>
      </c>
      <c r="H1152" s="2" t="s">
        <v>112</v>
      </c>
      <c r="L1152" s="2" t="str">
        <f t="shared" ref="L1152" si="151">_xlfn.TEXTJOIN("", TRUE, D1152:K1152)</f>
        <v>03_Hieroglyphen-selten/F63_xnty_01.png</v>
      </c>
    </row>
    <row r="1153" spans="1:12">
      <c r="A1153" s="13" t="s">
        <v>1221</v>
      </c>
      <c r="B1153" s="40">
        <v>1</v>
      </c>
      <c r="C1153" s="2" t="s">
        <v>39</v>
      </c>
      <c r="L1153" s="2" t="s">
        <v>1275</v>
      </c>
    </row>
    <row r="1154" spans="1:12">
      <c r="A1154" s="13" t="s">
        <v>1221</v>
      </c>
      <c r="B1154" s="40">
        <v>1</v>
      </c>
      <c r="C1154" s="2" t="s">
        <v>27</v>
      </c>
      <c r="L1154" s="2" t="s">
        <v>1276</v>
      </c>
    </row>
    <row r="1159" spans="1:12">
      <c r="A1159" s="13" t="s">
        <v>1259</v>
      </c>
      <c r="B1159" s="40">
        <v>1</v>
      </c>
      <c r="C1159" s="2" t="s">
        <v>1277</v>
      </c>
      <c r="L1159" s="2" t="s">
        <v>1279</v>
      </c>
    </row>
    <row r="1160" spans="1:12">
      <c r="A1160" s="13" t="s">
        <v>1259</v>
      </c>
      <c r="B1160" s="40">
        <v>1</v>
      </c>
      <c r="C1160" s="2" t="s">
        <v>1220</v>
      </c>
      <c r="E1160" s="2" t="s">
        <v>1274</v>
      </c>
      <c r="G1160" s="2" t="s">
        <v>1280</v>
      </c>
      <c r="H1160" s="2" t="s">
        <v>112</v>
      </c>
      <c r="L1160" s="2" t="str">
        <f t="shared" ref="L1160" si="152">_xlfn.TEXTJOIN("", TRUE, D1160:K1160)</f>
        <v>03_Hieroglyphen-selten/N6B_nsw-bjt_01.png</v>
      </c>
    </row>
    <row r="1161" spans="1:12">
      <c r="A1161" s="13" t="s">
        <v>1259</v>
      </c>
      <c r="B1161" s="40">
        <v>1</v>
      </c>
      <c r="C1161" s="2" t="s">
        <v>39</v>
      </c>
      <c r="L1161" s="2" t="s">
        <v>511</v>
      </c>
    </row>
    <row r="1162" spans="1:12">
      <c r="A1162" s="13" t="s">
        <v>1259</v>
      </c>
      <c r="B1162" s="40">
        <v>1</v>
      </c>
      <c r="C1162" s="2" t="s">
        <v>27</v>
      </c>
      <c r="L1162" s="2" t="s">
        <v>1281</v>
      </c>
    </row>
    <row r="1163" spans="1:12">
      <c r="A1163" s="13" t="s">
        <v>1259</v>
      </c>
      <c r="B1163" s="40">
        <v>2</v>
      </c>
      <c r="C1163" s="2" t="s">
        <v>1277</v>
      </c>
      <c r="L1163" s="2" t="s">
        <v>1283</v>
      </c>
    </row>
    <row r="1164" spans="1:12">
      <c r="A1164" s="13" t="s">
        <v>1259</v>
      </c>
      <c r="B1164" s="40">
        <v>2</v>
      </c>
      <c r="C1164" s="2" t="s">
        <v>1220</v>
      </c>
      <c r="E1164" s="2" t="s">
        <v>1274</v>
      </c>
      <c r="G1164" s="2" t="s">
        <v>1282</v>
      </c>
      <c r="H1164" s="2" t="s">
        <v>112</v>
      </c>
      <c r="L1164" s="2" t="str">
        <f t="shared" ref="L1164" si="153">_xlfn.TEXTJOIN("", TRUE, D1164:K1164)</f>
        <v>03_Hieroglyphen-selten/N102_jmn_01.png</v>
      </c>
    </row>
    <row r="1165" spans="1:12">
      <c r="A1165" s="13" t="s">
        <v>1259</v>
      </c>
      <c r="B1165" s="40">
        <v>2</v>
      </c>
      <c r="C1165" s="2" t="s">
        <v>39</v>
      </c>
      <c r="L1165" s="2" t="s">
        <v>175</v>
      </c>
    </row>
    <row r="1166" spans="1:12">
      <c r="A1166" s="13" t="s">
        <v>1259</v>
      </c>
      <c r="B1166" s="40">
        <v>2</v>
      </c>
      <c r="C1166" s="2" t="s">
        <v>27</v>
      </c>
      <c r="L1166" s="2" t="s">
        <v>111</v>
      </c>
    </row>
  </sheetData>
  <pageMargins left="0.7" right="0.7" top="0.78740157499999996" bottom="0.78740157499999996" header="0.3" footer="0.3"/>
  <ignoredErrors>
    <ignoredError sqref="L37 L1035 L989" formula="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6</vt:i4>
      </vt:variant>
    </vt:vector>
  </HeadingPairs>
  <TitlesOfParts>
    <vt:vector size="6" baseType="lpstr">
      <vt:lpstr>pages</vt:lpstr>
      <vt:lpstr>landing_cards</vt:lpstr>
      <vt:lpstr>formula_blocks</vt:lpstr>
      <vt:lpstr>slot_content</vt:lpstr>
      <vt:lpstr>glyphlines</vt:lpstr>
      <vt:lpstr>tables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Kutschka, Markus</dc:creator>
  <cp:lastModifiedBy>Markus Kutschka</cp:lastModifiedBy>
  <dcterms:created xsi:type="dcterms:W3CDTF">2026-02-21T09:04:06Z</dcterms:created>
  <dcterms:modified xsi:type="dcterms:W3CDTF">2026-07-18T13:29:10Z</dcterms:modified>
</cp:coreProperties>
</file>