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MarkusKutschka/Documents/Arbeit/Inschriftenschluessel/data/"/>
    </mc:Choice>
  </mc:AlternateContent>
  <xr:revisionPtr revIDLastSave="0" documentId="13_ncr:1_{EE2FD7E0-33E7-844E-9A73-1B47E614DF20}" xr6:coauthVersionLast="47" xr6:coauthVersionMax="47" xr10:uidLastSave="{00000000-0000-0000-0000-000000000000}"/>
  <bookViews>
    <workbookView xWindow="900" yWindow="660" windowWidth="22260" windowHeight="16200" activeTab="1" xr2:uid="{F025A444-F8B0-5C41-A37E-BEE791B22240}"/>
  </bookViews>
  <sheets>
    <sheet name="pages" sheetId="1" r:id="rId1"/>
    <sheet name="landing_cards" sheetId="2" r:id="rId2"/>
    <sheet name="formula_blocks" sheetId="3" r:id="rId3"/>
    <sheet name="slot_content" sheetId="6" r:id="rId4"/>
    <sheet name="glyphlines" sheetId="5" r:id="rId5"/>
    <sheet name="tables" sheetId="4" r:id="rId6"/>
    <sheet name="tutorial_step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1" i="4" l="1"/>
  <c r="L290" i="4"/>
  <c r="L289" i="4"/>
  <c r="L287" i="4"/>
  <c r="L286" i="4"/>
  <c r="L288" i="4"/>
  <c r="L424" i="5"/>
  <c r="L421" i="5"/>
  <c r="L375" i="4"/>
  <c r="L376" i="4"/>
  <c r="L377" i="4"/>
  <c r="L378" i="4"/>
  <c r="L365" i="4"/>
  <c r="L384" i="4"/>
  <c r="L390" i="4"/>
  <c r="L391" i="4"/>
  <c r="L392" i="4"/>
  <c r="L393" i="4"/>
  <c r="L136" i="4" l="1"/>
  <c r="L258" i="5"/>
  <c r="L256" i="5"/>
  <c r="L254" i="5"/>
  <c r="L252" i="5"/>
  <c r="L250" i="5"/>
  <c r="L248" i="5"/>
  <c r="L247" i="5"/>
  <c r="L246" i="5"/>
  <c r="L262" i="5"/>
  <c r="L260" i="5"/>
  <c r="L450" i="4" l="1"/>
  <c r="L449" i="4"/>
  <c r="L452" i="4"/>
  <c r="L451" i="4"/>
  <c r="L438" i="4"/>
  <c r="L437" i="4"/>
  <c r="L436" i="4"/>
  <c r="L435" i="4"/>
  <c r="L434" i="4"/>
  <c r="L439" i="4"/>
  <c r="L441" i="4"/>
  <c r="L440" i="4"/>
  <c r="L454" i="4"/>
  <c r="L453" i="4"/>
  <c r="L443" i="4"/>
  <c r="L442" i="4"/>
  <c r="L428" i="4"/>
  <c r="L422" i="4"/>
  <c r="L368" i="4"/>
  <c r="L367" i="4"/>
  <c r="L415" i="4"/>
  <c r="L414" i="4"/>
  <c r="L413" i="4"/>
  <c r="L412" i="4"/>
  <c r="L411" i="4"/>
  <c r="L421" i="4"/>
  <c r="L410" i="4"/>
  <c r="L167" i="5" l="1"/>
  <c r="L165" i="5"/>
  <c r="L163" i="5"/>
  <c r="L161" i="5"/>
  <c r="L169" i="5"/>
  <c r="L155" i="5"/>
  <c r="L153" i="5"/>
  <c r="L151" i="5"/>
  <c r="L149" i="5"/>
  <c r="L147" i="5"/>
  <c r="L145" i="5"/>
  <c r="L143" i="5"/>
  <c r="L142" i="5"/>
  <c r="L139" i="5"/>
  <c r="L137" i="5"/>
  <c r="L129" i="5"/>
  <c r="L126" i="5"/>
  <c r="L124" i="5"/>
  <c r="L122" i="5"/>
  <c r="L120" i="5"/>
  <c r="L118" i="5"/>
  <c r="L116" i="5"/>
  <c r="L114" i="5"/>
  <c r="L112" i="5"/>
  <c r="L210" i="5"/>
  <c r="L208" i="5"/>
  <c r="L206" i="5"/>
  <c r="L204" i="5"/>
  <c r="L202" i="5"/>
  <c r="L200" i="5"/>
  <c r="L198" i="5"/>
  <c r="L197" i="5"/>
  <c r="L196" i="5"/>
  <c r="L178" i="5"/>
  <c r="L175" i="5"/>
  <c r="L174" i="5"/>
  <c r="L186" i="5"/>
  <c r="L184" i="5"/>
  <c r="L183" i="5"/>
  <c r="L188" i="5"/>
  <c r="L1200" i="4"/>
  <c r="L1195" i="4"/>
  <c r="L1194" i="4"/>
  <c r="L1186" i="4"/>
  <c r="L1185" i="4"/>
  <c r="L1162" i="4"/>
  <c r="L75" i="5"/>
  <c r="L74" i="5"/>
  <c r="L73" i="5"/>
  <c r="L72" i="5"/>
  <c r="L79" i="5"/>
  <c r="L77" i="5"/>
  <c r="L81" i="5"/>
  <c r="L83" i="5"/>
  <c r="L61" i="5"/>
  <c r="L59" i="5"/>
  <c r="L65" i="5"/>
  <c r="L63" i="5"/>
  <c r="L67" i="5"/>
  <c r="L57" i="5"/>
  <c r="L43" i="5"/>
  <c r="L366" i="4"/>
  <c r="L359" i="4"/>
  <c r="L358" i="4"/>
  <c r="L357" i="4"/>
  <c r="L356" i="4"/>
  <c r="L355" i="4"/>
  <c r="L354" i="4"/>
  <c r="L353" i="4"/>
  <c r="L340" i="4"/>
  <c r="L339" i="4"/>
  <c r="L338" i="4"/>
  <c r="L337" i="4"/>
  <c r="L336" i="4"/>
  <c r="L335" i="4"/>
  <c r="L334" i="4"/>
  <c r="L333" i="4"/>
  <c r="L332" i="4"/>
  <c r="L331" i="4"/>
  <c r="L325" i="4"/>
  <c r="L324" i="4"/>
  <c r="L323" i="4"/>
  <c r="L322" i="4"/>
  <c r="L321" i="4"/>
  <c r="L320" i="4"/>
  <c r="L314" i="4"/>
  <c r="L313" i="4"/>
  <c r="L312" i="4"/>
  <c r="L311" i="4"/>
  <c r="L310" i="4"/>
  <c r="L273" i="4"/>
  <c r="L272" i="4"/>
  <c r="L271" i="4"/>
  <c r="L270" i="4"/>
  <c r="L269" i="4"/>
  <c r="L268" i="4"/>
  <c r="L267" i="4"/>
  <c r="L300" i="5"/>
  <c r="L301" i="5"/>
  <c r="L335" i="5"/>
  <c r="L332" i="5"/>
  <c r="L329" i="5"/>
  <c r="L328" i="5"/>
  <c r="L326" i="5"/>
  <c r="L325" i="5"/>
  <c r="L322" i="5"/>
  <c r="L320" i="5"/>
  <c r="L366" i="5"/>
  <c r="L364" i="5"/>
  <c r="L362" i="5"/>
  <c r="L360" i="5"/>
  <c r="L359" i="5"/>
  <c r="L356" i="5"/>
  <c r="L358" i="5"/>
  <c r="L353" i="5"/>
  <c r="L351" i="5"/>
  <c r="L349" i="5"/>
  <c r="L347" i="5"/>
  <c r="L345" i="5"/>
  <c r="L343" i="5"/>
  <c r="L342" i="5"/>
  <c r="L315" i="5"/>
  <c r="L314" i="5"/>
  <c r="L312" i="5"/>
  <c r="L310" i="5"/>
  <c r="L495" i="4" l="1"/>
  <c r="L490" i="4"/>
  <c r="L563" i="4"/>
  <c r="L562" i="4"/>
  <c r="L695" i="4"/>
  <c r="L690" i="4"/>
  <c r="L939" i="4"/>
  <c r="L937" i="4"/>
  <c r="L972" i="4"/>
  <c r="L959" i="4"/>
  <c r="L951" i="4"/>
  <c r="L950" i="4"/>
  <c r="L947" i="4"/>
  <c r="L948" i="4"/>
  <c r="L949" i="4"/>
  <c r="L922" i="4"/>
  <c r="L933" i="4"/>
  <c r="L934" i="4"/>
  <c r="L935" i="4"/>
  <c r="L936" i="4"/>
  <c r="L938" i="4"/>
  <c r="L940" i="4"/>
  <c r="L1351" i="4" l="1"/>
  <c r="L1347" i="4"/>
  <c r="L1339" i="4"/>
  <c r="L575" i="4"/>
  <c r="L544" i="4"/>
  <c r="L543" i="4"/>
  <c r="L538" i="4"/>
  <c r="L537" i="4"/>
  <c r="L536" i="4"/>
  <c r="L530" i="4"/>
  <c r="L529" i="4"/>
  <c r="L528" i="4"/>
  <c r="L527" i="4"/>
  <c r="L526" i="4"/>
  <c r="L525" i="4"/>
  <c r="L553" i="4"/>
  <c r="L554" i="4"/>
  <c r="L555" i="4"/>
  <c r="L556" i="4"/>
  <c r="L568" i="4"/>
  <c r="L1329" i="4"/>
  <c r="L1328" i="4"/>
  <c r="L1327" i="4"/>
  <c r="L1326" i="4"/>
  <c r="L1325" i="4"/>
  <c r="L1324" i="4"/>
  <c r="L1323" i="4"/>
  <c r="L1322" i="4"/>
  <c r="L1321" i="4"/>
  <c r="L1320" i="4"/>
  <c r="L1319" i="4"/>
  <c r="L1311" i="4"/>
  <c r="L1310" i="4"/>
  <c r="L1309" i="4"/>
  <c r="L1308" i="4"/>
  <c r="L1307" i="4"/>
  <c r="L1300" i="4"/>
  <c r="L1299" i="4"/>
  <c r="L1298" i="4"/>
  <c r="L1297" i="4"/>
  <c r="L1296" i="4"/>
  <c r="L1295" i="4"/>
  <c r="L1294" i="4"/>
  <c r="L1293" i="4"/>
  <c r="L1282" i="4"/>
  <c r="L1281" i="4"/>
  <c r="L1280" i="4"/>
  <c r="L1279" i="4"/>
  <c r="L1271" i="4"/>
  <c r="L1268" i="4"/>
  <c r="L1267" i="4"/>
  <c r="L1266" i="4"/>
  <c r="L1265" i="4"/>
  <c r="L1264" i="4"/>
  <c r="L1263" i="4"/>
  <c r="L1262" i="4"/>
  <c r="L1261" i="4"/>
  <c r="L1260" i="4"/>
  <c r="L1259" i="4"/>
  <c r="L1258" i="4"/>
  <c r="L1241" i="4"/>
  <c r="L1240" i="4"/>
  <c r="L1239" i="4"/>
  <c r="L1238" i="4"/>
  <c r="L1237" i="4"/>
  <c r="L1227" i="4"/>
  <c r="L1226" i="4"/>
  <c r="L1225" i="4"/>
  <c r="L1224" i="4"/>
  <c r="L1213" i="4"/>
  <c r="L1187" i="4"/>
  <c r="L1176" i="4"/>
  <c r="L1175" i="4"/>
  <c r="L1131" i="4"/>
  <c r="L1114" i="4"/>
  <c r="L1113" i="4"/>
  <c r="L1102" i="4"/>
  <c r="L1101" i="4"/>
  <c r="L1100" i="4"/>
  <c r="L1087" i="4"/>
  <c r="L1081" i="4"/>
  <c r="L1078" i="4"/>
  <c r="L1077" i="4"/>
  <c r="L1067" i="4"/>
  <c r="L1066" i="4"/>
  <c r="L1056" i="4"/>
  <c r="L1055" i="4"/>
  <c r="L1054" i="4"/>
  <c r="L1053" i="4"/>
  <c r="L1052" i="4"/>
  <c r="L1051" i="4"/>
  <c r="L1050" i="4"/>
  <c r="L1049" i="4"/>
  <c r="L1048" i="4"/>
  <c r="L1047" i="4"/>
  <c r="L1046" i="4"/>
  <c r="L1045" i="4"/>
  <c r="L1037" i="4"/>
  <c r="L1036" i="4"/>
  <c r="L1035" i="4"/>
  <c r="L1034" i="4"/>
  <c r="L1033" i="4"/>
  <c r="L1017" i="4"/>
  <c r="L1016" i="4"/>
  <c r="L1015" i="4"/>
  <c r="L1014" i="4"/>
  <c r="L1013" i="4"/>
  <c r="L1012" i="4"/>
  <c r="L1011" i="4"/>
  <c r="L1003" i="4"/>
  <c r="L1002" i="4"/>
  <c r="L1001" i="4"/>
  <c r="L992" i="4"/>
  <c r="L991" i="4"/>
  <c r="L990" i="4"/>
  <c r="L989" i="4"/>
  <c r="L988" i="4"/>
  <c r="L978" i="4"/>
  <c r="L977" i="4"/>
  <c r="L976" i="4"/>
  <c r="L975" i="4"/>
  <c r="L974" i="4"/>
  <c r="L973" i="4"/>
  <c r="L964" i="4"/>
  <c r="L963" i="4"/>
  <c r="L962" i="4"/>
  <c r="L961" i="4"/>
  <c r="L960" i="4"/>
  <c r="L925" i="4"/>
  <c r="L924" i="4"/>
  <c r="L923" i="4"/>
  <c r="L885" i="4"/>
  <c r="L884" i="4"/>
  <c r="L883" i="4"/>
  <c r="L882" i="4"/>
  <c r="L881" i="4"/>
  <c r="L880" i="4"/>
  <c r="L879" i="4"/>
  <c r="L878" i="4"/>
  <c r="L877" i="4"/>
  <c r="L876" i="4"/>
  <c r="L860" i="4"/>
  <c r="L859" i="4"/>
  <c r="L858" i="4"/>
  <c r="L857" i="4"/>
  <c r="L851" i="4"/>
  <c r="L850" i="4"/>
  <c r="L849" i="4"/>
  <c r="L848" i="4"/>
  <c r="L840" i="4"/>
  <c r="L839" i="4"/>
  <c r="L838" i="4"/>
  <c r="L837" i="4"/>
  <c r="L836" i="4"/>
  <c r="L835" i="4"/>
  <c r="L834" i="4"/>
  <c r="L833" i="4"/>
  <c r="L832" i="4"/>
  <c r="L831" i="4"/>
  <c r="L830" i="4"/>
  <c r="L810" i="4"/>
  <c r="L809" i="4"/>
  <c r="L799" i="4"/>
  <c r="L798" i="4"/>
  <c r="L776" i="4"/>
  <c r="L775" i="4"/>
  <c r="L774" i="4"/>
  <c r="L773" i="4"/>
  <c r="L772" i="4"/>
  <c r="L755" i="4"/>
  <c r="L742" i="4"/>
  <c r="L741" i="4"/>
  <c r="L731" i="4"/>
  <c r="L730" i="4"/>
  <c r="L729" i="4"/>
  <c r="L728" i="4"/>
  <c r="L727" i="4"/>
  <c r="L726" i="4"/>
  <c r="L725" i="4"/>
  <c r="L700" i="4"/>
  <c r="L683" i="4"/>
  <c r="L682" i="4"/>
  <c r="L681" i="4"/>
  <c r="L665" i="4"/>
  <c r="L664" i="4"/>
  <c r="L663" i="4"/>
  <c r="L662" i="4"/>
  <c r="L650" i="4"/>
  <c r="L649" i="4"/>
  <c r="L648" i="4"/>
  <c r="L647" i="4"/>
  <c r="L646" i="4"/>
  <c r="L645" i="4"/>
  <c r="L644" i="4"/>
  <c r="L643" i="4"/>
  <c r="L642" i="4"/>
  <c r="L637" i="4"/>
  <c r="L624" i="4"/>
  <c r="L623" i="4"/>
  <c r="L614" i="4"/>
  <c r="L602" i="4"/>
  <c r="L588" i="4"/>
  <c r="L587" i="4"/>
  <c r="L586" i="4"/>
  <c r="L585" i="4"/>
  <c r="L252" i="4"/>
  <c r="L251" i="4"/>
  <c r="L250" i="4"/>
  <c r="L224" i="4"/>
  <c r="L219" i="4"/>
  <c r="L214" i="4"/>
  <c r="L192" i="4"/>
  <c r="L182" i="4"/>
  <c r="L138" i="4"/>
  <c r="L128" i="4"/>
  <c r="L121" i="4"/>
  <c r="L120" i="4"/>
  <c r="L119" i="4"/>
  <c r="L118" i="4"/>
  <c r="L117" i="4"/>
  <c r="L116" i="4"/>
  <c r="L115" i="4"/>
  <c r="L114" i="4"/>
  <c r="L113" i="4"/>
  <c r="L97" i="4"/>
  <c r="L96" i="4"/>
  <c r="L93" i="4"/>
  <c r="L92" i="4"/>
  <c r="L91" i="4"/>
  <c r="L89" i="4"/>
  <c r="L82" i="4"/>
  <c r="L80" i="4"/>
  <c r="L73" i="4"/>
  <c r="L72" i="4"/>
  <c r="L71" i="4"/>
  <c r="L63" i="4"/>
  <c r="L44" i="4"/>
  <c r="L37" i="4"/>
  <c r="L308" i="5"/>
  <c r="L307" i="5"/>
  <c r="L306" i="5"/>
  <c r="L305" i="5"/>
  <c r="L304" i="5"/>
  <c r="L297" i="5"/>
  <c r="L296" i="5"/>
  <c r="L295" i="5"/>
  <c r="L289" i="5"/>
  <c r="L292" i="5"/>
  <c r="L281" i="5"/>
  <c r="L279" i="5"/>
  <c r="L195" i="5"/>
  <c r="L190" i="5"/>
  <c r="L180" i="5"/>
  <c r="L176" i="5"/>
  <c r="L131" i="5" l="1"/>
  <c r="L159" i="5"/>
  <c r="L135" i="5"/>
  <c r="L133" i="5"/>
  <c r="L110" i="5"/>
  <c r="L158" i="5"/>
  <c r="L130" i="5"/>
  <c r="L108" i="5"/>
  <c r="L107" i="5"/>
  <c r="L475" i="4"/>
  <c r="L390" i="5"/>
  <c r="L391" i="5"/>
  <c r="L383" i="5"/>
  <c r="L384" i="5"/>
  <c r="L621" i="4"/>
  <c r="L622" i="4"/>
  <c r="L629" i="4"/>
  <c r="L634" i="4"/>
  <c r="L635" i="4"/>
  <c r="L636" i="4"/>
  <c r="L1292" i="4"/>
  <c r="L1291" i="4"/>
  <c r="L1290" i="4"/>
  <c r="L1278" i="4"/>
  <c r="L1269" i="4"/>
  <c r="L1270" i="4"/>
  <c r="L1257" i="4"/>
  <c r="L1236" i="4"/>
  <c r="L1228" i="4"/>
  <c r="L1223" i="4"/>
  <c r="L1222" i="4"/>
  <c r="L1221" i="4"/>
  <c r="L1211" i="4"/>
  <c r="L1210" i="4"/>
  <c r="L1212" i="4"/>
  <c r="L1177" i="4"/>
  <c r="L1172" i="4"/>
  <c r="L1171" i="4"/>
  <c r="L1174" i="4"/>
  <c r="L1173" i="4"/>
  <c r="L1163" i="4"/>
  <c r="L1161" i="4"/>
  <c r="L1151" i="4"/>
  <c r="L1152" i="4"/>
  <c r="L1146" i="4"/>
  <c r="L1141" i="4"/>
  <c r="L1136" i="4"/>
  <c r="L1126" i="4"/>
  <c r="L1121" i="4"/>
  <c r="L1112" i="4"/>
  <c r="L1111" i="4"/>
  <c r="L1103" i="4"/>
  <c r="L1099" i="4"/>
  <c r="L1098" i="4"/>
  <c r="L1097" i="4"/>
  <c r="L1096" i="4"/>
  <c r="L1079" i="4" l="1"/>
  <c r="L1080" i="4"/>
  <c r="L1076" i="4"/>
  <c r="L1075" i="4"/>
  <c r="L1065" i="4"/>
  <c r="L1057" i="4"/>
  <c r="L1032" i="4"/>
  <c r="L1010" i="4"/>
  <c r="L1000" i="4"/>
  <c r="L999" i="4"/>
  <c r="L987" i="4"/>
  <c r="L986" i="4"/>
  <c r="L926" i="4"/>
  <c r="L921" i="4"/>
  <c r="L911" i="4"/>
  <c r="L912" i="4"/>
  <c r="L913" i="4"/>
  <c r="L902" i="4"/>
  <c r="L903" i="4"/>
  <c r="L892" i="4"/>
  <c r="L893" i="4"/>
  <c r="L875" i="4"/>
  <c r="L874" i="4"/>
  <c r="L866" i="4"/>
  <c r="L867" i="4"/>
  <c r="L856" i="4"/>
  <c r="L847" i="4"/>
  <c r="L846" i="4"/>
  <c r="L829" i="4"/>
  <c r="L822" i="4"/>
  <c r="L823" i="4"/>
  <c r="L817" i="4"/>
  <c r="L811" i="4"/>
  <c r="L808" i="4"/>
  <c r="L807" i="4"/>
  <c r="L797" i="4"/>
  <c r="L781" i="4"/>
  <c r="L771" i="4"/>
  <c r="L770" i="4"/>
  <c r="L754" i="4"/>
  <c r="L750" i="4"/>
  <c r="L749" i="4"/>
  <c r="L748" i="4"/>
  <c r="L747" i="4"/>
  <c r="L752" i="4"/>
  <c r="L751" i="4"/>
  <c r="L753" i="4"/>
  <c r="L739" i="4"/>
  <c r="L738" i="4"/>
  <c r="L740" i="4"/>
  <c r="L787" i="4"/>
  <c r="L782" i="4"/>
  <c r="L765" i="4"/>
  <c r="L760" i="4"/>
  <c r="L732" i="4"/>
  <c r="L724" i="4"/>
  <c r="L723" i="4"/>
  <c r="L722" i="4"/>
  <c r="L1312" i="4"/>
  <c r="L1283" i="4"/>
  <c r="L1250" i="4"/>
  <c r="L1249" i="4"/>
  <c r="L1242" i="4"/>
  <c r="L1229" i="4"/>
  <c r="L1214" i="4"/>
  <c r="L1188" i="4"/>
  <c r="L1178" i="4"/>
  <c r="L1164" i="4"/>
  <c r="L1154" i="4"/>
  <c r="L1153" i="4"/>
  <c r="L1115" i="4"/>
  <c r="L1104" i="4"/>
  <c r="L1068" i="4"/>
  <c r="L1058" i="4"/>
  <c r="L1038" i="4"/>
  <c r="L1025" i="4"/>
  <c r="L1024" i="4"/>
  <c r="L979" i="4"/>
  <c r="L965" i="4"/>
  <c r="L952" i="4"/>
  <c r="L927" i="4"/>
  <c r="L905" i="4"/>
  <c r="L904" i="4"/>
  <c r="L895" i="4"/>
  <c r="L894" i="4"/>
  <c r="L865" i="4"/>
  <c r="L712" i="4"/>
  <c r="L711" i="4"/>
  <c r="L713" i="4"/>
  <c r="L714" i="4"/>
  <c r="L705" i="4"/>
  <c r="L696" i="4"/>
  <c r="L691" i="4"/>
  <c r="L680" i="4"/>
  <c r="L679" i="4"/>
  <c r="L672" i="4"/>
  <c r="L673" i="4"/>
  <c r="L661" i="4"/>
  <c r="L660" i="4"/>
  <c r="L659" i="4"/>
  <c r="L615" i="4"/>
  <c r="L613" i="4"/>
  <c r="L611" i="4"/>
  <c r="L610" i="4"/>
  <c r="L612" i="4"/>
  <c r="L601" i="4"/>
  <c r="L600" i="4"/>
  <c r="L598" i="4"/>
  <c r="L597" i="4"/>
  <c r="L599" i="4"/>
  <c r="L584" i="4"/>
  <c r="L582" i="4"/>
  <c r="L583" i="4"/>
  <c r="L522" i="4"/>
  <c r="L521" i="4"/>
  <c r="L520" i="4"/>
  <c r="L519" i="4"/>
  <c r="L518" i="4"/>
  <c r="L517" i="4"/>
  <c r="L516" i="4"/>
  <c r="L485" i="4" l="1"/>
  <c r="L480" i="4"/>
  <c r="L470" i="4"/>
  <c r="L469" i="4"/>
  <c r="L468" i="4"/>
  <c r="L463" i="4"/>
  <c r="L462" i="4"/>
  <c r="L461" i="4"/>
  <c r="L297" i="4"/>
  <c r="L244" i="5"/>
  <c r="L243" i="5"/>
  <c r="L242" i="5"/>
  <c r="L241" i="5"/>
  <c r="L235" i="5"/>
  <c r="L231" i="5"/>
  <c r="L230" i="5"/>
  <c r="L229" i="5"/>
  <c r="L228" i="5"/>
  <c r="L227" i="5"/>
  <c r="L226" i="5"/>
  <c r="L222" i="5"/>
  <c r="L248" i="4"/>
  <c r="L247" i="4"/>
  <c r="L249" i="4"/>
  <c r="L241" i="4"/>
  <c r="L240" i="4"/>
  <c r="L244" i="4"/>
  <c r="L243" i="4"/>
  <c r="L242" i="4"/>
  <c r="L209" i="4"/>
  <c r="L204" i="4"/>
  <c r="L203" i="4"/>
  <c r="L202" i="4"/>
  <c r="L197" i="4"/>
  <c r="L191" i="4"/>
  <c r="L190" i="4"/>
  <c r="L189" i="4"/>
  <c r="L188" i="4"/>
  <c r="L187" i="4"/>
  <c r="L177" i="4"/>
  <c r="L176" i="4"/>
  <c r="L100" i="5"/>
  <c r="L97" i="5"/>
  <c r="L94" i="5"/>
  <c r="L91" i="5"/>
  <c r="L89" i="5"/>
  <c r="L86" i="5"/>
  <c r="L69" i="5"/>
  <c r="L56" i="5"/>
  <c r="L55" i="5"/>
  <c r="L54" i="5"/>
  <c r="L53" i="5"/>
  <c r="L52" i="5"/>
  <c r="L51" i="5"/>
  <c r="L40" i="5"/>
  <c r="L35" i="5"/>
  <c r="L34" i="5"/>
  <c r="L32" i="5"/>
  <c r="L31" i="5"/>
  <c r="L30" i="5"/>
  <c r="L27" i="5"/>
  <c r="L25" i="5"/>
  <c r="L23" i="5"/>
  <c r="L21" i="5"/>
  <c r="L19" i="5"/>
  <c r="L3" i="5"/>
  <c r="L7" i="5"/>
  <c r="L11" i="5"/>
  <c r="L17" i="5"/>
  <c r="L172" i="4"/>
  <c r="L171" i="4"/>
  <c r="L170" i="4"/>
  <c r="L166" i="4"/>
  <c r="L162" i="4"/>
  <c r="L158" i="4"/>
  <c r="L157" i="4"/>
  <c r="L152" i="4"/>
  <c r="L153" i="4"/>
  <c r="L148" i="4"/>
  <c r="L143" i="4"/>
  <c r="L137" i="4"/>
  <c r="L135" i="4"/>
  <c r="L134" i="4"/>
  <c r="L133" i="4"/>
  <c r="L127" i="4"/>
  <c r="L126" i="4"/>
  <c r="L125" i="4"/>
  <c r="L124" i="4"/>
  <c r="L123" i="4"/>
  <c r="L122" i="4"/>
  <c r="L112" i="4"/>
  <c r="L105" i="4"/>
  <c r="L106" i="4"/>
  <c r="L104" i="4"/>
  <c r="L107" i="4"/>
  <c r="L103" i="4"/>
  <c r="L102" i="4"/>
  <c r="L95" i="4"/>
  <c r="L94" i="4"/>
  <c r="L90" i="4"/>
  <c r="L88" i="4"/>
  <c r="L83" i="4"/>
  <c r="L81" i="4"/>
  <c r="L70" i="4"/>
  <c r="L75" i="4"/>
  <c r="L74" i="4"/>
  <c r="L65" i="4"/>
  <c r="L64" i="4"/>
  <c r="L62" i="4"/>
  <c r="L55" i="4"/>
  <c r="L56" i="4"/>
  <c r="L57" i="4"/>
  <c r="L54" i="4"/>
  <c r="L53" i="4"/>
  <c r="L52" i="4"/>
  <c r="L45" i="4"/>
  <c r="L46" i="4"/>
  <c r="L43" i="4"/>
  <c r="L47" i="4"/>
  <c r="L38" i="4"/>
  <c r="L36" i="4"/>
  <c r="L35" i="4"/>
</calcChain>
</file>

<file path=xl/sharedStrings.xml><?xml version="1.0" encoding="utf-8"?>
<sst xmlns="http://schemas.openxmlformats.org/spreadsheetml/2006/main" count="7965" uniqueCount="1668">
  <si>
    <t>page_id</t>
  </si>
  <si>
    <t>type</t>
  </si>
  <si>
    <t>title</t>
  </si>
  <si>
    <t>slug</t>
  </si>
  <si>
    <t>parent_id</t>
  </si>
  <si>
    <t>sort</t>
  </si>
  <si>
    <t>home</t>
  </si>
  <si>
    <t>landing</t>
  </si>
  <si>
    <t>index</t>
  </si>
  <si>
    <t>f_opfer</t>
  </si>
  <si>
    <t>formula</t>
  </si>
  <si>
    <t>pages/formeln/opferformel</t>
  </si>
  <si>
    <t>s_gott</t>
  </si>
  <si>
    <t>slot</t>
  </si>
  <si>
    <t>pages/slots/gottheit</t>
  </si>
  <si>
    <t>landing_id</t>
  </si>
  <si>
    <t>label</t>
  </si>
  <si>
    <t>href_page_id</t>
  </si>
  <si>
    <t>Opferformel</t>
  </si>
  <si>
    <t>block_type</t>
  </si>
  <si>
    <t>heading</t>
  </si>
  <si>
    <t>body_md</t>
  </si>
  <si>
    <t>table_id</t>
  </si>
  <si>
    <t>glyphline</t>
  </si>
  <si>
    <t>gl_opfer</t>
  </si>
  <si>
    <t>prose</t>
  </si>
  <si>
    <t>Übersetzung</t>
  </si>
  <si>
    <t>table</t>
  </si>
  <si>
    <t>Aufbau</t>
  </si>
  <si>
    <t>tb_opfer_aufbau</t>
  </si>
  <si>
    <t>Kommentare</t>
  </si>
  <si>
    <t>glyphvariants</t>
  </si>
  <si>
    <t>Schreibvarianten</t>
  </si>
  <si>
    <t>gl_opfer_var</t>
  </si>
  <si>
    <t>Literatur</t>
  </si>
  <si>
    <t>row</t>
  </si>
  <si>
    <t>col</t>
  </si>
  <si>
    <t>value</t>
  </si>
  <si>
    <t>Transkription</t>
  </si>
  <si>
    <t>WB</t>
  </si>
  <si>
    <t>Kommentar</t>
  </si>
  <si>
    <t>line_id</t>
  </si>
  <si>
    <t>seq</t>
  </si>
  <si>
    <t>kind</t>
  </si>
  <si>
    <t>text</t>
  </si>
  <si>
    <t>badge</t>
  </si>
  <si>
    <t>glyph</t>
  </si>
  <si>
    <t>Gottheit</t>
  </si>
  <si>
    <t>Gaben</t>
  </si>
  <si>
    <t>Person</t>
  </si>
  <si>
    <t>section</t>
  </si>
  <si>
    <t>collapsible</t>
  </si>
  <si>
    <t>intro</t>
  </si>
  <si>
    <t>FALSE</t>
  </si>
  <si>
    <t>det</t>
  </si>
  <si>
    <t>Typische Determinative</t>
  </si>
  <si>
    <t>tb_gott_det</t>
  </si>
  <si>
    <t>big</t>
  </si>
  <si>
    <t>Göttertabellen</t>
  </si>
  <si>
    <t>tb_gott_big</t>
  </si>
  <si>
    <t>TRUE</t>
  </si>
  <si>
    <t>f_denkm</t>
  </si>
  <si>
    <t>f_hymnus</t>
  </si>
  <si>
    <t>f_koenig-gottheit</t>
  </si>
  <si>
    <t>f_koenigsinschr</t>
  </si>
  <si>
    <t>f_beischrift</t>
  </si>
  <si>
    <t>f_saitenformel</t>
  </si>
  <si>
    <t>f_anruf-lebenden</t>
  </si>
  <si>
    <t>pages/formeln/denkmaelerformel</t>
  </si>
  <si>
    <t>pages/formeln/hymnus</t>
  </si>
  <si>
    <t>pages/formeln/koenig-geliebt-von-gottheit-formel</t>
  </si>
  <si>
    <t>pages/formeln/koenigsinschrift</t>
  </si>
  <si>
    <t>pages/formeln/beischrift</t>
  </si>
  <si>
    <t>pages/formeln/saiten-formel</t>
  </si>
  <si>
    <t>pages/formeln/anruf-an-die-lebenden</t>
  </si>
  <si>
    <t>s_gaben</t>
  </si>
  <si>
    <t>s_person</t>
  </si>
  <si>
    <t>s_koenig</t>
  </si>
  <si>
    <t>pages/slots/gaben</t>
  </si>
  <si>
    <t>pages/slots/person</t>
  </si>
  <si>
    <t>pages/slots/koenig</t>
  </si>
  <si>
    <t>Ein Opfer, das der König [Gottheit] gibt. Er/sie möge(n) geben ein Anrufungsopfer bestehend aus [Gaben] für / für den Ka des/der [Person]</t>
  </si>
  <si>
    <t>Ein Opfer, das der König gibt</t>
  </si>
  <si>
    <t>häufige Schreibung; ab 19. Dyn. auch mit „n“ vor Gottheit geschrieben</t>
  </si>
  <si>
    <t>Er/Sie (Sg. &amp; Pl.) möge(n) geben</t>
  </si>
  <si>
    <t>*n / n kꜣ n*</t>
  </si>
  <si>
    <t>für / für den Ka des/der</t>
  </si>
  <si>
    <t>glyph_path</t>
  </si>
  <si>
    <t>group</t>
  </si>
  <si>
    <t>main</t>
  </si>
  <si>
    <t>br</t>
  </si>
  <si>
    <t>var1</t>
  </si>
  <si>
    <t>var2</t>
  </si>
  <si>
    <t>*n* / *n kꜣ n*</t>
  </si>
  <si>
    <t>var3</t>
  </si>
  <si>
    <t>href</t>
  </si>
  <si>
    <t>../slots/gottheit.qmd</t>
  </si>
  <si>
    <t>../slots/gaben.qmd</t>
  </si>
  <si>
    <t>../slots/person.qmd</t>
  </si>
  <si>
    <t xml:space="preserve"> Beide Bestandteile sind nicht verpflichtend. Ein Gott kann nur durch seinen Namen, durch sein Epitheton, seine Epitheta oder durch eine Kombination dieser Möglichkeiten genannt werden.</t>
  </si>
  <si>
    <t>Gottesname + Epitheton/-a</t>
  </si>
  <si>
    <t>männlich</t>
  </si>
  <si>
    <t>weiblich</t>
  </si>
  <si>
    <t>02_Slots/Gottheit/Determinative_typisch/02_f/</t>
  </si>
  <si>
    <t>Hieroglyphen</t>
  </si>
  <si>
    <t>Spezifische Determinative</t>
  </si>
  <si>
    <t>Name</t>
  </si>
  <si>
    <t>Spezifische Epitheta</t>
  </si>
  <si>
    <t>02_Slots/Gottheit/Determinative_typisch/01_m/</t>
  </si>
  <si>
    <t>det/</t>
  </si>
  <si>
    <t>Amun</t>
  </si>
  <si>
    <t>.png</t>
  </si>
  <si>
    <t>0001_A40_01</t>
  </si>
  <si>
    <t>0010_G7_01</t>
  </si>
  <si>
    <t>0020_R8_01</t>
  </si>
  <si>
    <t>0001_B7_01</t>
  </si>
  <si>
    <t>0010_I64_01</t>
  </si>
  <si>
    <t>0020_H8_01</t>
  </si>
  <si>
    <t>0030_H8_02</t>
  </si>
  <si>
    <t>0001_Jmn_01</t>
  </si>
  <si>
    <t>0001_Jmn_det_01</t>
  </si>
  <si>
    <t>0010_Jmn_GR_01</t>
  </si>
  <si>
    <t>0020_Jmn_GR_02</t>
  </si>
  <si>
    <t>epitheta/01_m-jp.t/</t>
  </si>
  <si>
    <t>0001_Jmn-Ra_01</t>
  </si>
  <si>
    <t>Amun-Re</t>
  </si>
  <si>
    <t>Amun-Re-Harachte</t>
  </si>
  <si>
    <t>Amset</t>
  </si>
  <si>
    <t>Onuris</t>
  </si>
  <si>
    <t>Anubis</t>
  </si>
  <si>
    <t>Atum</t>
  </si>
  <si>
    <t>Aton</t>
  </si>
  <si>
    <t>Wepwaut</t>
  </si>
  <si>
    <t>Osiris</t>
  </si>
  <si>
    <t>Bastet</t>
  </si>
  <si>
    <t>Behedeti</t>
  </si>
  <si>
    <t>Götterneunheit</t>
  </si>
  <si>
    <t>Ptah</t>
  </si>
  <si>
    <t>Maat</t>
  </si>
  <si>
    <t>Min</t>
  </si>
  <si>
    <t>Mut</t>
  </si>
  <si>
    <t>Month</t>
  </si>
  <si>
    <t>Neith</t>
  </si>
  <si>
    <t>Nut</t>
  </si>
  <si>
    <t>Nephthys</t>
  </si>
  <si>
    <t>Nefertem</t>
  </si>
  <si>
    <t>Nechbet</t>
  </si>
  <si>
    <t>Re</t>
  </si>
  <si>
    <t>Re-Harachte</t>
  </si>
  <si>
    <t>Renenutet</t>
  </si>
  <si>
    <t>Hapi (Nilgott)</t>
  </si>
  <si>
    <t>Hathor</t>
  </si>
  <si>
    <t>Apis</t>
  </si>
  <si>
    <t>Hapi (Horussohn)</t>
  </si>
  <si>
    <t>Horus</t>
  </si>
  <si>
    <t>Harachte</t>
  </si>
  <si>
    <t>Heqet</t>
  </si>
  <si>
    <t>Chnum</t>
  </si>
  <si>
    <t>Chons</t>
  </si>
  <si>
    <t>Sobek</t>
  </si>
  <si>
    <t>Selkis</t>
  </si>
  <si>
    <t>Sachmet</t>
  </si>
  <si>
    <t>Sokar</t>
  </si>
  <si>
    <t>Isis</t>
  </si>
  <si>
    <t>Seth</t>
  </si>
  <si>
    <t>Schu</t>
  </si>
  <si>
    <t>Qebehsenuef</t>
  </si>
  <si>
    <t>Duamutef</t>
  </si>
  <si>
    <t>Thot</t>
  </si>
  <si>
    <t>collapsible-heading</t>
  </si>
  <si>
    <t>Öffne Göttertabellen</t>
  </si>
  <si>
    <t>*m jp.t*</t>
  </si>
  <si>
    <t>(Amun) in Luxor</t>
  </si>
  <si>
    <t>*imn-rꜥ*</t>
  </si>
  <si>
    <t>*imn*</t>
  </si>
  <si>
    <t>*ḥtp-di-nsw (n)*</t>
  </si>
  <si>
    <t>*di⸗f / ⸗s / ⸗sn pr.t-ḫrw*</t>
  </si>
  <si>
    <t>*ḥtp-di-nsw*</t>
  </si>
  <si>
    <t>(*di*)</t>
  </si>
  <si>
    <t>*di⸗f* / *⸗s* / *⸗sn*</t>
  </si>
  <si>
    <t>[Person] NN = Verstorbene(r)</t>
  </si>
  <si>
    <t>III: 186–187</t>
  </si>
  <si>
    <t>III: 186</t>
  </si>
  <si>
    <t>Übliche Form</t>
  </si>
  <si>
    <t>Anfangsformel</t>
  </si>
  <si>
    <t>*pr.t-ḫrw*</t>
  </si>
  <si>
    <t>ein Anrufungsopfer bestehend aus</t>
  </si>
  <si>
    <t>0001_pr.t-xrw_01</t>
  </si>
  <si>
    <t>Determinativ</t>
  </si>
  <si>
    <t>0010_pr.t-xrw_02</t>
  </si>
  <si>
    <t>0020_pr.t-xrw_AR_01</t>
  </si>
  <si>
    <t>0001_pr.t-xrw_det_01</t>
  </si>
  <si>
    <t>tb_aufzaehl</t>
  </si>
  <si>
    <t>tb_attribut</t>
  </si>
  <si>
    <t>tb_schlussf</t>
  </si>
  <si>
    <t>tb_anfangs</t>
  </si>
  <si>
    <t>*ḥnq.t*</t>
  </si>
  <si>
    <t>Bier</t>
  </si>
  <si>
    <t>0001_Hnq.t_01</t>
  </si>
  <si>
    <t>0010_Hnq.t_GR_01</t>
  </si>
  <si>
    <t>0020_Hnq.t_Abk_01</t>
  </si>
  <si>
    <t>0001_Hnq.t_det_01</t>
  </si>
  <si>
    <t>0010_Hnq.t_det_02</t>
  </si>
  <si>
    <t>0001_t_01</t>
  </si>
  <si>
    <t>0010_t_Abk_01</t>
  </si>
  <si>
    <t>0001_t_det_01</t>
  </si>
  <si>
    <t>0010_t_det_02</t>
  </si>
  <si>
    <t>0020_t_det_03</t>
  </si>
  <si>
    <t>0030_t_det_04</t>
  </si>
  <si>
    <t>*t*</t>
  </si>
  <si>
    <t>Brot</t>
  </si>
  <si>
    <t>0001_Apd_01</t>
  </si>
  <si>
    <t>0010_Apd_Abk_01</t>
  </si>
  <si>
    <t>0020_Apd_Abk_02</t>
  </si>
  <si>
    <t>0001_Apd_det_01</t>
  </si>
  <si>
    <t>*ꜣpd*</t>
  </si>
  <si>
    <t>Geflügel</t>
  </si>
  <si>
    <t>Rinder</t>
  </si>
  <si>
    <t>*kꜣ*</t>
  </si>
  <si>
    <t>0001_kA_01</t>
  </si>
  <si>
    <t>0010_kA_MR_03</t>
  </si>
  <si>
    <t>0020_kA_NR_01</t>
  </si>
  <si>
    <t>0030_kA_NR_02</t>
  </si>
  <si>
    <t>0040_kA_Abk_01</t>
  </si>
  <si>
    <t>0001_kA_det_01</t>
  </si>
  <si>
    <t>*šs*</t>
  </si>
  <si>
    <t>Alabaster</t>
  </si>
  <si>
    <t>0010_Ss_Abk_01</t>
  </si>
  <si>
    <t>0020_Ss_Abk_MR_01</t>
  </si>
  <si>
    <t>0001_Ss_det_01</t>
  </si>
  <si>
    <t>0001_Ss_AR-MR_01</t>
  </si>
  <si>
    <t>*mnḫ.t*</t>
  </si>
  <si>
    <t>Leinen</t>
  </si>
  <si>
    <t>0001_mnx.t_01</t>
  </si>
  <si>
    <t>0010_mnx.t_NR_01</t>
  </si>
  <si>
    <t>0030_mnx.t_Abk_01</t>
  </si>
  <si>
    <t>0040_mnx.t_Abk_NR_02</t>
  </si>
  <si>
    <t>0050_mnx.t_Abk_GR_01</t>
  </si>
  <si>
    <t>0060_mnx.t_Abk_GR_02</t>
  </si>
  <si>
    <t>0001_mnx.t_det_01</t>
  </si>
  <si>
    <t>0010_mnx.t_det_02</t>
  </si>
  <si>
    <t>0020_mnx.t_det_NR_01</t>
  </si>
  <si>
    <t>0030_mnx.t_det_NR_02</t>
  </si>
  <si>
    <t>0001_mrH.t_01</t>
  </si>
  <si>
    <t>0010_mrH.t_Abk_01</t>
  </si>
  <si>
    <t>0020_mrH.t_Abk_02</t>
  </si>
  <si>
    <t>0001_mrH.t_det_01</t>
  </si>
  <si>
    <t>0010_mrH.t_det_02</t>
  </si>
  <si>
    <t>0020_mrH.t_det_03</t>
  </si>
  <si>
    <t>*mrḥ.t*</t>
  </si>
  <si>
    <t>Salböl</t>
  </si>
  <si>
    <t>02_Slots/Gaben/0001_Anrufungsopfer-Totenopfer/</t>
  </si>
  <si>
    <t>02_Slots/Gaben/0010_Bier/</t>
  </si>
  <si>
    <t>02_Slots/Gaben/0020_Brot/</t>
  </si>
  <si>
    <t>02_Slots/Gaben/0030_Gefluegel/</t>
  </si>
  <si>
    <t>02_Slots/Gaben/0040_Rinder/</t>
  </si>
  <si>
    <t>02_Slots/Gaben/0050_Alabaster/</t>
  </si>
  <si>
    <t>02_Slots/Gaben/0060_Leinen/</t>
  </si>
  <si>
    <t>02_Slots/Gaben/0070_Salboel/</t>
  </si>
  <si>
    <t>*snṯr*</t>
  </si>
  <si>
    <t>02_Slots/Gaben/0080_Weihrauch/</t>
  </si>
  <si>
    <t>0001_snTr_01</t>
  </si>
  <si>
    <t>0010_snTr_AR_01</t>
  </si>
  <si>
    <t>0020_snTr_AR_02</t>
  </si>
  <si>
    <t>0030_snTr_AR_03</t>
  </si>
  <si>
    <t>0050_snTr_MR_01</t>
  </si>
  <si>
    <t>0060_snTr_MR_02</t>
  </si>
  <si>
    <t>0070_snTr_MR_03</t>
  </si>
  <si>
    <t>0080_snTr_D.18_01</t>
  </si>
  <si>
    <t>0090_snTr_D.19_01</t>
  </si>
  <si>
    <t>0100_snTr_Abk_01</t>
  </si>
  <si>
    <t>0120_snTr_Abk_03</t>
  </si>
  <si>
    <t>Abkürzung</t>
  </si>
  <si>
    <t>0001_snTr_det_01</t>
  </si>
  <si>
    <t>0010_snTr_det_02</t>
  </si>
  <si>
    <t>0020_snTr_det_03</t>
  </si>
  <si>
    <t>0030_snTr_det_MR_01</t>
  </si>
  <si>
    <t>0040_snTr_Ende-AR_01</t>
  </si>
  <si>
    <t>Weihrauch</t>
  </si>
  <si>
    <t>*irp*</t>
  </si>
  <si>
    <t>02_Slots/Gaben/0090_Wein/</t>
  </si>
  <si>
    <t>0001_jrp_01</t>
  </si>
  <si>
    <t>0010_jrp_Abk_01</t>
  </si>
  <si>
    <t>0020_jrp_Abk_02</t>
  </si>
  <si>
    <t>0030_jrp_Abk_NR_01</t>
  </si>
  <si>
    <t>0001_jrp_det_01</t>
  </si>
  <si>
    <t>0010_jrp_det_AR_01</t>
  </si>
  <si>
    <t>Wein</t>
  </si>
  <si>
    <t>tausend an</t>
  </si>
  <si>
    <t>02_Slots/Gaben/0100_tausend-an/</t>
  </si>
  <si>
    <t>0001_xA-m-n_01</t>
  </si>
  <si>
    <t>02_Slots/Gaben/0110_was-der-Himmel-gibt/</t>
  </si>
  <si>
    <t>*dd.t p.t*</t>
  </si>
  <si>
    <t>was der Himmel gibt</t>
  </si>
  <si>
    <t>0001_dd.t-p.t_01</t>
  </si>
  <si>
    <t>*qmꜣ.t tꜣ*</t>
  </si>
  <si>
    <t>was die Erde hervorbringt</t>
  </si>
  <si>
    <t>02_Slots/Gaben/0120_was-die-Erde-hervorbringt/</t>
  </si>
  <si>
    <t>0001_qmA.t-tA_01</t>
  </si>
  <si>
    <t>0010_qmA.t-tA_02</t>
  </si>
  <si>
    <t>was der Nil bringt</t>
  </si>
  <si>
    <t>02_Slots/Gaben/0130_was-der-Nil-bringt/</t>
  </si>
  <si>
    <t>*inn.t ḥꜥpy*</t>
  </si>
  <si>
    <t>0001_jnn.t-Hapy_01</t>
  </si>
  <si>
    <t>0010_jnn.t-Hapy_02</t>
  </si>
  <si>
    <t>02_Slots/Gaben/0140_wovon-ein-Gott-lebt/</t>
  </si>
  <si>
    <t>0001_anx.t-nTr-jm_01</t>
  </si>
  <si>
    <t>*ꜥnḫ.t nṯr im*</t>
  </si>
  <si>
    <t>02_Slots/Gaben/0150_wovon-die-Ach-Geister/</t>
  </si>
  <si>
    <t>0001_mrr.t-Ax.w-wnm-jm_01</t>
  </si>
  <si>
    <t>*mrr.t ꜣḫ.w wnm im*</t>
  </si>
  <si>
    <t>wovon ein Gott lebt</t>
  </si>
  <si>
    <t>wovon die Ach-Geister sich zu ernähren lieben</t>
  </si>
  <si>
    <t>*(i)ḫ.t nb.t nfr.t wꜥb.t*</t>
  </si>
  <si>
    <t>02_Slots/Gaben/0160_Alles/</t>
  </si>
  <si>
    <t>alle schönen reinen Dinge</t>
  </si>
  <si>
    <t>0001_(j)x.t-nb.t-nfr.t-wab.t_01</t>
  </si>
  <si>
    <t>0010_(j)x.t-nb.t-nfr.t-wab.t_02</t>
  </si>
  <si>
    <t>0020_(j)x.t-nb.t_01</t>
  </si>
  <si>
    <t>Denkmälerformel</t>
  </si>
  <si>
    <t>id</t>
  </si>
  <si>
    <t>gl_denkm</t>
  </si>
  <si>
    <t>König</t>
  </si>
  <si>
    <t>../slots/koenig.qmd</t>
  </si>
  <si>
    <t>/</t>
  </si>
  <si>
    <t>*ir.n⸗f mnw⸗f*</t>
  </si>
  <si>
    <t>01_Textgattung/01_Opferformel/</t>
  </si>
  <si>
    <t>01_Textgattung/02_Denkmaelerformel/</t>
  </si>
  <si>
    <t>01_Htp-dj-nsw/</t>
  </si>
  <si>
    <t>02_dj/</t>
  </si>
  <si>
    <t>03_n-kA-n/</t>
  </si>
  <si>
    <t>0010_Htp-dj-nsw_AR-MR_01</t>
  </si>
  <si>
    <t>0001_dj_01</t>
  </si>
  <si>
    <t>0001_n-kA-n_01</t>
  </si>
  <si>
    <t>0020_Htp-dj-nsw n_Ende-NR_01</t>
  </si>
  <si>
    <t>0030_Htp-dj-nsw_NR-Spaet._01</t>
  </si>
  <si>
    <t>0040_Htp-dj-nsw_AR-MR-Gott-N-di_01</t>
  </si>
  <si>
    <t>0050_Htp-dj-nsw_AR-MR-Gott-N-Htp-dj_01</t>
  </si>
  <si>
    <t>0060_Htp-dj-nsw_AR-MR-Gott-N-Htp_01</t>
  </si>
  <si>
    <t>0010_dj=f_01</t>
  </si>
  <si>
    <t>0020_dj=s_01</t>
  </si>
  <si>
    <t>0030_dj=sn_01</t>
  </si>
  <si>
    <t>0010_n-kA -n_02</t>
  </si>
  <si>
    <t>01_jrj.n=f-m-mn.w=f/</t>
  </si>
  <si>
    <t>0001_jrj.n=f m mn.w=f_01</t>
  </si>
  <si>
    <t>tb_denkm_aufbau</t>
  </si>
  <si>
    <t>II: 70</t>
  </si>
  <si>
    <t>Grallert, Silke 2001. Bauen - Stiften - Weihen: ägyptische Bau- und Restaurierungsinschriften von den Anfängen bis zur 30. Dynastie. Abhandlungen des Deutschen Archäologischen Instituts Kairo, Ägyptologische Reihe 18. Berlin: Achet.</t>
  </si>
  <si>
    <t>gl_denkm_var</t>
  </si>
  <si>
    <t>0010_jrj.n=f m mn.w=f n jt=f_01</t>
  </si>
  <si>
    <t>0020_jrj.n=f m mn.w=f n mw.t=f_01</t>
  </si>
  <si>
    <t>0030_jrj.n=f mn.w n_01</t>
  </si>
  <si>
    <t>0040_jrj.n=f mn.w=f n_01</t>
  </si>
  <si>
    <t>0050_jrj.n=f mn.w=f_01</t>
  </si>
  <si>
    <t>0060_jr.t n=f_01</t>
  </si>
  <si>
    <t>Hymnus</t>
  </si>
  <si>
    <t>gl_hymnus</t>
  </si>
  <si>
    <t>Verehren/Anbeten [Gottheit] NN, Lobpreis geben den/der [Gottheit] NN, den Boden küssen für [Gottheit] NN von [Person] NN – er sagt: Lobpreis dir/euch, sei gegrüßt/gegrüßst seist du ...</t>
  </si>
  <si>
    <t>*dwꜣ*</t>
  </si>
  <si>
    <t>0001_dwA_01</t>
  </si>
  <si>
    <t>01_dwA/</t>
  </si>
  <si>
    <t>02_rDj.t-jAw/</t>
  </si>
  <si>
    <t>0001_rDj.t-jAw_01</t>
  </si>
  <si>
    <t>*rdi.t iꜣw*</t>
  </si>
  <si>
    <t>03_sn-tA-n/</t>
  </si>
  <si>
    <t>0001_sn-tA-n_01</t>
  </si>
  <si>
    <t>*sn tꜣ n*</t>
  </si>
  <si>
    <t>*in*</t>
  </si>
  <si>
    <t>04_jn/</t>
  </si>
  <si>
    <t>0001_jn_01</t>
  </si>
  <si>
    <t>*ḏd⸗f*</t>
  </si>
  <si>
    <t>05_Dd=f/</t>
  </si>
  <si>
    <t>0001_Dd=f_01</t>
  </si>
  <si>
    <t>06_jnD-Hr/</t>
  </si>
  <si>
    <t>0001_jnD-Hr_01</t>
  </si>
  <si>
    <t>Überschrift</t>
  </si>
  <si>
    <t>tb_person_titel</t>
  </si>
  <si>
    <t>01_jmj-rA_01</t>
  </si>
  <si>
    <t>01_jmj-rA_02</t>
  </si>
  <si>
    <t>*imi-rꜣ*</t>
  </si>
  <si>
    <t>02_Slots/Titel/</t>
  </si>
  <si>
    <t>Vorsteher</t>
  </si>
  <si>
    <t>Oberer</t>
  </si>
  <si>
    <t>*ḥry*</t>
  </si>
  <si>
    <t>*imꜣḫ*</t>
  </si>
  <si>
    <t>Ehrwürdiger / Versorgter</t>
  </si>
  <si>
    <t>03_jmAx_01</t>
  </si>
  <si>
    <t>03_jmAx_02</t>
  </si>
  <si>
    <t>03_jmAx_03</t>
  </si>
  <si>
    <t>03_jmAx_04</t>
  </si>
  <si>
    <t>02_Hry_MR_01</t>
  </si>
  <si>
    <t>03_jmAx_MR_01</t>
  </si>
  <si>
    <t>*nb imꜣḫ*</t>
  </si>
  <si>
    <t>Herr der Erwürdigkeit</t>
  </si>
  <si>
    <t>05_wsjr_01</t>
  </si>
  <si>
    <t>05_wsjr_02</t>
  </si>
  <si>
    <t>05_wsjr_03</t>
  </si>
  <si>
    <t>*wsir*</t>
  </si>
  <si>
    <t>04_nb-jmAx_01</t>
  </si>
  <si>
    <t>Allgemein:</t>
  </si>
  <si>
    <t>weiblich:</t>
  </si>
  <si>
    <t>tb_person_titel_weiblich</t>
  </si>
  <si>
    <t>f/</t>
  </si>
  <si>
    <t>01_nb.t-pr_01</t>
  </si>
  <si>
    <t>*nb.t pr*</t>
  </si>
  <si>
    <t>Herrin des Hauses</t>
  </si>
  <si>
    <t>02_Hm.t-nTr-Hw.t-Hr_AR_01</t>
  </si>
  <si>
    <t>*ḥm.t-nṯr ḥw.t-ḥr*</t>
  </si>
  <si>
    <t>Priesterin der Hathor</t>
  </si>
  <si>
    <t>02_Hw.t-Hr_Roem._01</t>
  </si>
  <si>
    <t>*ḥw.t-ḥr*</t>
  </si>
  <si>
    <t>03_Smay.t-jmn_NR-3.Zw.Zt._01</t>
  </si>
  <si>
    <t>*šmꜥy.t-imn*</t>
  </si>
  <si>
    <t>Sängerin des Amun</t>
  </si>
  <si>
    <t>wichtiges Bildungsmuster für weibliche Namen:</t>
  </si>
  <si>
    <t>02_Slots/Personennamen/Namen/f/</t>
  </si>
  <si>
    <t>01_tA-dj-Gottheit/</t>
  </si>
  <si>
    <t>01_tA-dj_01</t>
  </si>
  <si>
    <t>01_tA-dj_02</t>
  </si>
  <si>
    <t>wichtiges Bildungsmuster für männliche Namen:</t>
  </si>
  <si>
    <t>02_Slots/Personennamen/Namen/m/</t>
  </si>
  <si>
    <t>01_pA-dj_01</t>
  </si>
  <si>
    <t>01_pA-dj_02</t>
  </si>
  <si>
    <t>tb_person_det</t>
  </si>
  <si>
    <t>02_Slots/Personennamen/Determinative/</t>
  </si>
  <si>
    <t>m/</t>
  </si>
  <si>
    <t>01_B1_01</t>
  </si>
  <si>
    <t>02_B1G_01</t>
  </si>
  <si>
    <t>03_B8_01</t>
  </si>
  <si>
    <t>01_A1_01</t>
  </si>
  <si>
    <t>02_A52_01</t>
  </si>
  <si>
    <t>tb_person_epith</t>
  </si>
  <si>
    <t>*mꜣꜥ-ḫrw*</t>
  </si>
  <si>
    <t>Gerechtfertigter</t>
  </si>
  <si>
    <t>02_Slots/Menschenepitheta/</t>
  </si>
  <si>
    <t>03_mAa-xrw_01</t>
  </si>
  <si>
    <t>03_mAa-xrw_02</t>
  </si>
  <si>
    <t>03_mAa-xrw_03</t>
  </si>
  <si>
    <t>03_mAa-xrw_NR_01</t>
  </si>
  <si>
    <t>03_mAa-xrw_Spaet._01</t>
  </si>
  <si>
    <t>03_mAa-xrw_Spaet._02</t>
  </si>
  <si>
    <t>01_pA-dj-Gottheit/</t>
  </si>
  <si>
    <t>König-geliebt-von-Gottheit-Formel</t>
  </si>
  <si>
    <t>gl_koenig-gottheit</t>
  </si>
  <si>
    <t>*mry*</t>
  </si>
  <si>
    <t>01_Textgattung/03_Hymnus/</t>
  </si>
  <si>
    <t>0001_mry_01</t>
  </si>
  <si>
    <t>01_mry/</t>
  </si>
  <si>
    <t>gl_koenig-gottheit_var</t>
  </si>
  <si>
    <t>0010_mry_02</t>
  </si>
  <si>
    <t>0020_mry_03</t>
  </si>
  <si>
    <t>0030_mry_04</t>
  </si>
  <si>
    <t>0040_mry_05</t>
  </si>
  <si>
    <t>0050_mry_AR_02</t>
  </si>
  <si>
    <t>01_Textgattung/04_Koenig-geliebt-von-Gottheit-Formel/</t>
  </si>
  <si>
    <t>„Historische“ Königsinschrift</t>
  </si>
  <si>
    <t>gl_koenigsinschr</t>
  </si>
  <si>
    <t>gl_koenigsinschr_var</t>
  </si>
  <si>
    <t>../slots/datum.qmd</t>
  </si>
  <si>
    <t>s_datum</t>
  </si>
  <si>
    <t>pages/slots/datum</t>
  </si>
  <si>
    <t>01_Textgattung/05_Historische-Koenigsinschrift/</t>
  </si>
  <si>
    <t>01_xr-Hm-n/</t>
  </si>
  <si>
    <t>*ḫr ḥm n*</t>
  </si>
  <si>
    <t>0001_xr Hm n_01</t>
  </si>
  <si>
    <t>02_Slots/Koenig/</t>
  </si>
  <si>
    <t>*[ḫr] ḥm n*</t>
  </si>
  <si>
    <t>0010_xr Hm n_02</t>
  </si>
  <si>
    <t>0020_Hm n_01</t>
  </si>
  <si>
    <t>0030_Hm n_02</t>
  </si>
  <si>
    <t>Datum</t>
  </si>
  <si>
    <t>Tag</t>
  </si>
  <si>
    <t>02_Slots/Datum/</t>
  </si>
  <si>
    <t>01_Jahr/</t>
  </si>
  <si>
    <t>Regierungsjahr</t>
  </si>
  <si>
    <t>02_Monat/</t>
  </si>
  <si>
    <t>0010_tpy_01</t>
  </si>
  <si>
    <t>*ꜣḫ.t*</t>
  </si>
  <si>
    <t>Überschwemmungszeit</t>
  </si>
  <si>
    <t>*pr.t*</t>
  </si>
  <si>
    <t>Winter</t>
  </si>
  <si>
    <t>Sommer</t>
  </si>
  <si>
    <t>*sw*</t>
  </si>
  <si>
    <t>tb_koenig_titulatur</t>
  </si>
  <si>
    <t>Bezeichnung</t>
  </si>
  <si>
    <t>Horusname</t>
  </si>
  <si>
    <t>*ḥr*</t>
  </si>
  <si>
    <t>III: 124</t>
  </si>
  <si>
    <t>Herrinnenname</t>
  </si>
  <si>
    <t>Goldhorusname</t>
  </si>
  <si>
    <t>Thronname</t>
  </si>
  <si>
    <t>Eigenname</t>
  </si>
  <si>
    <t>*nb.ty*</t>
  </si>
  <si>
    <t>*sꜣ rꜥ*</t>
  </si>
  <si>
    <t>II: 233</t>
  </si>
  <si>
    <t>II: 240; I: 445</t>
  </si>
  <si>
    <t>Umschrift und Übersetzung konventionell</t>
  </si>
  <si>
    <t>II: 330</t>
  </si>
  <si>
    <t>III: 440</t>
  </si>
  <si>
    <t>siehe: Beckerath, Jürgen von 1999. Handbuch der ägyptischen Königsnamen. Münchner Ägyptologische Studien 49; Münchener Universitätsschriften, Philosophische Fakultät für Geschichts- und Kunstwissenschaften. Mainz: Philipp von Zabern.</t>
  </si>
  <si>
    <t>tb_koenig_epitheta</t>
  </si>
  <si>
    <t>*ḥm*</t>
  </si>
  <si>
    <t>Majestät</t>
  </si>
  <si>
    <t>*nb tꜣ.wi*</t>
  </si>
  <si>
    <t>Herr der beiden Länder</t>
  </si>
  <si>
    <t>vollkommender Gott</t>
  </si>
  <si>
    <t>Beter</t>
  </si>
  <si>
    <t>tb_hymnus_beter</t>
  </si>
  <si>
    <t>von / durch [Person] NN</t>
  </si>
  <si>
    <t>er sagt</t>
  </si>
  <si>
    <t>Hauptteil</t>
  </si>
  <si>
    <t>tb_hymnus_hauptteil</t>
  </si>
  <si>
    <t>Lobpreis dir / euch; sei(d) gegrüßt / gegrüßst seist/d du / ihr [Gottheit] NN</t>
  </si>
  <si>
    <t>*inḏ-ḥr⸗k* / *⸗ṯ* / *⸗ṯn*</t>
  </si>
  <si>
    <t>Beischrift</t>
  </si>
  <si>
    <t>Beziehung</t>
  </si>
  <si>
    <t>gl_beischrift</t>
  </si>
  <si>
    <t>Wörtliche Rede</t>
  </si>
  <si>
    <t>s_wortlRede</t>
  </si>
  <si>
    <t>pages/slots/wortlRede</t>
  </si>
  <si>
    <t>../slots/wortlRede.qmd</t>
  </si>
  <si>
    <t>Rückenschutzformel</t>
  </si>
  <si>
    <t>Name des dargestellten Wesens:</t>
  </si>
  <si>
    <t>Sonstiges</t>
  </si>
  <si>
    <t>tb_wortlRede_aufbau</t>
  </si>
  <si>
    <t>*ḏd-mdw in*</t>
  </si>
  <si>
    <t>*ḫri(⸗i)*</t>
  </si>
  <si>
    <t>Worte zu sprechen durch</t>
  </si>
  <si>
    <t>Ich habe dir gegeben</t>
  </si>
  <si>
    <t>das bei mir ist</t>
  </si>
  <si>
    <t>II: 180</t>
  </si>
  <si>
    <t>II: 465</t>
  </si>
  <si>
    <t>II: 318</t>
  </si>
  <si>
    <t>Teil 1: wörtliche Rede</t>
  </si>
  <si>
    <t>Teil 2: häufig Gott zu König</t>
  </si>
  <si>
    <t>Szenentitel</t>
  </si>
  <si>
    <t>*imsti*</t>
  </si>
  <si>
    <t>0001_jmstj_01</t>
  </si>
  <si>
    <t>0010_jmstj_02</t>
  </si>
  <si>
    <t>0020_jmstj_03</t>
  </si>
  <si>
    <t>0030_jmstj_AR_01</t>
  </si>
  <si>
    <t>0040_jmstj_MR_01</t>
  </si>
  <si>
    <t>0050_jmstj_NR_01</t>
  </si>
  <si>
    <t>0060_jmstj_NR_02</t>
  </si>
  <si>
    <t>*ini-ḥr.t*</t>
  </si>
  <si>
    <t>0001_jnj-Hr.t_01</t>
  </si>
  <si>
    <t>0010_jnj-Hr.t_02</t>
  </si>
  <si>
    <t>0020_jnj-Hr.t_03</t>
  </si>
  <si>
    <t>0030_jnj-Hr.t_04</t>
  </si>
  <si>
    <t>0040_jnj-Hr.t_05</t>
  </si>
  <si>
    <t>0050_jnj-Hr.t_NR_01</t>
  </si>
  <si>
    <t>*inpw*</t>
  </si>
  <si>
    <t>0001_Jnpw_01</t>
  </si>
  <si>
    <t>0010_Jnpw_02</t>
  </si>
  <si>
    <t>0020_Jnpw_03</t>
  </si>
  <si>
    <t>0030_Jnpw_04</t>
  </si>
  <si>
    <t>0040_Jnpw_sp_01</t>
  </si>
  <si>
    <t>0001_Jnpw_det_01</t>
  </si>
  <si>
    <t>tb_epith_amun_001</t>
  </si>
  <si>
    <t>tb_epith_anubis_001</t>
  </si>
  <si>
    <t>epitheta/01_jmj-wt/</t>
  </si>
  <si>
    <t>0001_jmj-wt_01</t>
  </si>
  <si>
    <t>0010_jmj-wt_02</t>
  </si>
  <si>
    <t>0020_jmj-wt_AR_01</t>
  </si>
  <si>
    <t>0030_jmj-wt_AR_02</t>
  </si>
  <si>
    <t>Imiut</t>
  </si>
  <si>
    <t>*imi-wt*</t>
  </si>
  <si>
    <t>epitheta/02_nb-tA-Dsr/</t>
  </si>
  <si>
    <t>0001_nb-tA-Dsr_01</t>
  </si>
  <si>
    <t>*nb tꜣ ḏsr*</t>
  </si>
  <si>
    <t>Herr des heiligen Landes</t>
  </si>
  <si>
    <t>*tpi ḏw⸗f*</t>
  </si>
  <si>
    <t>der auf seinem Berg</t>
  </si>
  <si>
    <t>epitheta/03_tp.j-Dw=f/</t>
  </si>
  <si>
    <t>0001_tp.j-Dw=f_01</t>
  </si>
  <si>
    <t>0010_tp.j-Dw=f_02</t>
  </si>
  <si>
    <t>0020_tp.j.Dw=f_03</t>
  </si>
  <si>
    <t>0030_tp.j-Dw=f_NR_01</t>
  </si>
  <si>
    <t>*ḫnti sḥ-nṯr*</t>
  </si>
  <si>
    <t>der vor der Gotteshalle ist</t>
  </si>
  <si>
    <t>epitheta/04_xnt.j-sH-nTr/</t>
  </si>
  <si>
    <t>0001_xnt.j-sH-nTr_AR_01</t>
  </si>
  <si>
    <t>0010_xnt.j-sH-nTr_AR_02</t>
  </si>
  <si>
    <t>0020_xnt.j-sH-nTr_AR_03</t>
  </si>
  <si>
    <t>0030_xnt.j-sH-nTr_MR_01</t>
  </si>
  <si>
    <t>0040_xnt.j-sH-nTr_MR_02</t>
  </si>
  <si>
    <t>0050_xnt.j-sH-nTr_D.18_01</t>
  </si>
  <si>
    <t>0060_xnt.j-sH-nTr_GR_01</t>
  </si>
  <si>
    <t>0070_xnt.j-sH-nTr_GR_02</t>
  </si>
  <si>
    <t>0080_xnt.j-sH-nTr_GR_03</t>
  </si>
  <si>
    <t>*itm*</t>
  </si>
  <si>
    <t>0001_Jtm_01</t>
  </si>
  <si>
    <t>0010_Jtm_02</t>
  </si>
  <si>
    <t>0020_Jtm_03</t>
  </si>
  <si>
    <t>0030_Jtm_MR_01</t>
  </si>
  <si>
    <t>0040_Jtm_MR_02</t>
  </si>
  <si>
    <t>0050_Jtm_NR_01</t>
  </si>
  <si>
    <t>0060_Jtm_SP_01</t>
  </si>
  <si>
    <t>tb_epith_aton_001</t>
  </si>
  <si>
    <t>tb_epith_atum_001</t>
  </si>
  <si>
    <t>epitheta/01_jwnwy/</t>
  </si>
  <si>
    <t>0001_jwnwy_01</t>
  </si>
  <si>
    <t>*iwn.wy*</t>
  </si>
  <si>
    <t>0010_jwnwy_02</t>
  </si>
  <si>
    <t>*itn*</t>
  </si>
  <si>
    <t>0001_jtn_01</t>
  </si>
  <si>
    <t>0010_jtn_02</t>
  </si>
  <si>
    <t>0020_jtn_D.18_01</t>
  </si>
  <si>
    <t>0030_jtn_GR_01</t>
  </si>
  <si>
    <t>0040_jtn_GR_02</t>
  </si>
  <si>
    <t>0001_anx-Hr-Ax.tj-Hay-m-Ax.t_01</t>
  </si>
  <si>
    <t>0001_anx-ra-HqA-Ax.tj-Hay-m-Ax.t_01</t>
  </si>
  <si>
    <t>epitheta/06_pA-jtn-anx/</t>
  </si>
  <si>
    <t>epitheta/08_jmj-jtn=f/</t>
  </si>
  <si>
    <t>0001_pA-jtn-anx_D.18_01</t>
  </si>
  <si>
    <t>0001_jmj-jtn=f_01</t>
  </si>
  <si>
    <t>*pꜣ itn ꜥnḫ*</t>
  </si>
  <si>
    <t>*ꜥnḫ*</t>
  </si>
  <si>
    <t>*jmj itn⸗f*</t>
  </si>
  <si>
    <t>der Lebende</t>
  </si>
  <si>
    <t>0001_wpj-wA.wt_01</t>
  </si>
  <si>
    <t>0010_wpj-wA.wt_02</t>
  </si>
  <si>
    <t>0020_wpj-wA.wt_03</t>
  </si>
  <si>
    <t>0040_wpj-wA.wt_04</t>
  </si>
  <si>
    <t>*wpi-wꜣ.wt*</t>
  </si>
  <si>
    <t>der Heliopolitaner</t>
  </si>
  <si>
    <t>die lebende Sonnenscheibe</t>
  </si>
  <si>
    <t>in seiner Sonnenscheibe</t>
  </si>
  <si>
    <t>*bꜣst.t*</t>
  </si>
  <si>
    <t>*bḥd.t*</t>
  </si>
  <si>
    <t>*psḏ.t*</t>
  </si>
  <si>
    <t>*ptḥ*</t>
  </si>
  <si>
    <t>*mꜣꜥ.t*</t>
  </si>
  <si>
    <t>*mw.t*</t>
  </si>
  <si>
    <t>*mnṯw*</t>
  </si>
  <si>
    <t>*ni.t*</t>
  </si>
  <si>
    <t>*nw.t*</t>
  </si>
  <si>
    <t>*nb.t-ḥw.t*</t>
  </si>
  <si>
    <t>*nfr-tm*</t>
  </si>
  <si>
    <t>*nḫb.t*</t>
  </si>
  <si>
    <t>*rꜥ*</t>
  </si>
  <si>
    <t>*rnnwt.t*</t>
  </si>
  <si>
    <t>*ḥꜥpi*</t>
  </si>
  <si>
    <t>*ḥp*</t>
  </si>
  <si>
    <t>*ḥpy*</t>
  </si>
  <si>
    <t>*ḥr-ꜣḫ.ti*</t>
  </si>
  <si>
    <t>*ḥqt*</t>
  </si>
  <si>
    <t>*ẖnm.w*</t>
  </si>
  <si>
    <t>*sbk*</t>
  </si>
  <si>
    <t>*srq.t*</t>
  </si>
  <si>
    <t>*sḫm.t*</t>
  </si>
  <si>
    <t>*skr*</t>
  </si>
  <si>
    <t>*stẖ*</t>
  </si>
  <si>
    <t>*šw*</t>
  </si>
  <si>
    <t>*qbḥ-snw⸗f*</t>
  </si>
  <si>
    <t>*dwꜣ-mw.t⸗f*</t>
  </si>
  <si>
    <t>*ḏḥwty*</t>
  </si>
  <si>
    <t>0001_wsjr_01</t>
  </si>
  <si>
    <t>0010_wsjr_02</t>
  </si>
  <si>
    <t>0020_wsjr_03</t>
  </si>
  <si>
    <t>0030_wsjr_MR_01</t>
  </si>
  <si>
    <t>0040_wsjr_MR_02</t>
  </si>
  <si>
    <t>0050_wsjr_MR_03</t>
  </si>
  <si>
    <t>0060_wsjr_GR_01</t>
  </si>
  <si>
    <t>0070_wsjr_GR_02</t>
  </si>
  <si>
    <t>0080_wsjr_GR_03</t>
  </si>
  <si>
    <t>0090_wsjr_GR_04</t>
  </si>
  <si>
    <t>0001_wsjr_det_01</t>
  </si>
  <si>
    <t>tb_epith_osiris_001</t>
  </si>
  <si>
    <t>*nb ꜣbḏw*</t>
  </si>
  <si>
    <t>Herr von Adydos</t>
  </si>
  <si>
    <t>*nb ḏd.w*</t>
  </si>
  <si>
    <t>Herr von Busiris</t>
  </si>
  <si>
    <t>*m tꜣ ḏsr*</t>
  </si>
  <si>
    <t>im heiligen Land</t>
  </si>
  <si>
    <t>*ḫnt.y imn.ty.w*</t>
  </si>
  <si>
    <t>der Erste der Westlichen (Chontamenti)</t>
  </si>
  <si>
    <t>der Erste des Westens (Chontamenti)</t>
  </si>
  <si>
    <t>*ḫnt.y tꜣ ḏsr*</t>
  </si>
  <si>
    <t>der Erste des heiligen Landes</t>
  </si>
  <si>
    <t>epitheta/01_nb-AbDw/</t>
  </si>
  <si>
    <t>epitheta/02_nb-Dd.w/</t>
  </si>
  <si>
    <t>epitheta/03_nb-tA-Dsr/</t>
  </si>
  <si>
    <t>epitheta/04_m-tA-Dsr/</t>
  </si>
  <si>
    <t>epitheta/05_xnt.y-jmn.ty.w/</t>
  </si>
  <si>
    <t>epitheta/06_xnt.y-jmn.t.t/</t>
  </si>
  <si>
    <t>epitheta/07_xnt.y-tA-Dsr/</t>
  </si>
  <si>
    <t>0001_nb-AbDw_01</t>
  </si>
  <si>
    <t>0010_nb-AbDw_02</t>
  </si>
  <si>
    <t>0020_nb-AbDw_03</t>
  </si>
  <si>
    <t>0030_nb-AbDw_NR_01</t>
  </si>
  <si>
    <t>0040_nb-AbDw_GR_01</t>
  </si>
  <si>
    <t>0001_nb-Dd.w_01</t>
  </si>
  <si>
    <t>0010_nb-Dd.w_02.png</t>
  </si>
  <si>
    <t>0020_nb-Dd.w_03.png</t>
  </si>
  <si>
    <t>0030_nb-Dd.w_04.png</t>
  </si>
  <si>
    <t>0040_nb-Dd.w_05.png</t>
  </si>
  <si>
    <t>0050_nb-Dd.w_06.png</t>
  </si>
  <si>
    <t>0060_nb-Dd.w_07.png</t>
  </si>
  <si>
    <t>0070_nb-Dd.w_08.png</t>
  </si>
  <si>
    <t>0080_nb-Dd.w_Pyr._01.png</t>
  </si>
  <si>
    <t>0001_nb-tA-Dsr_01.png</t>
  </si>
  <si>
    <t>0001_m-tA-Dsr_01</t>
  </si>
  <si>
    <t>0001_xnt.y-jmn.ty.w_01.png</t>
  </si>
  <si>
    <t>0010_xnt.y-jmn.ty.w_02.png</t>
  </si>
  <si>
    <t>0020_xnt.y-jmn.ty.w_AR_01.png</t>
  </si>
  <si>
    <t>0030_xnt.y-jmn.ty.w_AR_02.png</t>
  </si>
  <si>
    <t>0040_xnt.y-jmn.ty.w_Pyr._01.png</t>
  </si>
  <si>
    <t>0050_xnt.y-jmn.ty.w_MR_01.png</t>
  </si>
  <si>
    <t>0060_xnt.y-jmn.ty.w_typ.-ab-NR_01.png</t>
  </si>
  <si>
    <t>0001_xnt.y-jmn.t.t_seit-NR_01.png</t>
  </si>
  <si>
    <t>0010_xnt.y-jmn.t.t_seit-NR_02.png</t>
  </si>
  <si>
    <t>0001_xnt.y-tA-Dsr_01</t>
  </si>
  <si>
    <t>0001_bAst.t_01.png</t>
  </si>
  <si>
    <t>0010_bAst.t_AR_01.png</t>
  </si>
  <si>
    <t>0020_bAst.t_NR_01.png</t>
  </si>
  <si>
    <t>0001_bHd.t_01.png</t>
  </si>
  <si>
    <t>0010_bHd.t_02.png</t>
  </si>
  <si>
    <t>0020_bHd.t_GR_01.png</t>
  </si>
  <si>
    <t>0030_bHd.t_GR_02.png</t>
  </si>
  <si>
    <t>0001_bHd.t_det_01</t>
  </si>
  <si>
    <t>tb_epith_behedeti_001</t>
  </si>
  <si>
    <t>*pri m ꜣḫ.t*</t>
  </si>
  <si>
    <t>*sꜣb šw.t*</t>
  </si>
  <si>
    <t>Buntgefiederter</t>
  </si>
  <si>
    <t>der aus der Horizont hervorkommt</t>
  </si>
  <si>
    <t>0001_prj-m-Ax.t_01</t>
  </si>
  <si>
    <t>0001_sAb-Sw.t_01.png</t>
  </si>
  <si>
    <t>0010_sAb-Sw.t_D.18_01.png</t>
  </si>
  <si>
    <t>epitheta/01_prj-m-Ax.t/</t>
  </si>
  <si>
    <t>epitheta/02_sAb-Sw.t/</t>
  </si>
  <si>
    <t>0070_psD.t_GR_02.png</t>
  </si>
  <si>
    <t>0001_psD.t_01.png</t>
  </si>
  <si>
    <t>0010_psD.t_AR_01.png</t>
  </si>
  <si>
    <t>0020_psD.t_AR_02.png</t>
  </si>
  <si>
    <t>0030_psD.t_AR_03.png</t>
  </si>
  <si>
    <t>0040_psD.t_MR_01.png</t>
  </si>
  <si>
    <t>0050_psD.t_SP_01.png</t>
  </si>
  <si>
    <t>0060_psD.t_GR_01.png</t>
  </si>
  <si>
    <t>0001_psD.t_det_AR_01.png</t>
  </si>
  <si>
    <t>0010_psD.t_det_MR_01.png</t>
  </si>
  <si>
    <t>0020_psD.t_det_MR_02.png</t>
  </si>
  <si>
    <t>0030_psD.t_det_SP_01.png</t>
  </si>
  <si>
    <t>tb_epith_goetterneunheit_001</t>
  </si>
  <si>
    <t>epitheta/01_aA.t/</t>
  </si>
  <si>
    <t>*ꜥꜣ.t*</t>
  </si>
  <si>
    <t>die große</t>
  </si>
  <si>
    <t>*nḏs.t*</t>
  </si>
  <si>
    <t>die kleine</t>
  </si>
  <si>
    <t>epitheta/02_nDs.t/</t>
  </si>
  <si>
    <t>0001_aA.t_01.png</t>
  </si>
  <si>
    <t>0010_aA.t_02.png</t>
  </si>
  <si>
    <t>0020_aA.t_AR_01.png</t>
  </si>
  <si>
    <t>0030_aA.t_MR_01.png</t>
  </si>
  <si>
    <t>0040_aA.t_MR_02.png</t>
  </si>
  <si>
    <t>0050_aA.t_MR_03.png</t>
  </si>
  <si>
    <t>0001_nDs.t_01.png</t>
  </si>
  <si>
    <t>0010_nDs.t_AR_01.png</t>
  </si>
  <si>
    <t>0020_nDs.t_MR_01.png</t>
  </si>
  <si>
    <t>0030_nDs.t_MR_02.png</t>
  </si>
  <si>
    <t>0040_nDs.t_Sp_01.png</t>
  </si>
  <si>
    <t>0001_ptH_01</t>
  </si>
  <si>
    <t>0001_ptH_det_01.png</t>
  </si>
  <si>
    <t>0010_ptH_det_02.png</t>
  </si>
  <si>
    <t>0090_mAa.t_GR_02.png</t>
  </si>
  <si>
    <t>0001_mAa.t_01.png</t>
  </si>
  <si>
    <t>0010_mAa.t_02.png</t>
  </si>
  <si>
    <t>0020_mAa.t_AR_01.png</t>
  </si>
  <si>
    <t>0030_mAa.t_AR_02.png</t>
  </si>
  <si>
    <t>0040_mAa.t_MR_01.png</t>
  </si>
  <si>
    <t>0050_mAa.t_MR_02.png</t>
  </si>
  <si>
    <t>0060_mAa.t_NR_01.png</t>
  </si>
  <si>
    <t>0070_mAa.t_NR_02.png</t>
  </si>
  <si>
    <t>0080_mAa.t_GR_01.png</t>
  </si>
  <si>
    <t>0001_mAa.t_det_AR_01.png</t>
  </si>
  <si>
    <t>0010_mAa.t_det_MR_01.png</t>
  </si>
  <si>
    <t>0001_mjn_01.png</t>
  </si>
  <si>
    <t>0010_mjn_AR_01.png</t>
  </si>
  <si>
    <t>0020_mjn_NR_01.png</t>
  </si>
  <si>
    <t>0001_mjn_det_01</t>
  </si>
  <si>
    <t>0001_mw.t_01.png</t>
  </si>
  <si>
    <t>0010_mw.t_02.png</t>
  </si>
  <si>
    <t>0020_mw.t_03.png</t>
  </si>
  <si>
    <t>tb_epith_mut_001</t>
  </si>
  <si>
    <t>*nb.t išrw*</t>
  </si>
  <si>
    <t>Die Herrin des Hufeisensees</t>
  </si>
  <si>
    <t>epitheta/01_nb.t-jSrw/</t>
  </si>
  <si>
    <t>0001_nb.t-jSrw_01.png</t>
  </si>
  <si>
    <t>0010_nb.t-jSrw_02.png</t>
  </si>
  <si>
    <t>0020_nb.t-jSrw_GR_01.png</t>
  </si>
  <si>
    <t>0001_mnTw_01.png</t>
  </si>
  <si>
    <t>0010_mnTw_NR_01.png</t>
  </si>
  <si>
    <t>0020_mnTw_NR_02.png</t>
  </si>
  <si>
    <t>0030_mnTw_NR_03.png</t>
  </si>
  <si>
    <t>0040_mnTw_GR_01.png</t>
  </si>
  <si>
    <t>0001_mnTw_det_01.png</t>
  </si>
  <si>
    <t>0010_mnTw_det_02.png</t>
  </si>
  <si>
    <t>tb_epith_month_001</t>
  </si>
  <si>
    <t>*nb wꜣs.t*</t>
  </si>
  <si>
    <t>Herr von Theben</t>
  </si>
  <si>
    <t>epitheta/01_nb-wAs.t/</t>
  </si>
  <si>
    <t>0001_nb-WAs.t_01.png</t>
  </si>
  <si>
    <t>0010_nb-WAs.t_AR_01.png</t>
  </si>
  <si>
    <t>0020_nb-WAs.t_NR_01.png</t>
  </si>
  <si>
    <t>0030_nb-WAs.t_NR_02.png</t>
  </si>
  <si>
    <t>0040_nb-WAs.t_NR_03.png</t>
  </si>
  <si>
    <t>0001_nj.t_01.png</t>
  </si>
  <si>
    <t>0010_nj.t_02.png</t>
  </si>
  <si>
    <t>0020_nj.t_03.png</t>
  </si>
  <si>
    <t>0030_nj.t_04.png</t>
  </si>
  <si>
    <t>0040_nj.t_NR_01.png</t>
  </si>
  <si>
    <t>0001_nw.t_01.png</t>
  </si>
  <si>
    <t>0010_nw.t_AR_01.png</t>
  </si>
  <si>
    <t>0020_nw.t_AR_02.png</t>
  </si>
  <si>
    <t>0030_nw.t_AR_03.png</t>
  </si>
  <si>
    <t>0040_nw.t_NR_01.png</t>
  </si>
  <si>
    <t>0050_nw.t_GR_01.png</t>
  </si>
  <si>
    <t>0001_nb.t-Hw.t_01.png</t>
  </si>
  <si>
    <t>0010_nb.t-Hw.t_AR_01.png</t>
  </si>
  <si>
    <t>0020_nb.t-Hw.t_NR_01.png</t>
  </si>
  <si>
    <t>0030_nb.t-Hw.t_NR_02.png</t>
  </si>
  <si>
    <t>0040_nb.t-Hw.t_SP_01.png</t>
  </si>
  <si>
    <t>0050_nb.t-Hw.t_GR_01.png</t>
  </si>
  <si>
    <t>0060_nb.t-Hw.t_GR_02.png</t>
  </si>
  <si>
    <t>0001_nfr-tm_01.png</t>
  </si>
  <si>
    <t>0010_nfr-tm_02.png</t>
  </si>
  <si>
    <t>0020_nfr-tm_NR_01.png</t>
  </si>
  <si>
    <t>0030_nfr-tm_GR_01.png</t>
  </si>
  <si>
    <t>0040_nfr-tm_GR_02.png</t>
  </si>
  <si>
    <t>0001_nfr-tm_det_NR_01.png</t>
  </si>
  <si>
    <t>0010_nfr-tm_det_NR_02.png</t>
  </si>
  <si>
    <t>0001_nxb.t_01.png</t>
  </si>
  <si>
    <t>0010_nxb.t_02.png</t>
  </si>
  <si>
    <t>0020_nxb.t_NR_01.png</t>
  </si>
  <si>
    <t>0030_nxb.t_GR_01.png</t>
  </si>
  <si>
    <t>0001_nxb.t_det_AR_01</t>
  </si>
  <si>
    <t>0001_ra_01.png</t>
  </si>
  <si>
    <t>0010_ra_SP_01.png</t>
  </si>
  <si>
    <t>0020_ra_GR_01.png</t>
  </si>
  <si>
    <t>0030_ra_GR_02.png</t>
  </si>
  <si>
    <t>0001_ra_det_AR_01.png</t>
  </si>
  <si>
    <t>0010_ra_det_MR_01.png</t>
  </si>
  <si>
    <t>0020_ra_det_NR_01.png</t>
  </si>
  <si>
    <t>0030_ra_det_NR_02.png</t>
  </si>
  <si>
    <t>0001_rnnwt.t_01.png</t>
  </si>
  <si>
    <t>0010_rnnwt.t_AR_01.png</t>
  </si>
  <si>
    <t>0020_rnnwt.t_AR_02.png</t>
  </si>
  <si>
    <t>0030_rnnwt.t_D.18_01.png</t>
  </si>
  <si>
    <t>0040_rnnwt.t_D.18_02.png</t>
  </si>
  <si>
    <t>0050_rnnwt.t_D.18_03.png</t>
  </si>
  <si>
    <t>0001_Hapj_AR_01.png</t>
  </si>
  <si>
    <t>0010_Hapj_MR_01.png</t>
  </si>
  <si>
    <t>0020_Hapj_MR_02.png</t>
  </si>
  <si>
    <t>0030_Hapj_MR_03.png</t>
  </si>
  <si>
    <t>0040_Hapj_MR_04.png</t>
  </si>
  <si>
    <t>0050_Hapj_MR_05.png</t>
  </si>
  <si>
    <t>0060_Hapj_MR_06.png</t>
  </si>
  <si>
    <t>0070_Hapj_Sait._01.png</t>
  </si>
  <si>
    <t>0080_Hapj_Sait._02.png</t>
  </si>
  <si>
    <t>0001_Hapj_det_01.png</t>
  </si>
  <si>
    <t>0010_Hapj_det_02.png</t>
  </si>
  <si>
    <t>0090_Hapj_SP-GR_01.png</t>
  </si>
  <si>
    <t>0100_Hapj_SP-GR_02.png</t>
  </si>
  <si>
    <t>0110_Hapj_SP-GR_03.png</t>
  </si>
  <si>
    <t>0001_Hwt-Hr_01.png</t>
  </si>
  <si>
    <t>0010_Hwt-Hr_AR_01.png</t>
  </si>
  <si>
    <t>0020_Hwt-Hr_AR_02.png</t>
  </si>
  <si>
    <t>0001_Hp_01.png</t>
  </si>
  <si>
    <t>0010_Hp_02.png</t>
  </si>
  <si>
    <t>0020_Hp_AR_01.png</t>
  </si>
  <si>
    <t>0030_Hp_NR_01.png</t>
  </si>
  <si>
    <t>0001_Hp_det_01.png</t>
  </si>
  <si>
    <t>0010_Hp_det_02.png</t>
  </si>
  <si>
    <t>0020_Hp_det_AR-SP_01.png</t>
  </si>
  <si>
    <t>tb_epith_apis_001</t>
  </si>
  <si>
    <t>epitheta/01_anx/</t>
  </si>
  <si>
    <t>0001_anx_seit-NR_01</t>
  </si>
  <si>
    <t>0001_Hpy_01.png</t>
  </si>
  <si>
    <t>0010_Hpy_02.png</t>
  </si>
  <si>
    <t>0020_Hpy_03.png</t>
  </si>
  <si>
    <t>0030_Hpy_04.png</t>
  </si>
  <si>
    <t>0040_Hpy_AR_01.png</t>
  </si>
  <si>
    <t>0050_Hpy_MR_01.png</t>
  </si>
  <si>
    <t>0060_Hpy_MR-NR-GR_01.png</t>
  </si>
  <si>
    <t>0001_Hpy_det_01.png</t>
  </si>
  <si>
    <t>0010_Hpy_det_AR_01.png</t>
  </si>
  <si>
    <t>0001_Hr_01.png</t>
  </si>
  <si>
    <t>0010_Hr_02.png</t>
  </si>
  <si>
    <t>0020_Hr_AR_01.png</t>
  </si>
  <si>
    <t>0030_Hr_MR_01.png</t>
  </si>
  <si>
    <t>epitheta/</t>
  </si>
  <si>
    <t>0001_m-Ax.t_01</t>
  </si>
  <si>
    <t>0001_nD-jt_01</t>
  </si>
  <si>
    <t>tb_epith_horus_001</t>
  </si>
  <si>
    <t>0001_pA-Xrd_SP_01</t>
  </si>
  <si>
    <t>0001_sA-s.t_01</t>
  </si>
  <si>
    <t>0001_smA-tA.wj_01</t>
  </si>
  <si>
    <t>0001_wr_01</t>
  </si>
  <si>
    <t>*wr*</t>
  </si>
  <si>
    <t>der Große</t>
  </si>
  <si>
    <t>*smꜣ tꜣ.wy*</t>
  </si>
  <si>
    <t>Vereiniger der beiden Länder</t>
  </si>
  <si>
    <t>Sohn der Isis</t>
  </si>
  <si>
    <t>*pꜣ ẖrd*</t>
  </si>
  <si>
    <t>das Kind</t>
  </si>
  <si>
    <t>*m ꜣḫ.t*</t>
  </si>
  <si>
    <t>im Horizont</t>
  </si>
  <si>
    <t>0001_Hr-Axtj_01.png</t>
  </si>
  <si>
    <t>0010_Hr-Axtj_02.png</t>
  </si>
  <si>
    <t>0020_Hr-Axtj_03.png</t>
  </si>
  <si>
    <t>0001_Hqt_01.png</t>
  </si>
  <si>
    <t>0010_Hqt_D.18_01.png</t>
  </si>
  <si>
    <t>0001_Hqt_det_01.png</t>
  </si>
  <si>
    <t>0010_Hqt_det_02.png</t>
  </si>
  <si>
    <t>0001_Xnm.w_01.png</t>
  </si>
  <si>
    <t>0010_Xnm.w_02.png</t>
  </si>
  <si>
    <t>0020_Xnm.w_03.png</t>
  </si>
  <si>
    <t>0030_Xnm.w_04.png</t>
  </si>
  <si>
    <t>0040_Xnm.w_GR_01.png</t>
  </si>
  <si>
    <t>0050_Xnm.w_GR_02.png</t>
  </si>
  <si>
    <t>0001_Xnm.w_det_01.png</t>
  </si>
  <si>
    <t>0010_Xnm.w_det_02.png</t>
  </si>
  <si>
    <t>0001_Xnsw_01.png</t>
  </si>
  <si>
    <t>0010_Xnsw_02.png</t>
  </si>
  <si>
    <t>0020_Xnsw_NR_01.png</t>
  </si>
  <si>
    <t>0001_sbk_01.png</t>
  </si>
  <si>
    <t>0010_sbk_02.png</t>
  </si>
  <si>
    <t>0020_sbk_03.png</t>
  </si>
  <si>
    <t>0030_sbk_NR_01.png</t>
  </si>
  <si>
    <t>0001_sbk_det_01.png</t>
  </si>
  <si>
    <t>0001_srq.t_01.png</t>
  </si>
  <si>
    <t>0010_srq.t_02.png</t>
  </si>
  <si>
    <t>0020_srq.t_03.png</t>
  </si>
  <si>
    <t>0030_srq.t_Pyr.-MR_01.png</t>
  </si>
  <si>
    <t>0040_srq.t_GR_01.png</t>
  </si>
  <si>
    <t>0050_srq.t_GR_02.png</t>
  </si>
  <si>
    <t>0060_srq.t_GR_03.png</t>
  </si>
  <si>
    <t>0001_srq.t_det_01.png</t>
  </si>
  <si>
    <t>0010_srq.t_det_02.png</t>
  </si>
  <si>
    <t>0001_sxm.t_01.png</t>
  </si>
  <si>
    <t>0010_sxm.t_AR_01.png</t>
  </si>
  <si>
    <t>0020_sxm.t_AR_02.png</t>
  </si>
  <si>
    <t>0030_sxm.t_NR_01.png</t>
  </si>
  <si>
    <t>0040_sxm.t_GR_01.png</t>
  </si>
  <si>
    <t>0050_sxm.t_GR_02.png</t>
  </si>
  <si>
    <t>0001_skr_01.png</t>
  </si>
  <si>
    <t>0001_skr_det_01.png</t>
  </si>
  <si>
    <t>0001_st_01.png</t>
  </si>
  <si>
    <t>0010_st_AR_01.png</t>
  </si>
  <si>
    <t>0020_st_MR_01.png</t>
  </si>
  <si>
    <t>0030_st_NR_01.png</t>
  </si>
  <si>
    <t>0040_st_SP_01.png</t>
  </si>
  <si>
    <t>tb_epith_isis_001</t>
  </si>
  <si>
    <t>epitheta/01_mw.t-nTr/</t>
  </si>
  <si>
    <t>*mw.t-nṯr*</t>
  </si>
  <si>
    <t>Gottesmutter</t>
  </si>
  <si>
    <t>0001_mw.t-nTr_01.png</t>
  </si>
  <si>
    <t>0010_mw.t-nTr_02.png</t>
  </si>
  <si>
    <t>0020_mw.t-nTr_GR_01.png</t>
  </si>
  <si>
    <t>epitheta/02_wr.t/</t>
  </si>
  <si>
    <t>0010_wr.t_01.png</t>
  </si>
  <si>
    <t>0010_wr.t_Sp._01.png</t>
  </si>
  <si>
    <t>0110_stX_GR_02.png</t>
  </si>
  <si>
    <t>0001_stX_01.png</t>
  </si>
  <si>
    <t>0010_stX_AR_01.png</t>
  </si>
  <si>
    <t>0020_stX_MR_01.png</t>
  </si>
  <si>
    <t>0030_stX_MR-SP_01.png</t>
  </si>
  <si>
    <t>0040_stX_NR_01.png</t>
  </si>
  <si>
    <t>0050_stX_D.18_01.png</t>
  </si>
  <si>
    <t>0060_stX_D.18_02.png</t>
  </si>
  <si>
    <t>0070_stX_D.18_03.png</t>
  </si>
  <si>
    <t>0080_stX_D.19_01.png</t>
  </si>
  <si>
    <t>0090_stX_D.19_02.png</t>
  </si>
  <si>
    <t>0100_stX_GR_01.png</t>
  </si>
  <si>
    <t>0001_stX_det_01.png</t>
  </si>
  <si>
    <t>0010_stX_det_02.png</t>
  </si>
  <si>
    <t>0020_stX_det_MR_01.png</t>
  </si>
  <si>
    <t>0001_Sw_01.png</t>
  </si>
  <si>
    <t>0010_Sw_AR_01.png</t>
  </si>
  <si>
    <t>0020_Sw_MR_01.png</t>
  </si>
  <si>
    <t>0030_Sw_NR_01.png</t>
  </si>
  <si>
    <t>0040_Sw_GR_01.png</t>
  </si>
  <si>
    <t>0080_qbH-snw=f_GR_04.png</t>
  </si>
  <si>
    <t>0001_qbH-snw=f_01.png</t>
  </si>
  <si>
    <t>0010_qbH-snw=f_02.png</t>
  </si>
  <si>
    <t>0020_qbH-snw=f_03.png</t>
  </si>
  <si>
    <t>0030_qbH-snw=f_MR_01.png</t>
  </si>
  <si>
    <t>0040_qbH-snw=f_MR_02.png</t>
  </si>
  <si>
    <t>0050_qbH-snw=f_GR_01.png</t>
  </si>
  <si>
    <t>0060_qbH-snw=f_GR_02.png</t>
  </si>
  <si>
    <t>0070_qbH-snw=f_GR_03.png</t>
  </si>
  <si>
    <t>0001_qbH-snw=f_det_GR_01.png</t>
  </si>
  <si>
    <t>0010_qbH-snw=f_det_GR_02.png</t>
  </si>
  <si>
    <t>0001_dwA-mw.t=f_AR_01.png</t>
  </si>
  <si>
    <t>0010_dwA-mw.t=f_AR_02.png</t>
  </si>
  <si>
    <t>0020_dwA-mw.t=f_MR_01.png</t>
  </si>
  <si>
    <t>0030_dwA-mw.t=f_MR_02.png</t>
  </si>
  <si>
    <t>0040_dwA-mw.t=f_MR_03.png</t>
  </si>
  <si>
    <t>0001_DHwtj_AR_01.png</t>
  </si>
  <si>
    <t>0010_DHwtj_MR_01.png</t>
  </si>
  <si>
    <t>0020_DHwtj_MR_02.png</t>
  </si>
  <si>
    <t>0030_DHwtj_MR_03.png</t>
  </si>
  <si>
    <t>0040_DHwtj_MR_04.png</t>
  </si>
  <si>
    <t>0050_DHwtj_MR_05.png</t>
  </si>
  <si>
    <t>0060_DHwtj_SP_01.png</t>
  </si>
  <si>
    <t>0070_DHwtj_SP_02.png</t>
  </si>
  <si>
    <t>0080_DHwtj_SP-GR_01.png</t>
  </si>
  <si>
    <t>0090_DHwtj_SP-GR_02.png</t>
  </si>
  <si>
    <t>0001_DHwtj_det_SP_01.png</t>
  </si>
  <si>
    <t>04_Tag/</t>
  </si>
  <si>
    <t>glyphline_id</t>
  </si>
  <si>
    <t>gl_person_name_weiblich</t>
  </si>
  <si>
    <t>gl_person_name_maennlich</t>
  </si>
  <si>
    <t>+</t>
  </si>
  <si>
    <t>die Große</t>
  </si>
  <si>
    <t>*wr.t*</t>
  </si>
  <si>
    <t>-</t>
  </si>
  <si>
    <t>table_wrapper_class</t>
  </si>
  <si>
    <t>tableFixHead table-fixed</t>
  </si>
  <si>
    <t>tableFixHead table-wide</t>
  </si>
  <si>
    <t>tableFixHead table-glyph-middle</t>
  </si>
  <si>
    <t>*ḫꜣ (m/n)*</t>
  </si>
  <si>
    <t>*tꜣ-di-*</t>
  </si>
  <si>
    <t>*pꜣ-di-*</t>
  </si>
  <si>
    <t>*nṯr nfr*</t>
  </si>
  <si>
    <t>*ḥm⸗f*</t>
  </si>
  <si>
    <t>*dpy*</t>
  </si>
  <si>
    <t>[König] geliebt von [Gottheit]</t>
  </si>
  <si>
    <t>gl_hymnus_ueberschrift_var</t>
  </si>
  <si>
    <t>gl_hymnus_hauptteil_var</t>
  </si>
  <si>
    <t>gl_hymnus_beter_var</t>
  </si>
  <si>
    <t>0001_rDj.t-jAw_01.png</t>
  </si>
  <si>
    <t>0001_dwA_01.png</t>
  </si>
  <si>
    <t>0001_jn_01.png</t>
  </si>
  <si>
    <t>*inḏ-ḥr⸗*</t>
  </si>
  <si>
    <t>Saïten-Formel</t>
  </si>
  <si>
    <t>Anruf an die Lebenden</t>
  </si>
  <si>
    <t>gl_wortlRede</t>
  </si>
  <si>
    <t>0001_Dd-mdw_01</t>
  </si>
  <si>
    <t>*ḏd-md.w*</t>
  </si>
  <si>
    <t>01_Textgattung/07_Beischriften/03_Woertliche-Rede/03_xrj/</t>
  </si>
  <si>
    <t>04_xrj_01</t>
  </si>
  <si>
    <t>gl_wortlRede_var</t>
  </si>
  <si>
    <t>*di.n(⸗i) n⸗k/ṯ*</t>
  </si>
  <si>
    <t>01_Textgattung/07_Beischriften/03_Woertliche-Rede/02_dj.n(=j)-n=k/</t>
  </si>
  <si>
    <t>0001_dj.n(=j)-n=k_01</t>
  </si>
  <si>
    <t>0001_Dd-mdw_01.png</t>
  </si>
  <si>
    <t>0010_Dd-mdw_02.png</t>
  </si>
  <si>
    <t>0020_Dd-mdw_NR_01.png</t>
  </si>
  <si>
    <t>(NR)</t>
  </si>
  <si>
    <t>0001_dj.n(=j)-n=k_01.png</t>
  </si>
  <si>
    <t>0010_dj.n(=j)-n=k_02.png</t>
  </si>
  <si>
    <t>0020_dj.n(=j)-n=k_03.png</t>
  </si>
  <si>
    <t>0030_dj.n(=j)-n=k_04.png</t>
  </si>
  <si>
    <t>0040_dj.n(=j)-n=T_01.png</t>
  </si>
  <si>
    <t>Aufzählung</t>
  </si>
  <si>
    <t>Attribut</t>
  </si>
  <si>
    <t>Schlussformel</t>
  </si>
  <si>
    <t>Titel</t>
  </si>
  <si>
    <t>Personenname</t>
  </si>
  <si>
    <t>Determinative</t>
  </si>
  <si>
    <t>Epitheta</t>
  </si>
  <si>
    <t>Monat</t>
  </si>
  <si>
    <t>Titulatur</t>
  </si>
  <si>
    <t>[[table:tb_epith_amun_001|Öffne]]</t>
  </si>
  <si>
    <t>[[table:tb_epith_anubis_001|Öffne]]</t>
  </si>
  <si>
    <t>[[table:tb_epith_atum_001|Öffne]]</t>
  </si>
  <si>
    <t>[[table:tb_epith_aton_001|Öffne]]</t>
  </si>
  <si>
    <t>[[table:tb_epith_osiris_001|Öffne]]</t>
  </si>
  <si>
    <t>[[table:tb_epith_behedeti_001|Öffne]]</t>
  </si>
  <si>
    <t>[[table:tb_epith_goetterneunheit_001|Öffne]]</t>
  </si>
  <si>
    <t>[[table:tb_epith_mut_001|Öffne]]</t>
  </si>
  <si>
    <t>[[table:tb_epith_month_001|Öffne]]</t>
  </si>
  <si>
    <t>[[table:tb_epith_apis_001|Öffne]]</t>
  </si>
  <si>
    <t>[[table:tb_epith_horus_001|Öffne]]</t>
  </si>
  <si>
    <t>[[table:tb_epith_isis_001|Öffne]]</t>
  </si>
  <si>
    <t>[Titel] + [Personenname] + [Determinative] + [Epitheta]</t>
  </si>
  <si>
    <t>[Titulatur] + [Name] + [Epitheta]</t>
  </si>
  <si>
    <t>Seine Majestät</t>
  </si>
  <si>
    <t>*ḫr(⸗i)*</t>
  </si>
  <si>
    <t>Worte zu sprechen durch [Gottheit] / [König] / [Person] NN: Ich habe dir gegeben [Gaben], die bei mir sind.</t>
  </si>
  <si>
    <t>(AR; MR)</t>
  </si>
  <si>
    <t>(Spät.)</t>
  </si>
  <si>
    <t xml:space="preserve"> &lt;sup&gt;(AR; MR)&lt;/sup&gt;</t>
  </si>
  <si>
    <t xml:space="preserve"> &lt;sup&gt;(Ende NR)&lt;/sup&gt;</t>
  </si>
  <si>
    <t xml:space="preserve"> &lt;sup&gt;(Spät.)&lt;/sup&gt;</t>
  </si>
  <si>
    <t xml:space="preserve"> &lt;sup&gt;(seit MR)&lt;/sup&gt;</t>
  </si>
  <si>
    <t xml:space="preserve"> &lt;sup&gt;(NR)&lt;/sup&gt;</t>
  </si>
  <si>
    <t xml:space="preserve"> &lt;sup&gt;(AR)&lt;/sup&gt;</t>
  </si>
  <si>
    <t xml:space="preserve"> &lt;sup&gt;(Gr.)&lt;/sup&gt;</t>
  </si>
  <si>
    <t xml:space="preserve"> &lt;sup&gt;</t>
  </si>
  <si>
    <t>(AR)</t>
  </si>
  <si>
    <t>&lt;/sup&gt;</t>
  </si>
  <si>
    <t>(Gr.)</t>
  </si>
  <si>
    <t>(MR)</t>
  </si>
  <si>
    <t>(Dyn.18)</t>
  </si>
  <si>
    <t>(Dyn.19)</t>
  </si>
  <si>
    <t>(röm.)</t>
  </si>
  <si>
    <t>(D.18)</t>
  </si>
  <si>
    <t>(Sp.)</t>
  </si>
  <si>
    <t>(Pyr.)</t>
  </si>
  <si>
    <t>(Saït.)</t>
  </si>
  <si>
    <t>(Sp.–Gr.)</t>
  </si>
  <si>
    <t>(D.19)</t>
  </si>
  <si>
    <t>(Ende AR)</t>
  </si>
  <si>
    <t>(NR; 3.Zw.Zt.)</t>
  </si>
  <si>
    <t>(MR; NR; Gr.)</t>
  </si>
  <si>
    <t>(Pyr.; NR)</t>
  </si>
  <si>
    <t>(MR; Sp.)</t>
  </si>
  <si>
    <t>(Sp.; Gr.)</t>
  </si>
  <si>
    <t>(ab NR)</t>
  </si>
  <si>
    <t>(seit NR)</t>
  </si>
  <si>
    <t>(AR; Sp.)</t>
  </si>
  <si>
    <t>*di(⸗i) n⸗k*</t>
  </si>
  <si>
    <t>*ꜣs.t*</t>
  </si>
  <si>
    <t>02_Slots/Gottheit/Goetter-mit-Epitheta/0010_Isis/</t>
  </si>
  <si>
    <t>02_Slots/Gottheit/Goetter-mit-Epitheta/0020_Amun/</t>
  </si>
  <si>
    <t>02_Slots/Gottheit/Goetter-mit-Epitheta/0030_Amun-Re/</t>
  </si>
  <si>
    <t>02_Slots/Gottheit/Goetter-mit-Epitheta/0040_Amun-Re-Harachte/</t>
  </si>
  <si>
    <t>0001_jmn-ra-Hr-Axtj_01</t>
  </si>
  <si>
    <t>*imn-rꜥ-ḥr-ꜣḫ.ti*</t>
  </si>
  <si>
    <t>02_Slots/Gottheit/Goetter-mit-Epitheta/0050_Amset/</t>
  </si>
  <si>
    <t>02_Slots/Gottheit/Goetter-mit-Epitheta/0060_Onuris/</t>
  </si>
  <si>
    <t>02_Slots/Gottheit/Goetter-mit-Epitheta/0070_Anubis/</t>
  </si>
  <si>
    <t>02_Slots/Gottheit/Goetter-mit-Epitheta/0080_Atum/</t>
  </si>
  <si>
    <t>02_Slots/Gottheit/Goetter-mit-Epitheta/0090_Aton/</t>
  </si>
  <si>
    <t>02_Slots/Gottheit/Goetter-mit-Epitheta/0100_Wepwaut/</t>
  </si>
  <si>
    <t>02_Slots/Gottheit/Goetter-mit-Epitheta/0110_Osiris/</t>
  </si>
  <si>
    <t>02_Slots/Gottheit/Goetter-mit-Epitheta/0120_Bastet/</t>
  </si>
  <si>
    <t>02_Slots/Gottheit/Goetter-mit-Epitheta/0130_Behedeti/</t>
  </si>
  <si>
    <t>02_Slots/Gottheit/Goetter-mit-Epitheta/0140_Goetterneunheit/</t>
  </si>
  <si>
    <t>02_Slots/Gottheit/Goetter-mit-Epitheta/0150_Ptah/</t>
  </si>
  <si>
    <t>02_Slots/Gottheit/Goetter-mit-Epitheta/0160_Maat/</t>
  </si>
  <si>
    <t>02_Slots/Gottheit/Goetter-mit-Epitheta/0170_Min/</t>
  </si>
  <si>
    <t>02_Slots/Gottheit/Goetter-mit-Epitheta/0180_Mut/</t>
  </si>
  <si>
    <t>02_Slots/Gottheit/Goetter-mit-Epitheta/0190_Month/</t>
  </si>
  <si>
    <t>02_Slots/Gottheit/Goetter-mit-Epitheta/0200_Neith/</t>
  </si>
  <si>
    <t>02_Slots/Gottheit/Goetter-mit-Epitheta/0210_Nut/</t>
  </si>
  <si>
    <t>02_Slots/Gottheit/Goetter-mit-Epitheta/0220_Nephthys/</t>
  </si>
  <si>
    <t>02_Slots/Gottheit/Goetter-mit-Epitheta/0230_Nefertem/</t>
  </si>
  <si>
    <t>02_Slots/Gottheit/Goetter-mit-Epitheta/0240_Nechbet/</t>
  </si>
  <si>
    <t>02_Slots/Gottheit/Goetter-mit-Epitheta/0250_Re/</t>
  </si>
  <si>
    <t>02_Slots/Gottheit/Goetter-mit-Epitheta/0260_Re-Harachte/</t>
  </si>
  <si>
    <t>02_Slots/Gottheit/Goetter-mit-Epitheta/0270_Renenutet/</t>
  </si>
  <si>
    <t>02_Slots/Gottheit/Goetter-mit-Epitheta/0280_Hapi-Nilgott/</t>
  </si>
  <si>
    <t>02_Slots/Gottheit/Goetter-mit-Epitheta/0290_Hathor/</t>
  </si>
  <si>
    <t>02_Slots/Gottheit/Goetter-mit-Epitheta/0300_Apis/</t>
  </si>
  <si>
    <t>02_Slots/Gottheit/Goetter-mit-Epitheta/0310_Hapi-Horussohn/</t>
  </si>
  <si>
    <t>02_Slots/Gottheit/Goetter-mit-Epitheta/0320_Horus/</t>
  </si>
  <si>
    <t>02_Slots/Gottheit/Goetter-mit-Epitheta/0330_Harachte/</t>
  </si>
  <si>
    <t>02_Slots/Gottheit/Goetter-mit-Epitheta/0340_Heqet/</t>
  </si>
  <si>
    <t>02_Slots/Gottheit/Goetter-mit-Epitheta/0350_Chnum/</t>
  </si>
  <si>
    <t>02_Slots/Gottheit/Goetter-mit-Epitheta/0360_Chons/</t>
  </si>
  <si>
    <t>02_Slots/Gottheit/Goetter-mit-Epitheta/0370_Sobek/</t>
  </si>
  <si>
    <t>02_Slots/Gottheit/Goetter-mit-Epitheta/0380_Selkis/</t>
  </si>
  <si>
    <t>02_Slots/Gottheit/Goetter-mit-Epitheta/0390_Sachmet/</t>
  </si>
  <si>
    <t>02_Slots/Gottheit/Goetter-mit-Epitheta/0400_Sokar/</t>
  </si>
  <si>
    <t>02_Slots/Gottheit/Goetter-mit-Epitheta/0410_Seth/</t>
  </si>
  <si>
    <t>02_Slots/Gottheit/Goetter-mit-Epitheta/0420_Schu/</t>
  </si>
  <si>
    <t>02_Slots/Gottheit/Goetter-mit-Epitheta/0430_Qebehsenuef/</t>
  </si>
  <si>
    <t>02_Slots/Gottheit/Goetter-mit-Epitheta/0440_Duamutef/</t>
  </si>
  <si>
    <t>02_Slots/Gottheit/Goetter-mit-Epitheta/0450_Thot/</t>
  </si>
  <si>
    <t>Filiationsangabe</t>
  </si>
  <si>
    <t>AR:</t>
  </si>
  <si>
    <t>MR:</t>
  </si>
  <si>
    <t>ab NR:</t>
  </si>
  <si>
    <t>gl_person_filiation_AR</t>
  </si>
  <si>
    <t>gl_person_filiation_MR</t>
  </si>
  <si>
    <t>gl_person_filiation_NR</t>
  </si>
  <si>
    <t>(= Vater)</t>
  </si>
  <si>
    <t>*sꜣ⸗f*</t>
  </si>
  <si>
    <t>(= Sohn)</t>
  </si>
  <si>
    <t>*sꜣ*</t>
  </si>
  <si>
    <t>bei Töchtern: *sꜣ.t* „Tochter“( statt *sꜣ*)</t>
  </si>
  <si>
    <t>bei Müttern im AR: *sꜣ⸗s*</t>
  </si>
  <si>
    <t>seltenHierogl</t>
  </si>
  <si>
    <t>pages/seltenHierogl</t>
  </si>
  <si>
    <t>Hieroglyphe</t>
  </si>
  <si>
    <t>tb_seltenHierogl_GardF</t>
  </si>
  <si>
    <t>A – Der Mann und seine Tätigkeiten</t>
  </si>
  <si>
    <t>B – Die Frau und ihre Tätigkeiten</t>
  </si>
  <si>
    <t>C – Gottheiten in Menschengestalt</t>
  </si>
  <si>
    <t>D – Teile des menschlichen Körpers</t>
  </si>
  <si>
    <t>E – Säugetiere</t>
  </si>
  <si>
    <t>F – Teile von Säugetieren</t>
  </si>
  <si>
    <t>G – Vögel</t>
  </si>
  <si>
    <t>H – Teile von Vögeln</t>
  </si>
  <si>
    <t>I – Amphibien und Reptilien</t>
  </si>
  <si>
    <t>K – Fische und Teile von Fischen</t>
  </si>
  <si>
    <t>L – Wirbellose und andere Tiere</t>
  </si>
  <si>
    <t>M – Bäume und andere Pflanzen</t>
  </si>
  <si>
    <t>N – Himmel, Erde und Wasser</t>
  </si>
  <si>
    <t>O – Gebäude und Teile von Gebäuden</t>
  </si>
  <si>
    <t>P – Schiffe und Teile von Schiffen</t>
  </si>
  <si>
    <t>Q – Möbel</t>
  </si>
  <si>
    <t>R – Tempel</t>
  </si>
  <si>
    <t>S – Kronen</t>
  </si>
  <si>
    <t>T – Krieg, Jagd und Schlachterei</t>
  </si>
  <si>
    <t>U – Landwirtschaft und Handwerk</t>
  </si>
  <si>
    <t>V – Seil, Faser, Korb usw.</t>
  </si>
  <si>
    <t>W – Stein- und Tongefäße</t>
  </si>
  <si>
    <t>X – Laibe und Kuchen</t>
  </si>
  <si>
    <t>Y – Schreiben, Spiele und Musik</t>
  </si>
  <si>
    <t>Z – Geometrische Figuren</t>
  </si>
  <si>
    <t>Aa – unklassifizierte Hieroglyphen</t>
  </si>
  <si>
    <t>tb_seltenHierogl_GardA</t>
  </si>
  <si>
    <t>tb_seltenHierogl_GardB</t>
  </si>
  <si>
    <t>tb_seltenHierogl_GardC</t>
  </si>
  <si>
    <t>tb_seltenHierogl_GardD</t>
  </si>
  <si>
    <t>tb_seltenHierogl_GardE</t>
  </si>
  <si>
    <t>tb_seltenHierogl_GardG</t>
  </si>
  <si>
    <t>tb_seltenHierogl_GardH</t>
  </si>
  <si>
    <t>tb_seltenHierogl_GardI</t>
  </si>
  <si>
    <t>tb_seltenHierogl_GardK</t>
  </si>
  <si>
    <t>tb_seltenHierogl_GardL</t>
  </si>
  <si>
    <t>tb_seltenHierogl_GardM</t>
  </si>
  <si>
    <t>tb_seltenHierogl_GardN</t>
  </si>
  <si>
    <t>tb_seltenHierogl_GardO</t>
  </si>
  <si>
    <t>tb_seltenHierogl_GardP</t>
  </si>
  <si>
    <t>tb_seltenHierogl_GardQ</t>
  </si>
  <si>
    <t>tb_seltenHierogl_GardR</t>
  </si>
  <si>
    <t>tb_seltenHierogl_GardS</t>
  </si>
  <si>
    <t>tb_seltenHierogl_GardT</t>
  </si>
  <si>
    <t>tb_seltenHierogl_GardU</t>
  </si>
  <si>
    <t>tb_seltenHierogl_GardV</t>
  </si>
  <si>
    <t>tb_seltenHierogl_GardW</t>
  </si>
  <si>
    <t>tb_seltenHierogl_GardX</t>
  </si>
  <si>
    <t>tb_seltenHierogl_GardY</t>
  </si>
  <si>
    <t>tb_seltenHierogl_GardZ</t>
  </si>
  <si>
    <t>tb_seltenHierogl_GardAa</t>
  </si>
  <si>
    <t>F63_xnty_01</t>
  </si>
  <si>
    <t>03_Hieroglyphen-selten/</t>
  </si>
  <si>
    <t>*ḫnty*</t>
  </si>
  <si>
    <t>vorn befindlich</t>
  </si>
  <si>
    <t>Gardiner-Nr.</t>
  </si>
  <si>
    <t>F63</t>
  </si>
  <si>
    <t>N6B</t>
  </si>
  <si>
    <t>N6B_nsw-bjt_01</t>
  </si>
  <si>
    <t>König von Ober- und Unterägypten</t>
  </si>
  <si>
    <t>N102_jmn_01</t>
  </si>
  <si>
    <t>N102</t>
  </si>
  <si>
    <t>projekt</t>
  </si>
  <si>
    <t>Projekt</t>
  </si>
  <si>
    <t>pages/projekt</t>
  </si>
  <si>
    <t>Version:</t>
  </si>
  <si>
    <t>RStudio 2025.09.1+401 "Cucumberleaf Sunflower" Release (20de356561bd58a6d88927cce948bd076d06e4ca, 2025-09-23) for macOS</t>
  </si>
  <si>
    <t>Mozilla/5.0 (Macintosh; Intel Mac OS X 10_15_7)</t>
  </si>
  <si>
    <t>AppleWebKit/537.36 (KHTML, like Gecko)</t>
  </si>
  <si>
    <t>RStudio/2025.09.1+401</t>
  </si>
  <si>
    <t>Chrome/138.0.7204.185</t>
  </si>
  <si>
    <t>Github:</t>
  </si>
  <si>
    <t>&lt;https://github.com/MarkusKut/Inschriftenschluessel.git&gt;</t>
  </si>
  <si>
    <t>Mitarbeiter:</t>
  </si>
  <si>
    <t>- **Recherche, Datengrundlage:** Iulia Comșa</t>
  </si>
  <si>
    <t>- **Programmierung, Hieroglyphensetzung:** Markus Kutschka</t>
  </si>
  <si>
    <t>Diese Website wurde mit Quarto unter R erstellt:</t>
  </si>
  <si>
    <t>- **Projektleitung:** Prof. Dr. Friedhelm Hoffmann</t>
  </si>
  <si>
    <t>info</t>
  </si>
  <si>
    <t>Information</t>
  </si>
  <si>
    <t>pages/info</t>
  </si>
  <si>
    <t>Zweck</t>
  </si>
  <si>
    <t>Mit dem Inschriftenschlüssel, dessen Erstellung die LMU mit Geldern aus dem Fonds zur Förderung der Lehre ermöglicht hat, werden die wesentlichen ägyptischen Inschriftenformulare in strukturierter Weise für Lernende aufbereitet. So wird ein Hilfsmittel für die Lektüre von Originalinschriften geschaffen.</t>
  </si>
  <si>
    <t>Hintergrund</t>
  </si>
  <si>
    <t>Ein Verzeichnis von Hieroglyphen, die in Inschriften ggf. späterer Epochen häufig sind, aber etwa im Mittleren Reich noch nicht vorkommen oder aus anderen Gründen ungewohnt sind, rundet zusammen mit einem Wörterverzeichnis den Inschriftenschlüssel ab.</t>
  </si>
  <si>
    <t>München 2026</t>
  </si>
  <si>
    <t>Iulia Comşa, Friedhelm Hoffmann, Markus Kutschka</t>
  </si>
  <si>
    <t>Erfahrungsgemäß fällt der Übergang von der Grammatikphase zur Lektüre und die Konfrontation mit tatsächlichen Inschriften in Ägypten oder im Museum aus verschiedenen Gründen vielen Studierenden schwer. Teils liegt es an ungewohnten Zeichenformen, die eine weit größere Varianz in ihrem Erscheinungsbild aufweisen als die gedruckten Hieroglyphen der Texteditionen; teils liegt es an den Schreibungen oder Wörtern, die in der Sprachausbildung nicht in der Frequenz vorkamen wie in den Inschriften; teils an der vielleicht suboptimalen Erhaltung; teils sind die Denkmäler aber auch einfach aus jüngeren Epochen und enthalten Phänomene, die im Unterricht noch nicht vorkamen, da sie für das Mittel- oder Altägyptische noch nicht relevant sind, die aber aufgrund der Häufigkeit jüngerer Inschriften in einem Museum prominenter sind.</t>
  </si>
  <si>
    <t>Andererseits sind Inschriften trotz aller Vielfalt längst nicht so divers wie etwa Literaturwerke, sondern folgen innerhalb einer gewissen Variationsbreite, die je nach Ort, Zeit oder Aufwand unterschiedlich sein kann, bestimmten Formularen. Wenn man die kennt, findet man sich in ägyptischen Inschriften leichter zurecht. Dazu kommt ein gewisser Vorrat an Götterepitheta, und am Schluss bleiben womöglich nur die Titel und Namen des einstigen Stelenbesitzers ungelesen übrig.</t>
  </si>
  <si>
    <t>Der Inschriftenschlüssel soll einen Überblick über die Grundtypen von Inschriften, die in ihnen vorgesehenen Elemente und die häufigsten Ausdrücke, die zur Ausfüllung dieser Positionen in Frage kommen, geben. Das soll in einer Weise geschehen, die strikt den Unterschied zwischen Inschriftentyp, den damit verbundenen Formularen und ihren Leerstellen sowie den konkreten Ausdrücken, die an einer Stelle stehen können, deutlich macht und zugleich je nach Epoche auch typische Schreibungen der für das Formular und seine Erkennbarkeit wichtigen Einzelwörter zeigt.</t>
  </si>
  <si>
    <t>&lt;br&gt;</t>
  </si>
  <si>
    <t>Der Inschriftenschlüssel erinnert also zunächst an die häufigsten Formulare und ihren Aufbau und stellt dann die Elemente („Slots“) vor, also über alle Inschriftentypen hinweg im Wesentlichen [Gottheit], [König], [Gaben] und [Person]. Die Kenntnis der Inschriftenformulare stellt sicher, dass man stets weiß, wo in der Inschrift man sich gerade befindet, dass das Wort, auf das man nicht kommt, z. B. ein Götterepitheton sein muss etc., und verhindert „Flächenschäden“ im Textverständnis, aus denen man nicht mehr herausfindet.</t>
  </si>
  <si>
    <t>0060_nb-WAs.t_Sp_01</t>
  </si>
  <si>
    <t>0050_nb-WAs.t_NR_04</t>
  </si>
  <si>
    <t>0070_nb-WAs.t_Gr_01</t>
  </si>
  <si>
    <t xml:space="preserve">  </t>
  </si>
  <si>
    <t>*ꜥnḫ ḥr-ꜣḫ.ti ḥꜥy m ꜣḫ.t m rn⸗f m jt Rꜥ jy m jtn*</t>
  </si>
  <si>
    <t>Es lebe der horizontische Horus (Re-Harachte), der im Lichtland (am Horizont) jubelt in seinem Namen als Schu, der in der Sonnenscheibe (Aton) ist</t>
  </si>
  <si>
    <t>*ꜥnḫ rꜥ-ḥqꜣ-ꜣḫ.ti ḥꜥy m ꜣḫ.t m rn⸗f m šw nty m jtn*</t>
  </si>
  <si>
    <t>Es lebe Re, der horizontische Herrscher, der im Lichtland (am Horizont) jubelt in seinem Namen als Re, der Vater, der als Sonnenscheibe (Aton) kommt</t>
  </si>
  <si>
    <t>epitheta/01_anx-Hr-Ax.tj-Hay-m-Ax.t-m-rn=f-m-jt-Ra-jj-m-jtn/</t>
  </si>
  <si>
    <t>0010_m-rn=f-m-jt-Ra-jj-m-jtn_01</t>
  </si>
  <si>
    <t>epitheta/02_anx-ra-HqA-Ax.tj-Hay-m-Ax.t-m-rn=f-m-Sw-nty-m-jtn/</t>
  </si>
  <si>
    <t>0010_m-rn=f-m-Sw-nty-m-jtn_01</t>
  </si>
  <si>
    <t>0010_m-jp.t_01</t>
  </si>
  <si>
    <t>0020_m-jp.t_SP_01</t>
  </si>
  <si>
    <t>*sꜣ⸗f n ẖ.t⸗f*</t>
  </si>
  <si>
    <t>sein leiblicher Sohn</t>
  </si>
  <si>
    <t>*nb ḫꜥ.w*</t>
  </si>
  <si>
    <t>Herr der Erscheinungen/Kronen</t>
  </si>
  <si>
    <t>02_Slots/Koenig/Epitheta/</t>
  </si>
  <si>
    <t>01_nTr-nfr/</t>
  </si>
  <si>
    <t>0001_nTr-nfr_01</t>
  </si>
  <si>
    <t>02_nb-tA.wj/</t>
  </si>
  <si>
    <t>0001_nb-tA.wj_01</t>
  </si>
  <si>
    <t>03_sA=f-n-X.t=f/</t>
  </si>
  <si>
    <t>0001_Hm=f_01</t>
  </si>
  <si>
    <t>0001_sA=f-n-X.t=f_01</t>
  </si>
  <si>
    <t>0001_Hm_01.png</t>
  </si>
  <si>
    <t>0010_Hm_02.png</t>
  </si>
  <si>
    <t>0020_Hm_03.png</t>
  </si>
  <si>
    <t>04_Hm=f/</t>
  </si>
  <si>
    <t>05_Hm/</t>
  </si>
  <si>
    <t>06_nsw/</t>
  </si>
  <si>
    <t>0001_nsw_01.png</t>
  </si>
  <si>
    <t>0010_nsw_02.png</t>
  </si>
  <si>
    <t>0020_nsw_03.png</t>
  </si>
  <si>
    <t>07_nb-xa.w/</t>
  </si>
  <si>
    <t>0001_nb-xa.w_01</t>
  </si>
  <si>
    <t>gl_beischrift_bezeichnung</t>
  </si>
  <si>
    <t>im Infinitiv, der die dargestellte Tätigkeit bezeichnet</t>
  </si>
  <si>
    <t>- Inschrift: Blickt in die selbe Richtung wie das Dargestellte</t>
  </si>
  <si>
    <t>- AR, MR: Beischrift meist ohne Determinativ geschrieben</t>
  </si>
  <si>
    <t>- Sonstiges: z. B. Toponym, Tierbezeichnung</t>
  </si>
  <si>
    <t>gl_rueckenschutzformel</t>
  </si>
  <si>
    <t>s_rueckenschutzformel</t>
  </si>
  <si>
    <t>- vertikal geschrieben</t>
  </si>
  <si>
    <t>Aller Schutz (und) alles Leben ist hinter ihm.</t>
  </si>
  <si>
    <t>01_Textgattung/07_Beischriften/04_Rueckenschutzformel/</t>
  </si>
  <si>
    <t>01_sA/</t>
  </si>
  <si>
    <t>01_Textgattung/07_Beischriften/03_Woertliche-Rede/</t>
  </si>
  <si>
    <t>02_dj.n(=j)-n=k/</t>
  </si>
  <si>
    <t>01_Textgattung/07_Beischriften/03_Woertliche-Rede/01_Dd-mdw-jn/</t>
  </si>
  <si>
    <t>01_Dd-mdw/</t>
  </si>
  <si>
    <t>0010_sA_seit-MR_02</t>
  </si>
  <si>
    <t>*ḥꜣ⸗f nb*</t>
  </si>
  <si>
    <t>02_anx/</t>
  </si>
  <si>
    <t>03_HA/</t>
  </si>
  <si>
    <t>04_=f-nb/</t>
  </si>
  <si>
    <t>0001_anx_01</t>
  </si>
  <si>
    <t>0001_=f-nb_01</t>
  </si>
  <si>
    <t>0010_HA_02</t>
  </si>
  <si>
    <t>- mit und ohne Einleitung von [Wörtliche Rede]</t>
  </si>
  <si>
    <t>pages/slots/rueckenschutzformel</t>
  </si>
  <si>
    <t>../slots/rueckenschutzformel.qmd</t>
  </si>
  <si>
    <t>- [Rückenschutzformel] am häufigsten hinter dem König; auch hinter Gottheit</t>
  </si>
  <si>
    <t>gl_rueckenschutzformel_var</t>
  </si>
  <si>
    <t>0001_sA_01.png</t>
  </si>
  <si>
    <t>0010_sA_seit-MR_02.png</t>
  </si>
  <si>
    <t>0020_sA_MR_01.png</t>
  </si>
  <si>
    <t>0030_sA_NR_01.png</t>
  </si>
  <si>
    <t>0040_sA_NR_02.png</t>
  </si>
  <si>
    <t>0050_sA_GR_01.png</t>
  </si>
  <si>
    <t>0060_sA_GR_02.png</t>
  </si>
  <si>
    <t>*ḥꜣ*</t>
  </si>
  <si>
    <t>0001_HA_01.png</t>
  </si>
  <si>
    <t>0010_HA_02.png</t>
  </si>
  <si>
    <t>0020_HA_MR_01.png</t>
  </si>
  <si>
    <t>0030_HA_MR_02.png</t>
  </si>
  <si>
    <t>0040_HA_NR_01.png</t>
  </si>
  <si>
    <t>0050_HA_Sp_01.png</t>
  </si>
  <si>
    <t xml:space="preserve"> &lt;sup&gt;(MR)&lt;/sup&gt;</t>
  </si>
  <si>
    <t xml:space="preserve"> &lt;sup&gt;(Sp.)&lt;/sup&gt;</t>
  </si>
  <si>
    <t>var4</t>
  </si>
  <si>
    <t>formel-gesamt/</t>
  </si>
  <si>
    <t>0001_sA-anx-HA=f-nb_MR_01.png</t>
  </si>
  <si>
    <t>0010_sA-anx-HA=f-nb-NR_01.png</t>
  </si>
  <si>
    <t>0020_sA-anx-HA=f_01.png</t>
  </si>
  <si>
    <t>0030_sA-anx-HA=f_02.png</t>
  </si>
  <si>
    <t>0040_sA-anx-wAs-HA=f_01.png</t>
  </si>
  <si>
    <t>0050_sA-anx-wAs-HA=f_NR-selten-Gr-oft_01.png</t>
  </si>
  <si>
    <t>0060_sA-anx-Dd-wAs-HA=f_D.18_01.png</t>
  </si>
  <si>
    <t>0070_sA-anx-Dd-wAs-snb-HA=f_D.18_01.png</t>
  </si>
  <si>
    <t>gl_rueckenschutzformel-gesamt_var</t>
  </si>
  <si>
    <t>Schreibvarianten der Formel</t>
  </si>
  <si>
    <t>*sꜣ ꜥnḫ ḥꜣ⸗f nb*</t>
  </si>
  <si>
    <t>*sꜣ ꜥnḫ ḥꜣ⸗f*</t>
  </si>
  <si>
    <t>*sꜣ ꜥnḫ wꜣs ḥꜣ⸗f*</t>
  </si>
  <si>
    <t>*sꜣ ꜥnḫ ḏd wꜣs ḥꜣ⸗f*</t>
  </si>
  <si>
    <t>*sꜣ ꜥnḫ ḏd wꜣs snb ḥꜣ⸗f*</t>
  </si>
  <si>
    <t xml:space="preserve"> &lt;sup&gt;(selten NR; Gr. oft)&lt;/sup&gt;</t>
  </si>
  <si>
    <t xml:space="preserve"> &lt;sup&gt;(D.18)&lt;/sup&gt;</t>
  </si>
  <si>
    <t>var5</t>
  </si>
  <si>
    <t>02_jn/</t>
  </si>
  <si>
    <t>0010_jn_02</t>
  </si>
  <si>
    <t>0001_HA.t-sp_01.png</t>
  </si>
  <si>
    <t>0010_HA.t-sp_02.png</t>
  </si>
  <si>
    <t>0020_HA.t-sp_03.png</t>
  </si>
  <si>
    <t>0030_HA.t-sp_04.png</t>
  </si>
  <si>
    <t>0040_HA.t-sp_Sp_01.png</t>
  </si>
  <si>
    <t>0050_HA.t-sp_Sp_02.png</t>
  </si>
  <si>
    <t>0060_HA.t-sp_Sp_03.png</t>
  </si>
  <si>
    <t>03_Jahreszeiten/01_Ax.t/</t>
  </si>
  <si>
    <t>03_Jahreszeiten/02_pr.t/</t>
  </si>
  <si>
    <t>03_Jahreszeiten/03_Smw/</t>
  </si>
  <si>
    <t>0001_Ax.t_01.png</t>
  </si>
  <si>
    <t>0010_Ax.t_02.png</t>
  </si>
  <si>
    <t>0020_Ax.t_03.png</t>
  </si>
  <si>
    <t>0030_Ax.t_04.png</t>
  </si>
  <si>
    <t>0040_Ax.t_NR_01.png</t>
  </si>
  <si>
    <t>0001_pr.t_01.png</t>
  </si>
  <si>
    <t>0010_pr.t_02.png</t>
  </si>
  <si>
    <t>0020_pr.t_AR_01.png</t>
  </si>
  <si>
    <t>0030_pr.t_MR_01.png</t>
  </si>
  <si>
    <t>0040_pr.t_Sp_01.png</t>
  </si>
  <si>
    <t>0050_pr.t_Gr_01.png</t>
  </si>
  <si>
    <t>0001_Smw_01.png</t>
  </si>
  <si>
    <t>0010_Smw_02.png</t>
  </si>
  <si>
    <t>0020_Smw_03.png</t>
  </si>
  <si>
    <t>0030_Smw_D.20_01.png</t>
  </si>
  <si>
    <t>0040_Smw_Sp_Gr_Abk_01.png</t>
  </si>
  <si>
    <t>0050_Smw_Sp_Gr_Abk_02.png</t>
  </si>
  <si>
    <t>0060_Smw_Sp_Gr_Abk_03.png</t>
  </si>
  <si>
    <t>0070_Smw_Gr_01.png</t>
  </si>
  <si>
    <t>0080_Smw_Gr_02.png</t>
  </si>
  <si>
    <t>0090_Smw_Gr_03.png</t>
  </si>
  <si>
    <t>(D.20)</t>
  </si>
  <si>
    <t>(Sp.–Gr.; Abk.)</t>
  </si>
  <si>
    <t>04_Tag/01_sw-arqy/</t>
  </si>
  <si>
    <t>0001_sw-arqy_01.png</t>
  </si>
  <si>
    <t>0010_sw-arqy_02.png</t>
  </si>
  <si>
    <t>0001_sw_01.png</t>
  </si>
  <si>
    <t>0010_sw_02.png</t>
  </si>
  <si>
    <t>0020_sw_MR_01.png</t>
  </si>
  <si>
    <t>0030_sw_NR_01.png</t>
  </si>
  <si>
    <t>0040_sw_Sp_01.png</t>
  </si>
  <si>
    <t>0050_sw_Sp_02.png</t>
  </si>
  <si>
    <t>0060_sw_Sp_03.png</t>
  </si>
  <si>
    <t>0020_sw-arqy_NR_01.png</t>
  </si>
  <si>
    <t>0030_sw-arqy_NR_02.png</t>
  </si>
  <si>
    <t>*n it / mw.t⸗f*</t>
  </si>
  <si>
    <t>02_n-jt=f-mwt=f_01</t>
  </si>
  <si>
    <t>für seinen Vater / seine Mutter</t>
  </si>
  <si>
    <t>I: 141; II: 54</t>
  </si>
  <si>
    <t>konventionelle Übersetzung; später auch ohne *m* geschrieben</t>
  </si>
  <si>
    <t>[Person] NN statt [König] NN: selten</t>
  </si>
  <si>
    <t>&lt;b&gt;Tat&lt;/b&gt;</t>
  </si>
  <si>
    <t>[König] NN / [Person] NN: Er hat als sein Denkmal / sein Denkmal für seinen Vater / seine Mutter [Gottheit] NN gemacht, indem er (der Stifter) ihm (dem Beschenkten) machte (das Bauwerk) u. ä.</t>
  </si>
  <si>
    <t>&lt;b&gt;Tat&lt;/b&gt;: typischerweise im Infinitiv</t>
  </si>
  <si>
    <t>er hat als sein Denkmal gemacht</t>
  </si>
  <si>
    <t>*it*</t>
  </si>
  <si>
    <t>02-1_jt/</t>
  </si>
  <si>
    <t>0001_jt_AR_01.png</t>
  </si>
  <si>
    <t>0010_jt_AR_02.png</t>
  </si>
  <si>
    <t>0020_jt_AR_03.png</t>
  </si>
  <si>
    <t>0030_jt_MR_01.png</t>
  </si>
  <si>
    <t>0040_jt_Gr_01.png</t>
  </si>
  <si>
    <t>0050_jt_Gr_02.png</t>
  </si>
  <si>
    <t>03-1_mw.t/</t>
  </si>
  <si>
    <t>0030_mw.t_seit-MR_01.png</t>
  </si>
  <si>
    <t>0040_mw.t_seit-MR_02.png</t>
  </si>
  <si>
    <t>0050_mw.t_seit-MR_03.png</t>
  </si>
  <si>
    <t>0060_mw.t_NR_01.png</t>
  </si>
  <si>
    <t>0070_mw.t_Sp_01.png</t>
  </si>
  <si>
    <t>[[table:tb_epith_chons_001|Öffne]]</t>
  </si>
  <si>
    <t>tb_epith_chons_001</t>
  </si>
  <si>
    <t>0001_m-WAs.t_NR_01.png</t>
  </si>
  <si>
    <t>0010_m-WAs.t_NR_02.png</t>
  </si>
  <si>
    <t>epitheta/01-m-wAs.t/</t>
  </si>
  <si>
    <t>*m wꜣs.t*</t>
  </si>
  <si>
    <t>in Theben</t>
  </si>
  <si>
    <t>*pꜣ iri sḫr.w m wꜣs.t*</t>
  </si>
  <si>
    <t>der die Pläne in Theben macht</t>
  </si>
  <si>
    <t>0001_pA-jrj-sxr.w-m-WAs.t_Sp_01.png</t>
  </si>
  <si>
    <t>epitheta/02-pA-jrj-sxr.w-m-WAs.t/</t>
  </si>
  <si>
    <t>*ḏd*</t>
  </si>
  <si>
    <t>0010_Dd_01.png</t>
  </si>
  <si>
    <t>0020_Dd_seitMR_01.png</t>
  </si>
  <si>
    <t>0030_Dd_Sp_Gr_01.png</t>
  </si>
  <si>
    <t>0040_Dd_Gr_01.png</t>
  </si>
  <si>
    <t>0050_Dd_Gr_02.png</t>
  </si>
  <si>
    <t xml:space="preserve"> &lt;sup&gt;(Sp.; Gr.)&lt;/sup&gt;</t>
  </si>
  <si>
    <t>0040_jn_NR_01.png</t>
  </si>
  <si>
    <t>0010_jn_01.png</t>
  </si>
  <si>
    <t>0020_jn_AR_01.png</t>
  </si>
  <si>
    <t>0030_jn_AR_02.png</t>
  </si>
  <si>
    <t>0001_jnD-Hr_01.png</t>
  </si>
  <si>
    <t>0010_jnD-Hr_01.png</t>
  </si>
  <si>
    <t>0020_jnD-Hr_02.png</t>
  </si>
  <si>
    <t>0030_jnD-Hr_AR_01.png</t>
  </si>
  <si>
    <t>0040_jnD-Hr_AR_MR_01.png</t>
  </si>
  <si>
    <t>0050_jnD-Hr_AR_MR_02.png</t>
  </si>
  <si>
    <t>0060_jnD-Hr_NR_01.png</t>
  </si>
  <si>
    <t>0070_jnD-Hr_D18_01.png</t>
  </si>
  <si>
    <t>0080_jnD-Hr_Gr_01.png</t>
  </si>
  <si>
    <t>0090_jnD-Hr_Gr_02.png</t>
  </si>
  <si>
    <t>0100_dwA_Sp_02.png</t>
  </si>
  <si>
    <t>0010_dwA_AR_01.png</t>
  </si>
  <si>
    <t>0020_dwA_Pyr_01.png</t>
  </si>
  <si>
    <t>0030_dwA_seit-MR_01.png</t>
  </si>
  <si>
    <t>0040_dwA_seit-MR_02.png</t>
  </si>
  <si>
    <t>0050_dwA_seit-MR_03.png</t>
  </si>
  <si>
    <t>0060_dwA_seit-MR_04.png</t>
  </si>
  <si>
    <t>0070_dwA_Ende-NR_01.png</t>
  </si>
  <si>
    <t>0080_dwA_Ende-NR_02.png</t>
  </si>
  <si>
    <t>0090_dwA_Sp_01.png</t>
  </si>
  <si>
    <t xml:space="preserve"> &lt;sup&gt;(Pyr.)&lt;/sup&gt;</t>
  </si>
  <si>
    <t>0010_rDj.t-jAw_02.png</t>
  </si>
  <si>
    <t>0020_rDj.t-jAw_NR_01.png</t>
  </si>
  <si>
    <t>0030_rDj.t-jAw_NR_02.png</t>
  </si>
  <si>
    <t>0040_rDj.t-jAw_NR_03.png</t>
  </si>
  <si>
    <t>0050_rDj.t-jAw_NR_04.png</t>
  </si>
  <si>
    <t>0060_rDj.t-jAw_NR_05.png</t>
  </si>
  <si>
    <t>0001_jAw_01.png</t>
  </si>
  <si>
    <t>0010_jAw_AR_01.png</t>
  </si>
  <si>
    <t>0020_jAw_AR_02.png</t>
  </si>
  <si>
    <t>0030_jAw_NR_01.png</t>
  </si>
  <si>
    <t>0040_jAw_D.18_01.png</t>
  </si>
  <si>
    <t>0050_jAw_Gr_01.png</t>
  </si>
  <si>
    <t>0060_jAw_Gr_02.png</t>
  </si>
  <si>
    <t>0070_jAw_Abk_01.png</t>
  </si>
  <si>
    <t>02_rDj.t-jAw/02_jAw/</t>
  </si>
  <si>
    <t xml:space="preserve"> &lt;sup&gt;(Abk.)&lt;/sup&gt;</t>
  </si>
  <si>
    <t>*iꜣw*</t>
  </si>
  <si>
    <t>*sn tꜣ*</t>
  </si>
  <si>
    <t>0010_sn-tA_01.png</t>
  </si>
  <si>
    <t>0020_sn-tA_NR_01.png</t>
  </si>
  <si>
    <t>0030_sn-tA_NR_02.png</t>
  </si>
  <si>
    <t>0040_sn-tA_NR_03.png</t>
  </si>
  <si>
    <t>0050_sn-tA_D.18_01.png</t>
  </si>
  <si>
    <t>0060_sn-tA_Abk-MR-NR_01.png</t>
  </si>
  <si>
    <t>0070_sn-tA_Abk-Gr_01.png</t>
  </si>
  <si>
    <t xml:space="preserve"> &lt;sup&gt;(Abk. MR, NR)&lt;/sup&gt;</t>
  </si>
  <si>
    <t xml:space="preserve"> &lt;sup&gt;(Abk. Gr.)&lt;/sup&gt;</t>
  </si>
  <si>
    <t>01_Horusname_01/</t>
  </si>
  <si>
    <t>02_Herrinname_01/</t>
  </si>
  <si>
    <t>03_Goldhorus_01/</t>
  </si>
  <si>
    <t>04_Thronname_01/</t>
  </si>
  <si>
    <t>05_Eigenname_01/</t>
  </si>
  <si>
    <t>0010_Hr_AR_01.png</t>
  </si>
  <si>
    <t>0020_Hr_MR_01.png</t>
  </si>
  <si>
    <t>0030_Hr_MR_02.png</t>
  </si>
  <si>
    <t>0040_Hr_D.19_01.png</t>
  </si>
  <si>
    <t>0050_Hr_D.19_02.png</t>
  </si>
  <si>
    <t>0001_nbty_01.png</t>
  </si>
  <si>
    <t>0010_nbty_Gr_01.png</t>
  </si>
  <si>
    <t>0001_Hr-m-nb.w_01.png</t>
  </si>
  <si>
    <t>0001_nsw-bit_01.png</t>
  </si>
  <si>
    <t>0010_nsw-bit_02.png</t>
  </si>
  <si>
    <t>0020_nsw-bit_NR_01.png</t>
  </si>
  <si>
    <t>0030_nsw-bit_NR_02.png</t>
  </si>
  <si>
    <t>0040_nsw-bit_NR_03.png</t>
  </si>
  <si>
    <t>0050_nsw-bit_NR_04.png</t>
  </si>
  <si>
    <t>0060_nsw-bit_Gr_01.png</t>
  </si>
  <si>
    <t>0070_nsw-bit_Gr_02.png</t>
  </si>
  <si>
    <t>0080_nsw-bit_Gr_03.png</t>
  </si>
  <si>
    <t>0090_nsw-bit_Gr_04.png</t>
  </si>
  <si>
    <t>0001_sA-ra_01.png</t>
  </si>
  <si>
    <t>0010_sA-ra_AR_01.png</t>
  </si>
  <si>
    <t>0020_sA-ra_MR_01.png</t>
  </si>
  <si>
    <t>0030_sA-ra_D.20_01.png</t>
  </si>
  <si>
    <t>0040_sA-ra_NR_01.png</t>
  </si>
  <si>
    <t>0050_sA-ra_Gr_01.png</t>
  </si>
  <si>
    <t>nach *ḫr ḥm n*: Thronname des Königs</t>
  </si>
  <si>
    <t>&lt;b&gt;[narrativer Text]&lt;/b&gt;</t>
  </si>
  <si>
    <t>&lt;b&gt;Lobpreisungen für Gottheit&lt;/b&gt;</t>
  </si>
  <si>
    <t>&lt;span style="vertical-align:-75%"&gt;&amp;nbsp;&lt;/span&gt;&lt;br/&gt;</t>
  </si>
  <si>
    <t>gl_saitenformel</t>
  </si>
  <si>
    <t>- erstmals in der 18. Dynastie belegt</t>
  </si>
  <si>
    <t>gl_saitenformel_var</t>
  </si>
  <si>
    <t>- Jansen-Winkeln, Karl 2000. Zum Verständnis der "Saitischen Formel". Studien zur Altägyptischen Kultur 28, 83-124.</t>
  </si>
  <si>
    <t>- NR: Klotz, David 2016. Get thee behind me, City God! New Kingdom versions of the so-called "Saite Formula". Zeitschrift für ägyptische Sprache und Altertumskunde 143 (2), 204-213. DOI: 10.1515/zaes-2016-0014.</t>
  </si>
  <si>
    <t>gl_anruf-lebenden</t>
  </si>
  <si>
    <t>- *swꜣi⸗sn*: seit der 3. Zwischenzeit auch ohne *ti* geschrieben</t>
  </si>
  <si>
    <t>- Shubert, Steven Blake 2007. Those who (still) live on earth: a study of the ancient Egyptian Appeal to the Living texts. Toronto; Ottawa: University of Toronto; Library and Archives Canada.</t>
  </si>
  <si>
    <t>tla_id</t>
  </si>
  <si>
    <t>*ir.n⸗f mn.w⸗f*</t>
  </si>
  <si>
    <t>28550;70420</t>
  </si>
  <si>
    <t>96700;20360</t>
  </si>
  <si>
    <t>400036;104690</t>
  </si>
  <si>
    <t>02_Slots/Koenig/04_Thronname_01/</t>
  </si>
  <si>
    <t>[Datum] unter der Majestät / Regierung des [König]s</t>
  </si>
  <si>
    <t>TLA</t>
  </si>
  <si>
    <t>100620;850581</t>
  </si>
  <si>
    <t>[Anfangsformel]</t>
  </si>
  <si>
    <t>125510;113110</t>
  </si>
  <si>
    <t>*mnw*</t>
  </si>
  <si>
    <t>*rꜥ-ḥr-ꜣḫ.ti*</t>
  </si>
  <si>
    <t>der seinen Vater grüßt</t>
  </si>
  <si>
    <t>*nḏ it⸗f*</t>
  </si>
  <si>
    <t>*sꜣ ꜣs.t*</t>
  </si>
  <si>
    <t>*ḫnsw*</t>
  </si>
  <si>
    <t>tableFixHead table-wide table-resizable</t>
  </si>
  <si>
    <t>\+ [Aufzählung] mit/ohne [Attribut]</t>
  </si>
  <si>
    <t>\+ [Schlussformel]</t>
  </si>
  <si>
    <r>
      <t>Hoffmann, Friedhelm 2021. Einige Beobachtungen zur Rückenschutzformel. In Ullmann, Martina, Gabriele Pieke, Friedhelm Hoffmann, and Christian Bayer (eds), *</t>
    </r>
    <r>
      <rPr>
        <i/>
        <sz val="12"/>
        <color theme="1"/>
        <rFont val="Arial"/>
        <family val="2"/>
      </rPr>
      <t>Up and down the Nile: ägyptologische Studien für Regine Schulz*</t>
    </r>
    <r>
      <rPr>
        <sz val="12"/>
        <color theme="1"/>
        <rFont val="Arial"/>
        <family val="2"/>
      </rPr>
      <t>, 187–204. Münster: Zaphon.</t>
    </r>
  </si>
  <si>
    <t>- Meulenaere, H. J. A. de 1997–2000. Sculptures mendésiennes de Basse Époque. Jaarbericht van het Vooraziatisch-Egyptisch Genootschap Ex Oriente Lux 35–36, 33–39: F. 81</t>
  </si>
  <si>
    <t>Inschriftenschlüssel</t>
  </si>
  <si>
    <t>*nsw(t) bit*</t>
  </si>
  <si>
    <t>*ḥr n nbw*</t>
  </si>
  <si>
    <t>*nsw(t)*</t>
  </si>
  <si>
    <t>*ꜣbd*</t>
  </si>
  <si>
    <t>*šmw*</t>
  </si>
  <si>
    <t>*ꜥrqy*</t>
  </si>
  <si>
    <t>Zur Schreibung von Zahlen</t>
  </si>
  <si>
    <t>tb_datum_reihenfolge</t>
  </si>
  <si>
    <t>Reihenfolge</t>
  </si>
  <si>
    <t>Zahlen</t>
  </si>
  <si>
    <t>tb_datum_zahlen</t>
  </si>
  <si>
    <t>*ḥꜣ.t-sp*</t>
  </si>
  <si>
    <t>*ḥsb.t*</t>
  </si>
  <si>
    <t>*rnp.t-sp*</t>
  </si>
  <si>
    <t>III: 26</t>
  </si>
  <si>
    <t xml:space="preserve">gefolgt von einer Zahl; Umschrift konventionell </t>
  </si>
  <si>
    <t>02_Monat/01_Abd/</t>
  </si>
  <si>
    <t>0001_Abd_01.png</t>
  </si>
  <si>
    <t>0010_Abd_02.png</t>
  </si>
  <si>
    <t>0020_Abd_AR_01.png</t>
  </si>
  <si>
    <t>0030_Abd_AR_02.png</t>
  </si>
  <si>
    <t>0040_Abd_MR_01.png</t>
  </si>
  <si>
    <t>0050_Abd_Gr_01.png</t>
  </si>
  <si>
    <t>I: 8, 65</t>
  </si>
  <si>
    <t>gefolgt von der Zahl 1, 2, 3 oder 4</t>
  </si>
  <si>
    <t>Erster der *X* Jahreszeit</t>
  </si>
  <si>
    <t>V: 279</t>
  </si>
  <si>
    <t>erster Monat einer Jahreszeit</t>
  </si>
  <si>
    <t>*rnp.t-ḥsb*</t>
  </si>
  <si>
    <t>(u. a.)</t>
  </si>
  <si>
    <t>[[subheader:Jahr]]</t>
  </si>
  <si>
    <t>[[subheader:Monat]]</t>
  </si>
  <si>
    <t>[[subheader:Jahreszeit]]</t>
  </si>
  <si>
    <t>Jahreszeit der Überschwemmung; erste Jahreszeit d. äg. Kalenders</t>
  </si>
  <si>
    <t>I: 13</t>
  </si>
  <si>
    <t>I: 530</t>
  </si>
  <si>
    <t>Winter/Sprosszeit; zweite Jahreszeit d. äg. Kalenders</t>
  </si>
  <si>
    <t>Sommer/Erntezeit; dritte Jahreszeit d. äg. Kalenders</t>
  </si>
  <si>
    <t>IV: 480</t>
  </si>
  <si>
    <t>[[subheader:Tag]]</t>
  </si>
  <si>
    <t>IV: 58</t>
  </si>
  <si>
    <t>gefolgt von einer Zahl zw. 1–29; gerne liegend geschrieben</t>
  </si>
  <si>
    <t>letzter (= 30.) Tag</t>
  </si>
  <si>
    <t>I: 212</t>
  </si>
  <si>
    <t>letzter Monatstag</t>
  </si>
  <si>
    <t>05_Zahlen/01_Eins/</t>
  </si>
  <si>
    <t>gerne liegend geschrieben</t>
  </si>
  <si>
    <t>0020_eins_03</t>
  </si>
  <si>
    <t>0020_zwei_03</t>
  </si>
  <si>
    <t>05_Zahlen/02_Zwei/</t>
  </si>
  <si>
    <t>05_Zahlen/03_Drei/</t>
  </si>
  <si>
    <t>05_Zahlen/04_Vier/</t>
  </si>
  <si>
    <t>0020_drei_03</t>
  </si>
  <si>
    <t>0020_vier_03</t>
  </si>
  <si>
    <t>1, 2, 3, 4</t>
  </si>
  <si>
    <t>I: 65</t>
  </si>
  <si>
    <t>05_Zahlen/10_Zehn/</t>
  </si>
  <si>
    <t>0020_zehn_03</t>
  </si>
  <si>
    <t>im Datum auch liegend geschrieben</t>
  </si>
  <si>
    <t>Seltene Hieroglyphen</t>
  </si>
  <si>
    <t>gl_datum_zahlen_schreibung_eins</t>
  </si>
  <si>
    <t>gl_datum_zahlen_schreibung_zehn</t>
  </si>
  <si>
    <t>2. &lt;b&gt;Monat *X* der *X*-Jahreszeit,&lt;/b&gt;</t>
  </si>
  <si>
    <t>3. &lt;b&gt;Tag *X*&lt;/b&gt;</t>
  </si>
  <si>
    <t>1. &lt;b&gt;Jahr *X*,&lt;/b&gt;</t>
  </si>
  <si>
    <t>1, 10:</t>
  </si>
  <si>
    <t>- Barta, Winfried. 1968. Aufbau und Bedeutung der altägyptischen Opferformel. Ägyptologische forschungen 24. J. J. Augustin.</t>
  </si>
  <si>
    <t>- Lapp, Günther. 1986. Die Opferformel des Alten Reiches: unter Berücksichtigung einiger späterer Formen. Sonderschrift, Deutsches Archäologisches Institut, Abteilung Kairo 21. Philipp von Zabern.</t>
  </si>
  <si>
    <t>platform</t>
  </si>
  <si>
    <t>image</t>
  </si>
  <si>
    <t>caption</t>
  </si>
  <si>
    <t>ios</t>
  </si>
  <si>
    <t>Öffne die Webseite in Safari.</t>
  </si>
  <si>
    <t>Tippe unten auf das Teilen-Symbol.</t>
  </si>
  <si>
    <t>Wähle „Zum Home-Bildschirm“.</t>
  </si>
  <si>
    <t>Bestätige mit „Hinzufügen“.</t>
  </si>
  <si>
    <t>android</t>
  </si>
  <si>
    <t>assets/tutorial/android-01.webp</t>
  </si>
  <si>
    <t>Öffne die Webseite in Chrome.</t>
  </si>
  <si>
    <t>assets/tutorial/android-02.webp</t>
  </si>
  <si>
    <t>Öffne das Browser-Menü.</t>
  </si>
  <si>
    <t>assets/tutorial/android-03.webp</t>
  </si>
  <si>
    <t>Wähle „App installieren“.</t>
  </si>
  <si>
    <t>assets/tutorial/android-04.webp</t>
  </si>
  <si>
    <t>Bestätige die Installation.</t>
  </si>
  <si>
    <t>assets/tutorial/ios_01.webp</t>
  </si>
  <si>
    <t>assets/tutorial/ios_02.webp</t>
  </si>
  <si>
    <t>assets/tutorial/ios_03.webp</t>
  </si>
  <si>
    <t>assets/tutorial/ios_04.webp</t>
  </si>
  <si>
    <t>transcription</t>
  </si>
  <si>
    <t>Gottheit aus Verehrungsgründen vorangestellt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</si>
</sst>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2"/>
      <color theme="1"/>
      <name val="Aptos Narrow"/>
      <family val="2"/>
      <scheme val="minor"/>
    </font>
    <font>
      <u/>
      <sz val="12"/>
      <color theme="10"/>
      <name val="Aptos Narrow"/>
      <family val="2"/>
      <scheme val="minor"/>
    </font>
    <font>
      <b/>
      <sz val="12"/>
      <color theme="1"/>
      <name val="Arial"/>
      <family val="2"/>
    </font>
    <font>
      <sz val="12"/>
      <color theme="1"/>
      <name val="Arial"/>
      <family val="2"/>
    </font>
    <font>
      <i/>
      <sz val="12"/>
      <color theme="1"/>
      <name val="Arial"/>
      <family val="2"/>
    </font>
    <font>
      <u/>
      <sz val="12"/>
      <color theme="10"/>
      <name val="Arial"/>
      <family val="2"/>
    </font>
    <font>
      <sz val="11"/>
      <color theme="1"/>
      <name val="Arial"/>
      <family val="2"/>
    </font>
    <font>
      <sz val="12"/>
      <color rgb="FF000000"/>
      <name val="Arial"/>
      <family val="2"/>
    </font>
    <font>
      <sz val="12"/>
      <color theme="1"/>
      <name val="Aptos Narrow"/>
      <scheme val="minor"/>
    </font>
    <font>
      <b/>
      <sz val="12"/>
      <color theme="1"/>
      <name val="Aptos Narrow"/>
      <scheme val="minor"/>
    </font>
    <font>
      <sz val="10"/>
      <color theme="1"/>
      <name val="Arial Unicode MS"/>
      <family val="2"/>
    </font>
  </fonts>
  <fills count="11">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499984740745262"/>
        <bgColor indexed="64"/>
      </patternFill>
    </fill>
    <fill>
      <patternFill patternType="solid">
        <fgColor theme="5" tint="0.39997558519241921"/>
        <bgColor indexed="64"/>
      </patternFill>
    </fill>
    <fill>
      <patternFill patternType="solid">
        <fgColor theme="6"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1">
    <xf numFmtId="0" fontId="0" fillId="0" borderId="0" xfId="0"/>
    <xf numFmtId="0" fontId="2" fillId="0" borderId="0" xfId="0" applyFont="1"/>
    <xf numFmtId="0" fontId="3" fillId="0" borderId="0" xfId="0" applyFont="1"/>
    <xf numFmtId="0" fontId="3" fillId="3" borderId="0" xfId="0" applyFont="1" applyFill="1"/>
    <xf numFmtId="0" fontId="3" fillId="2" borderId="0" xfId="0" applyFont="1" applyFill="1"/>
    <xf numFmtId="0" fontId="3" fillId="4" borderId="0" xfId="0" applyFont="1" applyFill="1"/>
    <xf numFmtId="0" fontId="3" fillId="6" borderId="0" xfId="0" applyFont="1" applyFill="1"/>
    <xf numFmtId="0" fontId="3" fillId="7" borderId="0" xfId="0" applyFont="1" applyFill="1"/>
    <xf numFmtId="0" fontId="3" fillId="8" borderId="0" xfId="0" applyFont="1" applyFill="1"/>
    <xf numFmtId="0" fontId="3" fillId="9" borderId="0" xfId="0" applyFont="1" applyFill="1"/>
    <xf numFmtId="0" fontId="3" fillId="10" borderId="0" xfId="0" applyFont="1" applyFill="1"/>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3" fillId="3" borderId="0" xfId="0" applyFont="1" applyFill="1" applyAlignment="1">
      <alignment vertical="top"/>
    </xf>
    <xf numFmtId="0" fontId="3" fillId="3" borderId="0" xfId="0" applyFont="1" applyFill="1" applyAlignment="1">
      <alignment vertical="top" wrapText="1"/>
    </xf>
    <xf numFmtId="0" fontId="3" fillId="2" borderId="0" xfId="0" applyFont="1" applyFill="1" applyAlignment="1">
      <alignment vertical="top"/>
    </xf>
    <xf numFmtId="0" fontId="3" fillId="2" borderId="0" xfId="0" applyFont="1" applyFill="1" applyAlignment="1">
      <alignment vertical="top" wrapText="1"/>
    </xf>
    <xf numFmtId="0" fontId="3" fillId="4" borderId="0" xfId="0" applyFont="1" applyFill="1" applyAlignment="1">
      <alignment vertical="top"/>
    </xf>
    <xf numFmtId="0" fontId="3" fillId="4" borderId="0" xfId="0" applyFont="1" applyFill="1" applyAlignment="1">
      <alignment vertical="top" wrapText="1"/>
    </xf>
    <xf numFmtId="0" fontId="3" fillId="6" borderId="0" xfId="0" applyFont="1" applyFill="1" applyAlignment="1">
      <alignment vertical="top"/>
    </xf>
    <xf numFmtId="0" fontId="3" fillId="6" borderId="0" xfId="0" applyFont="1" applyFill="1" applyAlignment="1">
      <alignment vertical="top" wrapText="1"/>
    </xf>
    <xf numFmtId="0" fontId="3" fillId="7" borderId="0" xfId="0" applyFont="1" applyFill="1" applyAlignment="1">
      <alignment vertical="top"/>
    </xf>
    <xf numFmtId="0" fontId="3" fillId="7" borderId="0" xfId="0" applyFont="1" applyFill="1" applyAlignment="1">
      <alignment vertical="top" wrapText="1"/>
    </xf>
    <xf numFmtId="0" fontId="3" fillId="8" borderId="0" xfId="0" applyFont="1" applyFill="1" applyAlignment="1">
      <alignment vertical="top"/>
    </xf>
    <xf numFmtId="0" fontId="3" fillId="8" borderId="0" xfId="0" applyFont="1" applyFill="1" applyAlignment="1">
      <alignment vertical="top" wrapText="1"/>
    </xf>
    <xf numFmtId="0" fontId="3" fillId="8" borderId="0" xfId="0" quotePrefix="1" applyFont="1" applyFill="1" applyAlignment="1">
      <alignment vertical="top" wrapText="1"/>
    </xf>
    <xf numFmtId="0" fontId="3" fillId="9" borderId="0" xfId="0" applyFont="1" applyFill="1" applyAlignment="1">
      <alignment vertical="top"/>
    </xf>
    <xf numFmtId="0" fontId="3" fillId="9" borderId="0" xfId="0" applyFont="1" applyFill="1" applyAlignment="1">
      <alignment vertical="top" wrapText="1"/>
    </xf>
    <xf numFmtId="0" fontId="3" fillId="9" borderId="0" xfId="0" quotePrefix="1" applyFont="1" applyFill="1" applyAlignment="1">
      <alignment vertical="top" wrapText="1"/>
    </xf>
    <xf numFmtId="0" fontId="3" fillId="10" borderId="0" xfId="0" applyFont="1" applyFill="1" applyAlignment="1">
      <alignment vertical="top"/>
    </xf>
    <xf numFmtId="0" fontId="3" fillId="10" borderId="0" xfId="0" applyFont="1" applyFill="1" applyAlignment="1">
      <alignment vertical="top" wrapText="1"/>
    </xf>
    <xf numFmtId="0" fontId="3" fillId="10" borderId="0" xfId="0" quotePrefix="1" applyFont="1" applyFill="1" applyAlignment="1">
      <alignment vertical="top" wrapText="1"/>
    </xf>
    <xf numFmtId="0" fontId="3" fillId="0" borderId="0" xfId="0" applyFont="1" applyAlignment="1">
      <alignment vertical="top" wrapText="1"/>
    </xf>
    <xf numFmtId="0" fontId="6" fillId="0" borderId="0" xfId="0" applyFont="1" applyAlignment="1">
      <alignment horizontal="justify" vertical="top"/>
    </xf>
    <xf numFmtId="0" fontId="3" fillId="0" borderId="0" xfId="0" applyFont="1" applyAlignment="1">
      <alignment wrapText="1"/>
    </xf>
    <xf numFmtId="1" fontId="3" fillId="0" borderId="0" xfId="0" applyNumberFormat="1" applyFont="1"/>
    <xf numFmtId="1" fontId="2" fillId="0" borderId="0" xfId="0" applyNumberFormat="1" applyFont="1"/>
    <xf numFmtId="1" fontId="3" fillId="3" borderId="0" xfId="0" applyNumberFormat="1" applyFont="1" applyFill="1"/>
    <xf numFmtId="1" fontId="3" fillId="2" borderId="0" xfId="0" applyNumberFormat="1" applyFont="1" applyFill="1"/>
    <xf numFmtId="1" fontId="3" fillId="5" borderId="0" xfId="0" applyNumberFormat="1" applyFont="1" applyFill="1"/>
    <xf numFmtId="0" fontId="3" fillId="5" borderId="0" xfId="0" applyFont="1" applyFill="1"/>
    <xf numFmtId="164" fontId="3" fillId="0" borderId="0" xfId="0" applyNumberFormat="1" applyFont="1"/>
    <xf numFmtId="0" fontId="7" fillId="0" borderId="0" xfId="0" applyFont="1"/>
    <xf numFmtId="0" fontId="3" fillId="4" borderId="0" xfId="0" quotePrefix="1" applyFont="1" applyFill="1"/>
    <xf numFmtId="0" fontId="3" fillId="0" borderId="0" xfId="0" quotePrefix="1" applyFont="1" applyAlignment="1">
      <alignment vertical="top" wrapText="1"/>
    </xf>
    <xf numFmtId="0" fontId="5" fillId="0" borderId="0" xfId="1" applyFont="1" applyFill="1" applyAlignment="1">
      <alignment vertical="top" wrapText="1"/>
    </xf>
    <xf numFmtId="0" fontId="6" fillId="0" borderId="0" xfId="0" applyFont="1" applyAlignment="1">
      <alignment horizontal="left" vertical="top" wrapText="1"/>
    </xf>
    <xf numFmtId="0" fontId="3" fillId="0" borderId="0" xfId="0" applyFont="1" applyAlignment="1">
      <alignment horizontal="left"/>
    </xf>
    <xf numFmtId="0" fontId="2" fillId="0" borderId="0" xfId="0" applyFont="1" applyAlignment="1">
      <alignment horizontal="left"/>
    </xf>
    <xf numFmtId="0" fontId="3" fillId="3" borderId="0" xfId="0" applyFont="1" applyFill="1" applyAlignment="1">
      <alignment horizontal="left"/>
    </xf>
    <xf numFmtId="0" fontId="3" fillId="2" borderId="0" xfId="0" applyFont="1" applyFill="1" applyAlignment="1">
      <alignment horizontal="left"/>
    </xf>
    <xf numFmtId="0" fontId="3" fillId="5" borderId="0" xfId="0" applyFont="1" applyFill="1" applyAlignment="1">
      <alignment horizontal="left"/>
    </xf>
    <xf numFmtId="0" fontId="3" fillId="4" borderId="0" xfId="0" applyFont="1" applyFill="1" applyAlignment="1">
      <alignment horizontal="left"/>
    </xf>
    <xf numFmtId="0" fontId="7" fillId="0" borderId="0" xfId="0" applyFont="1" applyAlignment="1">
      <alignment horizontal="left"/>
    </xf>
    <xf numFmtId="0" fontId="3" fillId="0" borderId="0" xfId="0" quotePrefix="1" applyFont="1"/>
    <xf numFmtId="0" fontId="3" fillId="3" borderId="0" xfId="0" quotePrefix="1" applyFont="1" applyFill="1" applyAlignment="1">
      <alignment vertical="top" wrapText="1"/>
    </xf>
    <xf numFmtId="0" fontId="8" fillId="0" borderId="0" xfId="0" applyFont="1"/>
    <xf numFmtId="0" fontId="9" fillId="0" borderId="0" xfId="0" applyFont="1"/>
    <xf numFmtId="0" fontId="10" fillId="0" borderId="0" xfId="0" applyFont="1"/>
    <xf numFmtId="0" fontId="3" fillId="0" borderId="0" xfId="0" applyFont="1" applyFill="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github.com/MarkusKut/Inschriftenschluessel.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E2D7D-6A15-A747-8ABA-0F1F90941768}">
  <dimension ref="A1:F20"/>
  <sheetViews>
    <sheetView zoomScaleNormal="150" workbookViewId="0">
      <selection activeCell="C18" sqref="C18"/>
    </sheetView>
  </sheetViews>
  <sheetFormatPr baseColWidth="10" defaultColWidth="7.5" defaultRowHeight="16" x14ac:dyDescent="0.2"/>
  <cols>
    <col min="1" max="1" width="19.5" style="2" bestFit="1" customWidth="1"/>
    <col min="2" max="2" width="7.33203125" style="2" bestFit="1" customWidth="1"/>
    <col min="3" max="3" width="30.1640625" style="2" bestFit="1" customWidth="1"/>
    <col min="4" max="4" width="40.83203125" style="2" bestFit="1" customWidth="1"/>
    <col min="5" max="5" width="9.5" style="2" bestFit="1" customWidth="1"/>
    <col min="6" max="6" width="4.5" style="2" bestFit="1" customWidth="1"/>
    <col min="7" max="16384" width="7.5" style="2"/>
  </cols>
  <sheetData>
    <row r="1" spans="1:6" x14ac:dyDescent="0.2">
      <c r="A1" s="1" t="s">
        <v>0</v>
      </c>
      <c r="B1" s="1" t="s">
        <v>1</v>
      </c>
      <c r="C1" s="1" t="s">
        <v>2</v>
      </c>
      <c r="D1" s="1" t="s">
        <v>3</v>
      </c>
      <c r="E1" s="1" t="s">
        <v>4</v>
      </c>
      <c r="F1" s="1" t="s">
        <v>5</v>
      </c>
    </row>
    <row r="2" spans="1:6" x14ac:dyDescent="0.2">
      <c r="A2" s="2" t="s">
        <v>6</v>
      </c>
      <c r="B2" s="2" t="s">
        <v>7</v>
      </c>
      <c r="C2" s="2" t="s">
        <v>1576</v>
      </c>
      <c r="D2" s="2" t="s">
        <v>8</v>
      </c>
      <c r="F2" s="2">
        <v>1</v>
      </c>
    </row>
    <row r="3" spans="1:6" s="3" customFormat="1" x14ac:dyDescent="0.2">
      <c r="A3" s="3" t="s">
        <v>9</v>
      </c>
      <c r="B3" s="3" t="s">
        <v>10</v>
      </c>
      <c r="C3" s="3" t="s">
        <v>18</v>
      </c>
      <c r="D3" s="3" t="s">
        <v>11</v>
      </c>
      <c r="F3" s="3">
        <v>10</v>
      </c>
    </row>
    <row r="4" spans="1:6" s="4" customFormat="1" x14ac:dyDescent="0.2">
      <c r="A4" s="4" t="s">
        <v>61</v>
      </c>
      <c r="B4" s="4" t="s">
        <v>10</v>
      </c>
      <c r="C4" s="4" t="s">
        <v>319</v>
      </c>
      <c r="D4" s="4" t="s">
        <v>68</v>
      </c>
      <c r="F4" s="4">
        <v>20</v>
      </c>
    </row>
    <row r="5" spans="1:6" s="5" customFormat="1" x14ac:dyDescent="0.2">
      <c r="A5" s="5" t="s">
        <v>62</v>
      </c>
      <c r="B5" s="5" t="s">
        <v>10</v>
      </c>
      <c r="C5" s="5" t="s">
        <v>355</v>
      </c>
      <c r="D5" s="5" t="s">
        <v>69</v>
      </c>
      <c r="F5" s="5">
        <v>30</v>
      </c>
    </row>
    <row r="6" spans="1:6" s="6" customFormat="1" x14ac:dyDescent="0.2">
      <c r="A6" s="6" t="s">
        <v>63</v>
      </c>
      <c r="B6" s="6" t="s">
        <v>10</v>
      </c>
      <c r="C6" s="6" t="s">
        <v>442</v>
      </c>
      <c r="D6" s="6" t="s">
        <v>70</v>
      </c>
      <c r="F6" s="6">
        <v>40</v>
      </c>
    </row>
    <row r="7" spans="1:6" s="7" customFormat="1" x14ac:dyDescent="0.2">
      <c r="A7" s="7" t="s">
        <v>64</v>
      </c>
      <c r="B7" s="7" t="s">
        <v>10</v>
      </c>
      <c r="C7" s="7" t="s">
        <v>455</v>
      </c>
      <c r="D7" s="7" t="s">
        <v>71</v>
      </c>
      <c r="F7" s="7">
        <v>50</v>
      </c>
    </row>
    <row r="8" spans="1:6" s="8" customFormat="1" x14ac:dyDescent="0.2">
      <c r="A8" s="8" t="s">
        <v>65</v>
      </c>
      <c r="B8" s="8" t="s">
        <v>10</v>
      </c>
      <c r="C8" s="8" t="s">
        <v>514</v>
      </c>
      <c r="D8" s="8" t="s">
        <v>72</v>
      </c>
      <c r="F8" s="8">
        <v>60</v>
      </c>
    </row>
    <row r="9" spans="1:6" s="9" customFormat="1" x14ac:dyDescent="0.2">
      <c r="A9" s="9" t="s">
        <v>66</v>
      </c>
      <c r="B9" s="9" t="s">
        <v>10</v>
      </c>
      <c r="C9" s="9" t="s">
        <v>1035</v>
      </c>
      <c r="D9" s="9" t="s">
        <v>73</v>
      </c>
      <c r="F9" s="9">
        <v>70</v>
      </c>
    </row>
    <row r="10" spans="1:6" s="10" customFormat="1" x14ac:dyDescent="0.2">
      <c r="A10" s="10" t="s">
        <v>67</v>
      </c>
      <c r="B10" s="10" t="s">
        <v>10</v>
      </c>
      <c r="C10" s="10" t="s">
        <v>1036</v>
      </c>
      <c r="D10" s="10" t="s">
        <v>74</v>
      </c>
      <c r="F10" s="10">
        <v>80</v>
      </c>
    </row>
    <row r="11" spans="1:6" x14ac:dyDescent="0.2">
      <c r="A11" s="2" t="s">
        <v>12</v>
      </c>
      <c r="B11" s="2" t="s">
        <v>13</v>
      </c>
      <c r="C11" s="2" t="s">
        <v>47</v>
      </c>
      <c r="D11" s="2" t="s">
        <v>14</v>
      </c>
      <c r="F11" s="2">
        <v>100</v>
      </c>
    </row>
    <row r="12" spans="1:6" x14ac:dyDescent="0.2">
      <c r="A12" s="2" t="s">
        <v>75</v>
      </c>
      <c r="B12" s="2" t="s">
        <v>13</v>
      </c>
      <c r="C12" s="2" t="s">
        <v>48</v>
      </c>
      <c r="D12" s="2" t="s">
        <v>78</v>
      </c>
      <c r="F12" s="2">
        <v>110</v>
      </c>
    </row>
    <row r="13" spans="1:6" x14ac:dyDescent="0.2">
      <c r="A13" s="2" t="s">
        <v>76</v>
      </c>
      <c r="B13" s="2" t="s">
        <v>13</v>
      </c>
      <c r="C13" s="2" t="s">
        <v>49</v>
      </c>
      <c r="D13" s="2" t="s">
        <v>79</v>
      </c>
      <c r="F13" s="2">
        <v>120</v>
      </c>
    </row>
    <row r="14" spans="1:6" x14ac:dyDescent="0.2">
      <c r="A14" s="2" t="s">
        <v>77</v>
      </c>
      <c r="B14" s="2" t="s">
        <v>13</v>
      </c>
      <c r="C14" s="2" t="s">
        <v>322</v>
      </c>
      <c r="D14" s="2" t="s">
        <v>80</v>
      </c>
      <c r="F14" s="2">
        <v>130</v>
      </c>
    </row>
    <row r="15" spans="1:6" x14ac:dyDescent="0.2">
      <c r="A15" s="2" t="s">
        <v>459</v>
      </c>
      <c r="B15" s="2" t="s">
        <v>13</v>
      </c>
      <c r="C15" s="2" t="s">
        <v>470</v>
      </c>
      <c r="D15" s="2" t="s">
        <v>460</v>
      </c>
      <c r="F15" s="2">
        <v>140</v>
      </c>
    </row>
    <row r="16" spans="1:6" x14ac:dyDescent="0.2">
      <c r="A16" s="2" t="s">
        <v>518</v>
      </c>
      <c r="B16" s="2" t="s">
        <v>13</v>
      </c>
      <c r="C16" s="2" t="s">
        <v>517</v>
      </c>
      <c r="D16" s="2" t="s">
        <v>519</v>
      </c>
      <c r="F16" s="2">
        <v>150</v>
      </c>
    </row>
    <row r="17" spans="1:6" x14ac:dyDescent="0.2">
      <c r="A17" s="2" t="s">
        <v>1314</v>
      </c>
      <c r="B17" s="2" t="s">
        <v>13</v>
      </c>
      <c r="C17" s="2" t="s">
        <v>521</v>
      </c>
      <c r="D17" s="2" t="s">
        <v>1332</v>
      </c>
      <c r="F17" s="2">
        <v>150</v>
      </c>
    </row>
    <row r="18" spans="1:6" x14ac:dyDescent="0.2">
      <c r="A18" s="2" t="s">
        <v>1175</v>
      </c>
      <c r="B18" s="2" t="s">
        <v>13</v>
      </c>
      <c r="C18" s="2" t="s">
        <v>1636</v>
      </c>
      <c r="D18" s="2" t="s">
        <v>1176</v>
      </c>
      <c r="F18" s="2">
        <v>160</v>
      </c>
    </row>
    <row r="19" spans="1:6" x14ac:dyDescent="0.2">
      <c r="A19" s="2" t="s">
        <v>1241</v>
      </c>
      <c r="B19" s="2" t="s">
        <v>13</v>
      </c>
      <c r="C19" s="2" t="s">
        <v>1242</v>
      </c>
      <c r="D19" s="2" t="s">
        <v>1243</v>
      </c>
      <c r="F19" s="2">
        <v>170</v>
      </c>
    </row>
    <row r="20" spans="1:6" x14ac:dyDescent="0.2">
      <c r="A20" s="2" t="s">
        <v>1257</v>
      </c>
      <c r="B20" s="2" t="s">
        <v>13</v>
      </c>
      <c r="C20" s="2" t="s">
        <v>1258</v>
      </c>
      <c r="D20" s="2" t="s">
        <v>1259</v>
      </c>
      <c r="F20" s="2">
        <v>180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ECE21-4B85-B642-91D8-6A98EB98549E}">
  <dimension ref="A1:D9"/>
  <sheetViews>
    <sheetView tabSelected="1" workbookViewId="0">
      <selection activeCell="D3" sqref="D3:D9"/>
    </sheetView>
  </sheetViews>
  <sheetFormatPr baseColWidth="10" defaultColWidth="10.1640625" defaultRowHeight="16" x14ac:dyDescent="0.2"/>
  <cols>
    <col min="1" max="1" width="10.83203125" style="2" bestFit="1" customWidth="1"/>
    <col min="2" max="2" width="32" style="2" bestFit="1" customWidth="1"/>
    <col min="3" max="3" width="17" style="2" bestFit="1" customWidth="1"/>
    <col min="4" max="4" width="2.83203125" style="2" bestFit="1" customWidth="1"/>
    <col min="5" max="16384" width="10.1640625" style="2"/>
  </cols>
  <sheetData>
    <row r="1" spans="1:4" x14ac:dyDescent="0.2">
      <c r="A1" s="1" t="s">
        <v>15</v>
      </c>
      <c r="B1" s="1" t="s">
        <v>16</v>
      </c>
      <c r="C1" s="1" t="s">
        <v>17</v>
      </c>
      <c r="D1" s="1" t="s">
        <v>320</v>
      </c>
    </row>
    <row r="2" spans="1:4" s="3" customFormat="1" x14ac:dyDescent="0.2">
      <c r="A2" s="3" t="s">
        <v>6</v>
      </c>
      <c r="B2" s="3" t="s">
        <v>18</v>
      </c>
      <c r="C2" s="3" t="s">
        <v>9</v>
      </c>
      <c r="D2" s="3">
        <v>1</v>
      </c>
    </row>
    <row r="3" spans="1:4" s="4" customFormat="1" x14ac:dyDescent="0.2">
      <c r="A3" s="4" t="s">
        <v>6</v>
      </c>
      <c r="B3" s="4" t="s">
        <v>319</v>
      </c>
      <c r="C3" s="4" t="s">
        <v>61</v>
      </c>
      <c r="D3" s="4">
        <v>2</v>
      </c>
    </row>
    <row r="4" spans="1:4" s="5" customFormat="1" x14ac:dyDescent="0.2">
      <c r="A4" s="5" t="s">
        <v>6</v>
      </c>
      <c r="B4" s="5" t="s">
        <v>355</v>
      </c>
      <c r="C4" s="5" t="s">
        <v>62</v>
      </c>
      <c r="D4" s="5">
        <v>3</v>
      </c>
    </row>
    <row r="5" spans="1:4" s="6" customFormat="1" x14ac:dyDescent="0.2">
      <c r="A5" s="6" t="s">
        <v>6</v>
      </c>
      <c r="B5" s="6" t="s">
        <v>442</v>
      </c>
      <c r="C5" s="6" t="s">
        <v>63</v>
      </c>
      <c r="D5" s="6">
        <v>4</v>
      </c>
    </row>
    <row r="6" spans="1:4" s="7" customFormat="1" x14ac:dyDescent="0.2">
      <c r="A6" s="7" t="s">
        <v>6</v>
      </c>
      <c r="B6" s="7" t="s">
        <v>455</v>
      </c>
      <c r="C6" s="7" t="s">
        <v>64</v>
      </c>
      <c r="D6" s="7">
        <v>5</v>
      </c>
    </row>
    <row r="7" spans="1:4" s="8" customFormat="1" x14ac:dyDescent="0.2">
      <c r="A7" s="8" t="s">
        <v>6</v>
      </c>
      <c r="B7" s="8" t="s">
        <v>514</v>
      </c>
      <c r="C7" s="8" t="s">
        <v>65</v>
      </c>
      <c r="D7" s="8">
        <v>6</v>
      </c>
    </row>
    <row r="8" spans="1:4" s="9" customFormat="1" x14ac:dyDescent="0.2">
      <c r="A8" s="9" t="s">
        <v>6</v>
      </c>
      <c r="B8" s="9" t="s">
        <v>1035</v>
      </c>
      <c r="C8" s="9" t="s">
        <v>66</v>
      </c>
      <c r="D8" s="9">
        <v>7</v>
      </c>
    </row>
    <row r="9" spans="1:4" s="10" customFormat="1" x14ac:dyDescent="0.2">
      <c r="A9" s="10" t="s">
        <v>6</v>
      </c>
      <c r="B9" s="10" t="s">
        <v>1036</v>
      </c>
      <c r="C9" s="10" t="s">
        <v>67</v>
      </c>
      <c r="D9" s="10">
        <v>8</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42A6-A652-DC44-866D-D4A0E101DC42}">
  <dimension ref="A1:F55"/>
  <sheetViews>
    <sheetView topLeftCell="A49" zoomScale="108" zoomScaleNormal="90" workbookViewId="0">
      <selection activeCell="F28" sqref="F28"/>
    </sheetView>
  </sheetViews>
  <sheetFormatPr baseColWidth="10" defaultRowHeight="16" x14ac:dyDescent="0.2"/>
  <cols>
    <col min="1" max="1" width="14.83203125" style="13" bestFit="1" customWidth="1"/>
    <col min="2" max="2" width="12.1640625" style="13" bestFit="1" customWidth="1"/>
    <col min="3" max="3" width="15" style="13" customWidth="1"/>
    <col min="4" max="4" width="26" style="33" customWidth="1"/>
    <col min="5" max="5" width="23.83203125" style="13" bestFit="1" customWidth="1"/>
    <col min="6" max="6" width="3.33203125" style="13" bestFit="1" customWidth="1"/>
    <col min="7" max="16384" width="10.83203125" style="13"/>
  </cols>
  <sheetData>
    <row r="1" spans="1:6" ht="17" x14ac:dyDescent="0.2">
      <c r="A1" s="11" t="s">
        <v>0</v>
      </c>
      <c r="B1" s="11" t="s">
        <v>19</v>
      </c>
      <c r="C1" s="11" t="s">
        <v>20</v>
      </c>
      <c r="D1" s="12" t="s">
        <v>21</v>
      </c>
      <c r="E1" s="11" t="s">
        <v>22</v>
      </c>
      <c r="F1" s="11" t="s">
        <v>320</v>
      </c>
    </row>
    <row r="2" spans="1:6" s="14" customFormat="1" x14ac:dyDescent="0.2">
      <c r="A2" s="14" t="s">
        <v>9</v>
      </c>
      <c r="B2" s="14" t="s">
        <v>23</v>
      </c>
      <c r="D2" s="15"/>
      <c r="E2" s="14" t="s">
        <v>24</v>
      </c>
      <c r="F2" s="14">
        <v>1</v>
      </c>
    </row>
    <row r="3" spans="1:6" s="14" customFormat="1" ht="102" x14ac:dyDescent="0.2">
      <c r="A3" s="14" t="s">
        <v>9</v>
      </c>
      <c r="B3" s="14" t="s">
        <v>25</v>
      </c>
      <c r="C3" s="14" t="s">
        <v>26</v>
      </c>
      <c r="D3" s="15" t="s">
        <v>81</v>
      </c>
      <c r="F3" s="14">
        <v>2</v>
      </c>
    </row>
    <row r="4" spans="1:6" s="14" customFormat="1" x14ac:dyDescent="0.2">
      <c r="A4" s="14" t="s">
        <v>9</v>
      </c>
      <c r="B4" s="14" t="s">
        <v>27</v>
      </c>
      <c r="C4" s="14" t="s">
        <v>28</v>
      </c>
      <c r="D4" s="15"/>
      <c r="E4" s="14" t="s">
        <v>29</v>
      </c>
      <c r="F4" s="14">
        <v>3</v>
      </c>
    </row>
    <row r="5" spans="1:6" s="14" customFormat="1" ht="34" x14ac:dyDescent="0.2">
      <c r="A5" s="14" t="s">
        <v>9</v>
      </c>
      <c r="B5" s="14" t="s">
        <v>25</v>
      </c>
      <c r="C5" s="14" t="s">
        <v>30</v>
      </c>
      <c r="D5" s="15" t="s">
        <v>180</v>
      </c>
      <c r="F5" s="14">
        <v>4</v>
      </c>
    </row>
    <row r="6" spans="1:6" s="14" customFormat="1" x14ac:dyDescent="0.2">
      <c r="A6" s="14" t="s">
        <v>9</v>
      </c>
      <c r="B6" s="14" t="s">
        <v>31</v>
      </c>
      <c r="C6" s="14" t="s">
        <v>32</v>
      </c>
      <c r="D6" s="15"/>
      <c r="E6" s="14" t="s">
        <v>33</v>
      </c>
      <c r="F6" s="14">
        <v>5</v>
      </c>
    </row>
    <row r="7" spans="1:6" s="14" customFormat="1" ht="119" x14ac:dyDescent="0.2">
      <c r="A7" s="14" t="s">
        <v>9</v>
      </c>
      <c r="B7" s="14" t="s">
        <v>25</v>
      </c>
      <c r="C7" s="14" t="s">
        <v>34</v>
      </c>
      <c r="D7" s="56" t="s">
        <v>1643</v>
      </c>
      <c r="F7" s="14">
        <v>6</v>
      </c>
    </row>
    <row r="8" spans="1:6" s="14" customFormat="1" ht="153" x14ac:dyDescent="0.2">
      <c r="A8" s="14" t="s">
        <v>9</v>
      </c>
      <c r="B8" s="14" t="s">
        <v>25</v>
      </c>
      <c r="D8" s="56" t="s">
        <v>1644</v>
      </c>
      <c r="F8" s="14">
        <v>7</v>
      </c>
    </row>
    <row r="10" spans="1:6" s="16" customFormat="1" x14ac:dyDescent="0.2">
      <c r="A10" s="16" t="s">
        <v>61</v>
      </c>
      <c r="B10" s="16" t="s">
        <v>23</v>
      </c>
      <c r="D10" s="17"/>
      <c r="E10" s="16" t="s">
        <v>321</v>
      </c>
      <c r="F10" s="16">
        <v>1</v>
      </c>
    </row>
    <row r="11" spans="1:6" s="16" customFormat="1" ht="153" x14ac:dyDescent="0.2">
      <c r="A11" s="16" t="s">
        <v>61</v>
      </c>
      <c r="B11" s="16" t="s">
        <v>25</v>
      </c>
      <c r="C11" s="16" t="s">
        <v>26</v>
      </c>
      <c r="D11" s="17" t="s">
        <v>1426</v>
      </c>
      <c r="F11" s="16">
        <v>2</v>
      </c>
    </row>
    <row r="12" spans="1:6" s="16" customFormat="1" x14ac:dyDescent="0.2">
      <c r="A12" s="16" t="s">
        <v>61</v>
      </c>
      <c r="B12" s="16" t="s">
        <v>27</v>
      </c>
      <c r="C12" s="16" t="s">
        <v>28</v>
      </c>
      <c r="D12" s="17"/>
      <c r="E12" s="16" t="s">
        <v>345</v>
      </c>
      <c r="F12" s="16">
        <v>3</v>
      </c>
    </row>
    <row r="13" spans="1:6" s="16" customFormat="1" ht="34" x14ac:dyDescent="0.2">
      <c r="A13" s="16" t="s">
        <v>61</v>
      </c>
      <c r="B13" s="16" t="s">
        <v>25</v>
      </c>
      <c r="C13" s="16" t="s">
        <v>30</v>
      </c>
      <c r="D13" s="17" t="s">
        <v>1424</v>
      </c>
      <c r="F13" s="16">
        <v>4</v>
      </c>
    </row>
    <row r="14" spans="1:6" s="16" customFormat="1" ht="34" x14ac:dyDescent="0.2">
      <c r="A14" s="16" t="s">
        <v>61</v>
      </c>
      <c r="B14" s="16" t="s">
        <v>25</v>
      </c>
      <c r="D14" s="17" t="s">
        <v>1427</v>
      </c>
      <c r="F14" s="16">
        <v>4</v>
      </c>
    </row>
    <row r="15" spans="1:6" s="16" customFormat="1" x14ac:dyDescent="0.2">
      <c r="A15" s="16" t="s">
        <v>61</v>
      </c>
      <c r="B15" s="16" t="s">
        <v>31</v>
      </c>
      <c r="C15" s="16" t="s">
        <v>32</v>
      </c>
      <c r="D15" s="17"/>
      <c r="E15" s="16" t="s">
        <v>348</v>
      </c>
      <c r="F15" s="16">
        <v>5</v>
      </c>
    </row>
    <row r="16" spans="1:6" s="16" customFormat="1" ht="187" x14ac:dyDescent="0.2">
      <c r="A16" s="16" t="s">
        <v>61</v>
      </c>
      <c r="B16" s="16" t="s">
        <v>25</v>
      </c>
      <c r="C16" s="16" t="s">
        <v>34</v>
      </c>
      <c r="D16" s="17" t="s">
        <v>347</v>
      </c>
      <c r="F16" s="16">
        <v>6</v>
      </c>
    </row>
    <row r="18" spans="1:6" s="18" customFormat="1" x14ac:dyDescent="0.2">
      <c r="A18" s="18" t="s">
        <v>62</v>
      </c>
      <c r="B18" s="18" t="s">
        <v>23</v>
      </c>
      <c r="D18" s="19"/>
      <c r="E18" s="18" t="s">
        <v>356</v>
      </c>
      <c r="F18" s="18">
        <v>1</v>
      </c>
    </row>
    <row r="19" spans="1:6" s="18" customFormat="1" ht="153" x14ac:dyDescent="0.2">
      <c r="A19" s="18" t="s">
        <v>62</v>
      </c>
      <c r="B19" s="18" t="s">
        <v>25</v>
      </c>
      <c r="C19" s="18" t="s">
        <v>26</v>
      </c>
      <c r="D19" s="19" t="s">
        <v>357</v>
      </c>
      <c r="F19" s="18">
        <v>2</v>
      </c>
    </row>
    <row r="20" spans="1:6" s="18" customFormat="1" x14ac:dyDescent="0.2">
      <c r="A20" s="18" t="s">
        <v>62</v>
      </c>
      <c r="B20" s="18" t="s">
        <v>31</v>
      </c>
      <c r="C20" s="18" t="s">
        <v>375</v>
      </c>
      <c r="D20" s="19"/>
      <c r="E20" s="18" t="s">
        <v>1028</v>
      </c>
      <c r="F20" s="18">
        <v>3</v>
      </c>
    </row>
    <row r="21" spans="1:6" s="18" customFormat="1" x14ac:dyDescent="0.2">
      <c r="A21" s="18" t="s">
        <v>62</v>
      </c>
      <c r="B21" s="18" t="s">
        <v>31</v>
      </c>
      <c r="C21" s="18" t="s">
        <v>506</v>
      </c>
      <c r="D21" s="19"/>
      <c r="E21" s="18" t="s">
        <v>1030</v>
      </c>
      <c r="F21" s="18">
        <v>4</v>
      </c>
    </row>
    <row r="22" spans="1:6" s="18" customFormat="1" x14ac:dyDescent="0.2">
      <c r="A22" s="18" t="s">
        <v>62</v>
      </c>
      <c r="B22" s="18" t="s">
        <v>31</v>
      </c>
      <c r="C22" s="18" t="s">
        <v>510</v>
      </c>
      <c r="D22" s="19"/>
      <c r="E22" s="18" t="s">
        <v>1029</v>
      </c>
      <c r="F22" s="18">
        <v>5</v>
      </c>
    </row>
    <row r="24" spans="1:6" s="20" customFormat="1" x14ac:dyDescent="0.2">
      <c r="A24" s="20" t="s">
        <v>63</v>
      </c>
      <c r="B24" s="20" t="s">
        <v>23</v>
      </c>
      <c r="D24" s="21"/>
      <c r="E24" s="20" t="s">
        <v>443</v>
      </c>
      <c r="F24" s="20">
        <v>1</v>
      </c>
    </row>
    <row r="25" spans="1:6" s="20" customFormat="1" ht="34" x14ac:dyDescent="0.2">
      <c r="A25" s="20" t="s">
        <v>63</v>
      </c>
      <c r="B25" s="20" t="s">
        <v>25</v>
      </c>
      <c r="C25" s="20" t="s">
        <v>26</v>
      </c>
      <c r="D25" s="21" t="s">
        <v>1027</v>
      </c>
      <c r="F25" s="20">
        <v>2</v>
      </c>
    </row>
    <row r="26" spans="1:6" s="20" customFormat="1" ht="51" x14ac:dyDescent="0.2">
      <c r="A26" s="20" t="s">
        <v>63</v>
      </c>
      <c r="B26" s="20" t="s">
        <v>25</v>
      </c>
      <c r="C26" s="20" t="s">
        <v>40</v>
      </c>
      <c r="D26" s="21" t="s">
        <v>1667</v>
      </c>
      <c r="F26" s="20">
        <v>3</v>
      </c>
    </row>
    <row r="27" spans="1:6" s="20" customFormat="1" x14ac:dyDescent="0.2">
      <c r="A27" s="20" t="s">
        <v>63</v>
      </c>
      <c r="B27" s="20" t="s">
        <v>31</v>
      </c>
      <c r="C27" s="20" t="s">
        <v>32</v>
      </c>
      <c r="D27" s="21"/>
      <c r="E27" s="20" t="s">
        <v>448</v>
      </c>
      <c r="F27" s="20">
        <v>4</v>
      </c>
    </row>
    <row r="29" spans="1:6" s="22" customFormat="1" x14ac:dyDescent="0.2">
      <c r="A29" s="22" t="s">
        <v>64</v>
      </c>
      <c r="B29" s="22" t="s">
        <v>23</v>
      </c>
      <c r="D29" s="23"/>
      <c r="E29" s="22" t="s">
        <v>456</v>
      </c>
      <c r="F29" s="22">
        <v>1</v>
      </c>
    </row>
    <row r="30" spans="1:6" s="22" customFormat="1" ht="34" x14ac:dyDescent="0.2">
      <c r="A30" s="22" t="s">
        <v>64</v>
      </c>
      <c r="B30" s="22" t="s">
        <v>25</v>
      </c>
      <c r="C30" s="22" t="s">
        <v>26</v>
      </c>
      <c r="D30" s="23" t="s">
        <v>1560</v>
      </c>
      <c r="F30" s="22">
        <v>2</v>
      </c>
    </row>
    <row r="31" spans="1:6" s="22" customFormat="1" ht="34" x14ac:dyDescent="0.2">
      <c r="A31" s="22" t="s">
        <v>64</v>
      </c>
      <c r="B31" s="22" t="s">
        <v>25</v>
      </c>
      <c r="C31" s="22" t="s">
        <v>40</v>
      </c>
      <c r="D31" s="23" t="s">
        <v>1542</v>
      </c>
      <c r="E31" s="22" t="s">
        <v>457</v>
      </c>
      <c r="F31" s="22">
        <v>3</v>
      </c>
    </row>
    <row r="32" spans="1:6" s="22" customFormat="1" x14ac:dyDescent="0.2">
      <c r="A32" s="22" t="s">
        <v>64</v>
      </c>
      <c r="B32" s="22" t="s">
        <v>31</v>
      </c>
      <c r="C32" s="22" t="s">
        <v>32</v>
      </c>
      <c r="D32" s="23"/>
      <c r="E32" s="22" t="s">
        <v>457</v>
      </c>
      <c r="F32" s="22">
        <v>3</v>
      </c>
    </row>
    <row r="34" spans="1:6" s="24" customFormat="1" x14ac:dyDescent="0.2">
      <c r="A34" s="24" t="s">
        <v>65</v>
      </c>
      <c r="B34" s="24" t="s">
        <v>23</v>
      </c>
      <c r="D34" s="25"/>
      <c r="E34" s="24" t="s">
        <v>516</v>
      </c>
      <c r="F34" s="24">
        <v>1</v>
      </c>
    </row>
    <row r="35" spans="1:6" s="24" customFormat="1" ht="51" x14ac:dyDescent="0.2">
      <c r="A35" s="24" t="s">
        <v>65</v>
      </c>
      <c r="B35" s="24" t="s">
        <v>25</v>
      </c>
      <c r="D35" s="26" t="s">
        <v>1310</v>
      </c>
      <c r="F35" s="24">
        <v>2</v>
      </c>
    </row>
    <row r="36" spans="1:6" s="24" customFormat="1" ht="51" x14ac:dyDescent="0.2">
      <c r="A36" s="24" t="s">
        <v>65</v>
      </c>
      <c r="B36" s="24" t="s">
        <v>25</v>
      </c>
      <c r="D36" s="26" t="s">
        <v>1311</v>
      </c>
      <c r="F36" s="24">
        <v>3</v>
      </c>
    </row>
    <row r="37" spans="1:6" s="24" customFormat="1" x14ac:dyDescent="0.2">
      <c r="A37" s="24" t="s">
        <v>65</v>
      </c>
      <c r="B37" s="24" t="s">
        <v>23</v>
      </c>
      <c r="C37" s="24" t="s">
        <v>484</v>
      </c>
      <c r="D37" s="25"/>
      <c r="E37" s="24" t="s">
        <v>1308</v>
      </c>
      <c r="F37" s="24">
        <v>4</v>
      </c>
    </row>
    <row r="38" spans="1:6" s="24" customFormat="1" ht="34" x14ac:dyDescent="0.2">
      <c r="A38" s="24" t="s">
        <v>65</v>
      </c>
      <c r="B38" s="24" t="s">
        <v>25</v>
      </c>
      <c r="D38" s="26" t="s">
        <v>1312</v>
      </c>
      <c r="F38" s="24">
        <v>5</v>
      </c>
    </row>
    <row r="39" spans="1:6" s="24" customFormat="1" ht="35" customHeight="1" x14ac:dyDescent="0.2">
      <c r="A39" s="24" t="s">
        <v>65</v>
      </c>
      <c r="B39" s="24" t="s">
        <v>25</v>
      </c>
      <c r="C39" s="24" t="s">
        <v>535</v>
      </c>
      <c r="D39" s="25" t="s">
        <v>1309</v>
      </c>
      <c r="F39" s="24">
        <v>6</v>
      </c>
    </row>
    <row r="40" spans="1:6" s="24" customFormat="1" x14ac:dyDescent="0.2">
      <c r="A40" s="24" t="s">
        <v>65</v>
      </c>
      <c r="B40" s="24" t="s">
        <v>23</v>
      </c>
      <c r="C40" s="24" t="s">
        <v>517</v>
      </c>
      <c r="D40" s="25"/>
      <c r="E40" s="24" t="s">
        <v>1037</v>
      </c>
      <c r="F40" s="24">
        <v>7</v>
      </c>
    </row>
    <row r="41" spans="1:6" s="24" customFormat="1" ht="34" x14ac:dyDescent="0.2">
      <c r="A41" s="24" t="s">
        <v>65</v>
      </c>
      <c r="B41" s="24" t="s">
        <v>25</v>
      </c>
      <c r="D41" s="26" t="s">
        <v>1331</v>
      </c>
      <c r="F41" s="24">
        <v>8</v>
      </c>
    </row>
    <row r="42" spans="1:6" s="24" customFormat="1" x14ac:dyDescent="0.2">
      <c r="A42" s="24" t="s">
        <v>65</v>
      </c>
      <c r="B42" s="24" t="s">
        <v>23</v>
      </c>
      <c r="C42" s="24" t="s">
        <v>521</v>
      </c>
      <c r="D42" s="25"/>
      <c r="E42" s="24" t="s">
        <v>1313</v>
      </c>
      <c r="F42" s="24">
        <v>9</v>
      </c>
    </row>
    <row r="43" spans="1:6" s="24" customFormat="1" ht="51" x14ac:dyDescent="0.2">
      <c r="A43" s="24" t="s">
        <v>65</v>
      </c>
      <c r="B43" s="24" t="s">
        <v>25</v>
      </c>
      <c r="D43" s="26" t="s">
        <v>1334</v>
      </c>
      <c r="F43" s="24">
        <v>10</v>
      </c>
    </row>
    <row r="44" spans="1:6" s="24" customFormat="1" ht="17" x14ac:dyDescent="0.2">
      <c r="A44" s="24" t="s">
        <v>65</v>
      </c>
      <c r="B44" s="24" t="s">
        <v>25</v>
      </c>
      <c r="D44" s="26" t="s">
        <v>1315</v>
      </c>
      <c r="F44" s="24">
        <v>11</v>
      </c>
    </row>
    <row r="46" spans="1:6" s="27" customFormat="1" x14ac:dyDescent="0.2">
      <c r="A46" s="27" t="s">
        <v>66</v>
      </c>
      <c r="B46" s="27" t="s">
        <v>23</v>
      </c>
      <c r="D46" s="28"/>
      <c r="E46" s="27" t="s">
        <v>1546</v>
      </c>
      <c r="F46" s="27">
        <v>1</v>
      </c>
    </row>
    <row r="47" spans="1:6" s="27" customFormat="1" ht="34" x14ac:dyDescent="0.2">
      <c r="A47" s="27" t="s">
        <v>66</v>
      </c>
      <c r="B47" s="27" t="s">
        <v>25</v>
      </c>
      <c r="C47" s="27" t="s">
        <v>40</v>
      </c>
      <c r="D47" s="29" t="s">
        <v>1547</v>
      </c>
      <c r="F47" s="27">
        <v>2</v>
      </c>
    </row>
    <row r="48" spans="1:6" s="27" customFormat="1" x14ac:dyDescent="0.2">
      <c r="A48" s="27" t="s">
        <v>66</v>
      </c>
      <c r="B48" s="27" t="s">
        <v>31</v>
      </c>
      <c r="C48" s="27" t="s">
        <v>32</v>
      </c>
      <c r="D48" s="28"/>
      <c r="E48" s="27" t="s">
        <v>1548</v>
      </c>
      <c r="F48" s="27">
        <v>3</v>
      </c>
    </row>
    <row r="49" spans="1:6" s="27" customFormat="1" ht="85" x14ac:dyDescent="0.2">
      <c r="A49" s="27" t="s">
        <v>66</v>
      </c>
      <c r="B49" s="27" t="s">
        <v>25</v>
      </c>
      <c r="C49" s="27" t="s">
        <v>34</v>
      </c>
      <c r="D49" s="29" t="s">
        <v>1549</v>
      </c>
      <c r="F49" s="27">
        <v>4</v>
      </c>
    </row>
    <row r="50" spans="1:6" s="27" customFormat="1" ht="136" x14ac:dyDescent="0.2">
      <c r="A50" s="27" t="s">
        <v>66</v>
      </c>
      <c r="B50" s="27" t="s">
        <v>25</v>
      </c>
      <c r="D50" s="29" t="s">
        <v>1575</v>
      </c>
      <c r="F50" s="27">
        <v>5</v>
      </c>
    </row>
    <row r="51" spans="1:6" s="27" customFormat="1" ht="153" x14ac:dyDescent="0.2">
      <c r="A51" s="27" t="s">
        <v>66</v>
      </c>
      <c r="B51" s="27" t="s">
        <v>25</v>
      </c>
      <c r="D51" s="29" t="s">
        <v>1550</v>
      </c>
      <c r="F51" s="27">
        <v>6</v>
      </c>
    </row>
    <row r="53" spans="1:6" s="30" customFormat="1" x14ac:dyDescent="0.2">
      <c r="A53" s="30" t="s">
        <v>67</v>
      </c>
      <c r="B53" s="30" t="s">
        <v>23</v>
      </c>
      <c r="D53" s="31"/>
      <c r="E53" s="30" t="s">
        <v>1551</v>
      </c>
      <c r="F53" s="30">
        <v>1</v>
      </c>
    </row>
    <row r="54" spans="1:6" s="30" customFormat="1" ht="51" x14ac:dyDescent="0.2">
      <c r="A54" s="30" t="s">
        <v>67</v>
      </c>
      <c r="B54" s="30" t="s">
        <v>25</v>
      </c>
      <c r="C54" s="30" t="s">
        <v>40</v>
      </c>
      <c r="D54" s="32" t="s">
        <v>1552</v>
      </c>
      <c r="F54" s="30">
        <v>2</v>
      </c>
    </row>
    <row r="55" spans="1:6" s="30" customFormat="1" ht="136" x14ac:dyDescent="0.2">
      <c r="A55" s="30" t="s">
        <v>67</v>
      </c>
      <c r="B55" s="30" t="s">
        <v>25</v>
      </c>
      <c r="C55" s="30" t="s">
        <v>34</v>
      </c>
      <c r="D55" s="32" t="s">
        <v>1553</v>
      </c>
      <c r="F55" s="30">
        <v>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D5969-C8E3-C04D-AF17-FDEFB8218719}">
  <dimension ref="A1:K143"/>
  <sheetViews>
    <sheetView zoomScaleNormal="100" workbookViewId="0">
      <selection activeCell="B53" sqref="B53"/>
    </sheetView>
  </sheetViews>
  <sheetFormatPr baseColWidth="10" defaultColWidth="7.6640625" defaultRowHeight="16" x14ac:dyDescent="0.2"/>
  <cols>
    <col min="1" max="1" width="22.5" style="13" bestFit="1" customWidth="1"/>
    <col min="2" max="2" width="13.33203125" style="13" bestFit="1" customWidth="1"/>
    <col min="3" max="3" width="8.1640625" style="13" bestFit="1" customWidth="1"/>
    <col min="4" max="4" width="36.33203125" style="13" bestFit="1" customWidth="1"/>
    <col min="5" max="5" width="47.83203125" style="33" customWidth="1"/>
    <col min="6" max="6" width="24.6640625" style="13" bestFit="1" customWidth="1"/>
    <col min="7" max="7" width="11.33203125" style="13" bestFit="1" customWidth="1"/>
    <col min="8" max="8" width="19.6640625" style="13" bestFit="1" customWidth="1"/>
    <col min="9" max="9" width="34.83203125" style="13" bestFit="1" customWidth="1"/>
    <col min="10" max="10" width="31.33203125" style="13" bestFit="1" customWidth="1"/>
    <col min="11" max="11" width="3.5" style="13" bestFit="1" customWidth="1"/>
    <col min="12" max="16384" width="7.6640625" style="13"/>
  </cols>
  <sheetData>
    <row r="1" spans="1:11" ht="17" x14ac:dyDescent="0.2">
      <c r="A1" s="11" t="s">
        <v>0</v>
      </c>
      <c r="B1" s="11" t="s">
        <v>19</v>
      </c>
      <c r="C1" s="11" t="s">
        <v>50</v>
      </c>
      <c r="D1" s="11" t="s">
        <v>20</v>
      </c>
      <c r="E1" s="12" t="s">
        <v>21</v>
      </c>
      <c r="F1" s="11" t="s">
        <v>22</v>
      </c>
      <c r="G1" s="11" t="s">
        <v>51</v>
      </c>
      <c r="H1" s="11" t="s">
        <v>169</v>
      </c>
      <c r="I1" s="11" t="s">
        <v>1010</v>
      </c>
      <c r="J1" s="11" t="s">
        <v>1017</v>
      </c>
      <c r="K1" s="11" t="s">
        <v>320</v>
      </c>
    </row>
    <row r="2" spans="1:11" ht="17" x14ac:dyDescent="0.2">
      <c r="A2" s="13" t="s">
        <v>12</v>
      </c>
      <c r="B2" s="13" t="s">
        <v>25</v>
      </c>
      <c r="C2" s="13" t="s">
        <v>52</v>
      </c>
      <c r="E2" s="33" t="s">
        <v>100</v>
      </c>
      <c r="G2" s="13" t="s">
        <v>53</v>
      </c>
      <c r="K2" s="13">
        <v>1</v>
      </c>
    </row>
    <row r="3" spans="1:11" ht="85" x14ac:dyDescent="0.2">
      <c r="A3" s="13" t="s">
        <v>12</v>
      </c>
      <c r="B3" s="13" t="s">
        <v>25</v>
      </c>
      <c r="C3" s="13" t="s">
        <v>52</v>
      </c>
      <c r="E3" s="33" t="s">
        <v>99</v>
      </c>
      <c r="G3" s="13" t="s">
        <v>53</v>
      </c>
      <c r="K3" s="13">
        <v>2</v>
      </c>
    </row>
    <row r="4" spans="1:11" x14ac:dyDescent="0.2">
      <c r="A4" s="13" t="s">
        <v>12</v>
      </c>
      <c r="B4" s="13" t="s">
        <v>27</v>
      </c>
      <c r="C4" s="13" t="s">
        <v>54</v>
      </c>
      <c r="D4" s="13" t="s">
        <v>55</v>
      </c>
      <c r="F4" s="13" t="s">
        <v>56</v>
      </c>
      <c r="G4" s="13" t="s">
        <v>53</v>
      </c>
      <c r="J4" s="13" t="s">
        <v>1018</v>
      </c>
      <c r="K4" s="13">
        <v>3</v>
      </c>
    </row>
    <row r="5" spans="1:11" x14ac:dyDescent="0.2">
      <c r="A5" s="13" t="s">
        <v>12</v>
      </c>
      <c r="B5" s="13" t="s">
        <v>27</v>
      </c>
      <c r="C5" s="13" t="s">
        <v>57</v>
      </c>
      <c r="D5" s="13" t="s">
        <v>58</v>
      </c>
      <c r="F5" s="13" t="s">
        <v>59</v>
      </c>
      <c r="G5" s="13" t="s">
        <v>60</v>
      </c>
      <c r="H5" s="13" t="s">
        <v>170</v>
      </c>
      <c r="J5" s="13" t="s">
        <v>1571</v>
      </c>
      <c r="K5" s="13">
        <v>4</v>
      </c>
    </row>
    <row r="7" spans="1:11" ht="17" x14ac:dyDescent="0.2">
      <c r="A7" s="13" t="s">
        <v>75</v>
      </c>
      <c r="B7" s="13" t="s">
        <v>25</v>
      </c>
      <c r="C7" s="13" t="s">
        <v>52</v>
      </c>
      <c r="D7" s="13" t="s">
        <v>183</v>
      </c>
      <c r="E7" s="33" t="s">
        <v>1563</v>
      </c>
      <c r="G7" s="13" t="s">
        <v>53</v>
      </c>
      <c r="K7" s="13">
        <v>1</v>
      </c>
    </row>
    <row r="8" spans="1:11" ht="17" x14ac:dyDescent="0.2">
      <c r="A8" s="13" t="s">
        <v>75</v>
      </c>
      <c r="B8" s="13" t="s">
        <v>25</v>
      </c>
      <c r="C8" s="13" t="s">
        <v>52</v>
      </c>
      <c r="E8" s="45" t="s">
        <v>1572</v>
      </c>
      <c r="G8" s="13" t="s">
        <v>53</v>
      </c>
      <c r="K8" s="13">
        <v>2</v>
      </c>
    </row>
    <row r="9" spans="1:11" ht="17" x14ac:dyDescent="0.2">
      <c r="A9" s="13" t="s">
        <v>75</v>
      </c>
      <c r="B9" s="13" t="s">
        <v>25</v>
      </c>
      <c r="C9" s="13" t="s">
        <v>52</v>
      </c>
      <c r="E9" s="45" t="s">
        <v>1573</v>
      </c>
      <c r="G9" s="13" t="s">
        <v>53</v>
      </c>
      <c r="K9" s="13">
        <v>3</v>
      </c>
    </row>
    <row r="10" spans="1:11" x14ac:dyDescent="0.2">
      <c r="A10" s="13" t="s">
        <v>75</v>
      </c>
      <c r="B10" s="13" t="s">
        <v>27</v>
      </c>
      <c r="C10" s="13" t="s">
        <v>54</v>
      </c>
      <c r="D10" s="13" t="s">
        <v>184</v>
      </c>
      <c r="F10" s="13" t="s">
        <v>195</v>
      </c>
      <c r="G10" s="13" t="s">
        <v>53</v>
      </c>
      <c r="J10" s="13" t="s">
        <v>1019</v>
      </c>
      <c r="K10" s="13">
        <v>4</v>
      </c>
    </row>
    <row r="11" spans="1:11" x14ac:dyDescent="0.2">
      <c r="A11" s="13" t="s">
        <v>75</v>
      </c>
      <c r="B11" s="13" t="s">
        <v>27</v>
      </c>
      <c r="C11" s="13" t="s">
        <v>54</v>
      </c>
      <c r="D11" s="13" t="s">
        <v>1055</v>
      </c>
      <c r="F11" s="13" t="s">
        <v>192</v>
      </c>
      <c r="G11" s="13" t="s">
        <v>53</v>
      </c>
      <c r="J11" s="13" t="s">
        <v>1571</v>
      </c>
      <c r="K11" s="13">
        <v>5</v>
      </c>
    </row>
    <row r="12" spans="1:11" x14ac:dyDescent="0.2">
      <c r="A12" s="13" t="s">
        <v>75</v>
      </c>
      <c r="B12" s="13" t="s">
        <v>27</v>
      </c>
      <c r="C12" s="13" t="s">
        <v>54</v>
      </c>
      <c r="D12" s="13" t="s">
        <v>1056</v>
      </c>
      <c r="F12" s="13" t="s">
        <v>193</v>
      </c>
      <c r="G12" s="13" t="s">
        <v>53</v>
      </c>
      <c r="J12" s="13" t="s">
        <v>1020</v>
      </c>
      <c r="K12" s="13">
        <v>6</v>
      </c>
    </row>
    <row r="13" spans="1:11" x14ac:dyDescent="0.2">
      <c r="A13" s="13" t="s">
        <v>75</v>
      </c>
      <c r="B13" s="13" t="s">
        <v>27</v>
      </c>
      <c r="C13" s="13" t="s">
        <v>54</v>
      </c>
      <c r="D13" s="13" t="s">
        <v>1057</v>
      </c>
      <c r="F13" s="13" t="s">
        <v>194</v>
      </c>
      <c r="G13" s="13" t="s">
        <v>53</v>
      </c>
      <c r="J13" s="13" t="s">
        <v>1571</v>
      </c>
      <c r="K13" s="13">
        <v>7</v>
      </c>
    </row>
    <row r="15" spans="1:11" ht="34" x14ac:dyDescent="0.2">
      <c r="A15" s="13" t="s">
        <v>76</v>
      </c>
      <c r="B15" s="13" t="s">
        <v>25</v>
      </c>
      <c r="C15" s="13" t="s">
        <v>52</v>
      </c>
      <c r="E15" s="33" t="s">
        <v>1076</v>
      </c>
      <c r="G15" s="13" t="s">
        <v>53</v>
      </c>
      <c r="K15" s="13">
        <v>1</v>
      </c>
    </row>
    <row r="16" spans="1:11" x14ac:dyDescent="0.2">
      <c r="A16" s="13" t="s">
        <v>76</v>
      </c>
      <c r="B16" s="13" t="s">
        <v>25</v>
      </c>
      <c r="C16" s="13" t="s">
        <v>54</v>
      </c>
      <c r="D16" s="13" t="s">
        <v>1058</v>
      </c>
      <c r="G16" s="13" t="s">
        <v>53</v>
      </c>
      <c r="K16" s="13">
        <v>2</v>
      </c>
    </row>
    <row r="17" spans="1:11" ht="17" x14ac:dyDescent="0.2">
      <c r="A17" s="13" t="s">
        <v>76</v>
      </c>
      <c r="B17" s="13" t="s">
        <v>27</v>
      </c>
      <c r="C17" s="13" t="s">
        <v>54</v>
      </c>
      <c r="E17" s="33" t="s">
        <v>399</v>
      </c>
      <c r="F17" s="13" t="s">
        <v>376</v>
      </c>
      <c r="G17" s="13" t="s">
        <v>53</v>
      </c>
      <c r="J17" s="13" t="s">
        <v>1020</v>
      </c>
      <c r="K17" s="13">
        <v>3</v>
      </c>
    </row>
    <row r="18" spans="1:11" ht="17" x14ac:dyDescent="0.2">
      <c r="A18" s="13" t="s">
        <v>76</v>
      </c>
      <c r="B18" s="13" t="s">
        <v>27</v>
      </c>
      <c r="C18" s="13" t="s">
        <v>54</v>
      </c>
      <c r="E18" s="33" t="s">
        <v>400</v>
      </c>
      <c r="F18" s="13" t="s">
        <v>401</v>
      </c>
      <c r="G18" s="13" t="s">
        <v>53</v>
      </c>
      <c r="J18" s="13" t="s">
        <v>1020</v>
      </c>
      <c r="K18" s="13">
        <v>4</v>
      </c>
    </row>
    <row r="19" spans="1:11" x14ac:dyDescent="0.2">
      <c r="A19" s="13" t="s">
        <v>76</v>
      </c>
      <c r="B19" s="13" t="s">
        <v>25</v>
      </c>
      <c r="C19" s="13" t="s">
        <v>54</v>
      </c>
      <c r="D19" s="13" t="s">
        <v>1059</v>
      </c>
      <c r="G19" s="13" t="s">
        <v>53</v>
      </c>
      <c r="K19" s="13">
        <v>5</v>
      </c>
    </row>
    <row r="20" spans="1:11" ht="17" x14ac:dyDescent="0.2">
      <c r="A20" s="13" t="s">
        <v>76</v>
      </c>
      <c r="B20" s="13" t="s">
        <v>25</v>
      </c>
      <c r="C20" s="13" t="s">
        <v>54</v>
      </c>
      <c r="E20" s="33" t="s">
        <v>414</v>
      </c>
      <c r="G20" s="13" t="s">
        <v>53</v>
      </c>
      <c r="K20" s="13">
        <v>6</v>
      </c>
    </row>
    <row r="21" spans="1:11" x14ac:dyDescent="0.2">
      <c r="A21" s="13" t="s">
        <v>76</v>
      </c>
      <c r="B21" s="13" t="s">
        <v>23</v>
      </c>
      <c r="C21" s="13" t="s">
        <v>54</v>
      </c>
      <c r="G21" s="13" t="s">
        <v>53</v>
      </c>
      <c r="I21" s="13" t="s">
        <v>1011</v>
      </c>
      <c r="K21" s="13">
        <v>7</v>
      </c>
    </row>
    <row r="22" spans="1:11" ht="17" x14ac:dyDescent="0.2">
      <c r="A22" s="13" t="s">
        <v>76</v>
      </c>
      <c r="B22" s="13" t="s">
        <v>25</v>
      </c>
      <c r="C22" s="13" t="s">
        <v>54</v>
      </c>
      <c r="E22" s="33" t="s">
        <v>419</v>
      </c>
      <c r="G22" s="13" t="s">
        <v>53</v>
      </c>
      <c r="K22" s="13">
        <v>8</v>
      </c>
    </row>
    <row r="23" spans="1:11" x14ac:dyDescent="0.2">
      <c r="A23" s="13" t="s">
        <v>76</v>
      </c>
      <c r="B23" s="13" t="s">
        <v>23</v>
      </c>
      <c r="C23" s="13" t="s">
        <v>54</v>
      </c>
      <c r="G23" s="13" t="s">
        <v>53</v>
      </c>
      <c r="I23" s="13" t="s">
        <v>1012</v>
      </c>
      <c r="K23" s="13">
        <v>9</v>
      </c>
    </row>
    <row r="24" spans="1:11" x14ac:dyDescent="0.2">
      <c r="A24" s="13" t="s">
        <v>76</v>
      </c>
      <c r="B24" s="13" t="s">
        <v>27</v>
      </c>
      <c r="C24" s="13" t="s">
        <v>54</v>
      </c>
      <c r="D24" s="13" t="s">
        <v>1060</v>
      </c>
      <c r="F24" s="13" t="s">
        <v>423</v>
      </c>
      <c r="G24" s="13" t="s">
        <v>53</v>
      </c>
      <c r="J24" s="13" t="s">
        <v>1018</v>
      </c>
      <c r="K24" s="13">
        <v>10</v>
      </c>
    </row>
    <row r="25" spans="1:11" x14ac:dyDescent="0.2">
      <c r="A25" s="13" t="s">
        <v>76</v>
      </c>
      <c r="B25" s="13" t="s">
        <v>27</v>
      </c>
      <c r="C25" s="13" t="s">
        <v>54</v>
      </c>
      <c r="D25" s="13" t="s">
        <v>1061</v>
      </c>
      <c r="F25" s="13" t="s">
        <v>431</v>
      </c>
      <c r="G25" s="13" t="s">
        <v>53</v>
      </c>
      <c r="J25" s="13" t="s">
        <v>1020</v>
      </c>
      <c r="K25" s="13">
        <v>11</v>
      </c>
    </row>
    <row r="26" spans="1:11" x14ac:dyDescent="0.2">
      <c r="A26" s="13" t="s">
        <v>76</v>
      </c>
      <c r="B26" s="13" t="s">
        <v>25</v>
      </c>
      <c r="C26" s="13" t="s">
        <v>54</v>
      </c>
      <c r="D26" s="13" t="s">
        <v>1162</v>
      </c>
      <c r="G26" s="13" t="s">
        <v>53</v>
      </c>
      <c r="K26" s="13">
        <v>12</v>
      </c>
    </row>
    <row r="27" spans="1:11" ht="17" x14ac:dyDescent="0.2">
      <c r="A27" s="13" t="s">
        <v>76</v>
      </c>
      <c r="B27" s="13" t="s">
        <v>25</v>
      </c>
      <c r="C27" s="13" t="s">
        <v>54</v>
      </c>
      <c r="E27" s="33" t="s">
        <v>1163</v>
      </c>
      <c r="G27" s="13" t="s">
        <v>53</v>
      </c>
      <c r="K27" s="13">
        <v>13</v>
      </c>
    </row>
    <row r="28" spans="1:11" x14ac:dyDescent="0.2">
      <c r="A28" s="13" t="s">
        <v>76</v>
      </c>
      <c r="B28" s="13" t="s">
        <v>23</v>
      </c>
      <c r="C28" s="13" t="s">
        <v>54</v>
      </c>
      <c r="G28" s="13" t="s">
        <v>53</v>
      </c>
      <c r="I28" s="13" t="s">
        <v>1166</v>
      </c>
      <c r="K28" s="13">
        <v>14</v>
      </c>
    </row>
    <row r="29" spans="1:11" ht="17" x14ac:dyDescent="0.2">
      <c r="A29" s="13" t="s">
        <v>76</v>
      </c>
      <c r="B29" s="13" t="s">
        <v>25</v>
      </c>
      <c r="C29" s="13" t="s">
        <v>54</v>
      </c>
      <c r="E29" s="33" t="s">
        <v>1164</v>
      </c>
      <c r="G29" s="13" t="s">
        <v>53</v>
      </c>
      <c r="K29" s="13">
        <v>15</v>
      </c>
    </row>
    <row r="30" spans="1:11" x14ac:dyDescent="0.2">
      <c r="A30" s="13" t="s">
        <v>76</v>
      </c>
      <c r="B30" s="13" t="s">
        <v>23</v>
      </c>
      <c r="C30" s="13" t="s">
        <v>54</v>
      </c>
      <c r="G30" s="13" t="s">
        <v>53</v>
      </c>
      <c r="I30" s="13" t="s">
        <v>1167</v>
      </c>
      <c r="K30" s="13">
        <v>16</v>
      </c>
    </row>
    <row r="31" spans="1:11" ht="17" x14ac:dyDescent="0.2">
      <c r="A31" s="13" t="s">
        <v>76</v>
      </c>
      <c r="B31" s="13" t="s">
        <v>25</v>
      </c>
      <c r="C31" s="13" t="s">
        <v>54</v>
      </c>
      <c r="E31" s="33" t="s">
        <v>1165</v>
      </c>
      <c r="G31" s="13" t="s">
        <v>53</v>
      </c>
      <c r="K31" s="13">
        <v>17</v>
      </c>
    </row>
    <row r="32" spans="1:11" x14ac:dyDescent="0.2">
      <c r="A32" s="13" t="s">
        <v>76</v>
      </c>
      <c r="B32" s="13" t="s">
        <v>23</v>
      </c>
      <c r="C32" s="13" t="s">
        <v>54</v>
      </c>
      <c r="G32" s="13" t="s">
        <v>53</v>
      </c>
      <c r="I32" s="13" t="s">
        <v>1168</v>
      </c>
      <c r="K32" s="13">
        <v>18</v>
      </c>
    </row>
    <row r="33" spans="1:11" ht="17" x14ac:dyDescent="0.2">
      <c r="A33" s="13" t="s">
        <v>76</v>
      </c>
      <c r="B33" s="13" t="s">
        <v>25</v>
      </c>
      <c r="C33" s="13" t="s">
        <v>54</v>
      </c>
      <c r="E33" s="33" t="s">
        <v>1173</v>
      </c>
      <c r="G33" s="13" t="s">
        <v>53</v>
      </c>
      <c r="K33" s="13">
        <v>19</v>
      </c>
    </row>
    <row r="34" spans="1:11" ht="17" x14ac:dyDescent="0.2">
      <c r="A34" s="13" t="s">
        <v>76</v>
      </c>
      <c r="B34" s="13" t="s">
        <v>25</v>
      </c>
      <c r="C34" s="13" t="s">
        <v>54</v>
      </c>
      <c r="E34" s="33" t="s">
        <v>1174</v>
      </c>
      <c r="G34" s="13" t="s">
        <v>53</v>
      </c>
      <c r="K34" s="13">
        <v>20</v>
      </c>
    </row>
    <row r="44" spans="1:11" ht="17" x14ac:dyDescent="0.2">
      <c r="A44" s="13" t="s">
        <v>459</v>
      </c>
      <c r="B44" s="13" t="s">
        <v>25</v>
      </c>
      <c r="C44" s="13" t="s">
        <v>52</v>
      </c>
      <c r="D44" s="13" t="s">
        <v>183</v>
      </c>
      <c r="E44" s="33" t="s">
        <v>1641</v>
      </c>
      <c r="G44" s="13" t="s">
        <v>53</v>
      </c>
      <c r="K44" s="13">
        <v>1</v>
      </c>
    </row>
    <row r="45" spans="1:11" ht="17" x14ac:dyDescent="0.2">
      <c r="A45" s="13" t="s">
        <v>459</v>
      </c>
      <c r="B45" s="13" t="s">
        <v>25</v>
      </c>
      <c r="C45" s="13" t="s">
        <v>52</v>
      </c>
      <c r="E45" s="33" t="s">
        <v>1639</v>
      </c>
      <c r="G45" s="13" t="s">
        <v>53</v>
      </c>
      <c r="K45" s="13">
        <v>2</v>
      </c>
    </row>
    <row r="46" spans="1:11" ht="17" x14ac:dyDescent="0.2">
      <c r="A46" s="13" t="s">
        <v>459</v>
      </c>
      <c r="B46" s="13" t="s">
        <v>25</v>
      </c>
      <c r="C46" s="13" t="s">
        <v>52</v>
      </c>
      <c r="E46" s="33" t="s">
        <v>1640</v>
      </c>
      <c r="G46" s="13" t="s">
        <v>53</v>
      </c>
      <c r="K46" s="13">
        <v>3</v>
      </c>
    </row>
    <row r="47" spans="1:11" x14ac:dyDescent="0.2">
      <c r="A47" s="13" t="s">
        <v>459</v>
      </c>
      <c r="B47" s="13" t="s">
        <v>27</v>
      </c>
      <c r="C47" s="13" t="s">
        <v>54</v>
      </c>
      <c r="D47" s="13" t="s">
        <v>1585</v>
      </c>
      <c r="F47" s="13" t="s">
        <v>1584</v>
      </c>
      <c r="G47" s="13" t="s">
        <v>53</v>
      </c>
      <c r="J47" s="13" t="s">
        <v>1571</v>
      </c>
      <c r="K47" s="13">
        <v>4</v>
      </c>
    </row>
    <row r="48" spans="1:11" x14ac:dyDescent="0.2">
      <c r="A48" s="13" t="s">
        <v>459</v>
      </c>
      <c r="B48" s="13" t="s">
        <v>27</v>
      </c>
      <c r="C48" s="13" t="s">
        <v>54</v>
      </c>
      <c r="D48" s="13" t="s">
        <v>1586</v>
      </c>
      <c r="F48" s="13" t="s">
        <v>1587</v>
      </c>
      <c r="G48" s="13" t="s">
        <v>53</v>
      </c>
      <c r="J48" s="13" t="s">
        <v>1019</v>
      </c>
      <c r="K48" s="13">
        <v>5</v>
      </c>
    </row>
    <row r="49" spans="1:11" x14ac:dyDescent="0.2">
      <c r="A49" s="13" t="s">
        <v>459</v>
      </c>
      <c r="B49" s="13" t="s">
        <v>25</v>
      </c>
      <c r="C49" s="13" t="s">
        <v>54</v>
      </c>
      <c r="D49" s="13" t="s">
        <v>1583</v>
      </c>
      <c r="G49" s="13" t="s">
        <v>53</v>
      </c>
      <c r="I49" s="2"/>
      <c r="K49" s="13">
        <v>6</v>
      </c>
    </row>
    <row r="50" spans="1:11" x14ac:dyDescent="0.2">
      <c r="A50" s="13" t="s">
        <v>459</v>
      </c>
      <c r="B50" s="13" t="s">
        <v>25</v>
      </c>
      <c r="C50" s="13" t="s">
        <v>54</v>
      </c>
      <c r="E50" s="13" t="s">
        <v>1642</v>
      </c>
      <c r="G50" s="13" t="s">
        <v>53</v>
      </c>
      <c r="I50" s="2"/>
      <c r="K50" s="13">
        <v>7</v>
      </c>
    </row>
    <row r="51" spans="1:11" x14ac:dyDescent="0.2">
      <c r="A51" s="13" t="s">
        <v>459</v>
      </c>
      <c r="B51" s="13" t="s">
        <v>23</v>
      </c>
      <c r="C51" s="13" t="s">
        <v>54</v>
      </c>
      <c r="G51" s="13" t="s">
        <v>53</v>
      </c>
      <c r="I51" s="2" t="s">
        <v>1637</v>
      </c>
      <c r="K51" s="13">
        <v>8</v>
      </c>
    </row>
    <row r="52" spans="1:11" x14ac:dyDescent="0.2">
      <c r="A52" s="13" t="s">
        <v>459</v>
      </c>
      <c r="B52" s="13" t="s">
        <v>23</v>
      </c>
      <c r="C52" s="13" t="s">
        <v>54</v>
      </c>
      <c r="G52" s="13" t="s">
        <v>53</v>
      </c>
      <c r="I52" s="2" t="s">
        <v>1638</v>
      </c>
      <c r="K52" s="13">
        <v>9</v>
      </c>
    </row>
    <row r="53" spans="1:11" x14ac:dyDescent="0.2">
      <c r="A53" s="13" t="s">
        <v>459</v>
      </c>
      <c r="B53" s="13" t="s">
        <v>25</v>
      </c>
      <c r="C53" s="13" t="s">
        <v>54</v>
      </c>
      <c r="D53" s="2"/>
      <c r="E53" s="2" t="s">
        <v>1635</v>
      </c>
      <c r="G53" s="13" t="s">
        <v>53</v>
      </c>
      <c r="I53" s="2"/>
      <c r="K53" s="13">
        <v>10</v>
      </c>
    </row>
    <row r="55" spans="1:11" ht="17" x14ac:dyDescent="0.2">
      <c r="A55" s="13" t="s">
        <v>77</v>
      </c>
      <c r="B55" s="13" t="s">
        <v>25</v>
      </c>
      <c r="C55" s="13" t="s">
        <v>52</v>
      </c>
      <c r="D55" s="13" t="s">
        <v>183</v>
      </c>
      <c r="E55" s="33" t="s">
        <v>1077</v>
      </c>
      <c r="G55" s="13" t="s">
        <v>53</v>
      </c>
      <c r="K55" s="13">
        <v>1</v>
      </c>
    </row>
    <row r="56" spans="1:11" x14ac:dyDescent="0.2">
      <c r="A56" s="13" t="s">
        <v>77</v>
      </c>
      <c r="B56" s="13" t="s">
        <v>27</v>
      </c>
      <c r="C56" s="13" t="s">
        <v>54</v>
      </c>
      <c r="D56" s="13" t="s">
        <v>1063</v>
      </c>
      <c r="F56" s="13" t="s">
        <v>483</v>
      </c>
      <c r="G56" s="13" t="s">
        <v>53</v>
      </c>
      <c r="J56" s="13" t="s">
        <v>1571</v>
      </c>
      <c r="K56" s="13">
        <v>2</v>
      </c>
    </row>
    <row r="57" spans="1:11" ht="102" x14ac:dyDescent="0.2">
      <c r="A57" s="13" t="s">
        <v>77</v>
      </c>
      <c r="B57" s="13" t="s">
        <v>25</v>
      </c>
      <c r="C57" s="13" t="s">
        <v>54</v>
      </c>
      <c r="D57" s="13" t="s">
        <v>106</v>
      </c>
      <c r="E57" s="33" t="s">
        <v>499</v>
      </c>
      <c r="G57" s="13" t="s">
        <v>53</v>
      </c>
      <c r="K57" s="13">
        <v>3</v>
      </c>
    </row>
    <row r="58" spans="1:11" x14ac:dyDescent="0.2">
      <c r="A58" s="13" t="s">
        <v>77</v>
      </c>
      <c r="B58" s="13" t="s">
        <v>27</v>
      </c>
      <c r="C58" s="13" t="s">
        <v>54</v>
      </c>
      <c r="D58" s="13" t="s">
        <v>1061</v>
      </c>
      <c r="F58" s="13" t="s">
        <v>500</v>
      </c>
      <c r="G58" s="13" t="s">
        <v>53</v>
      </c>
      <c r="J58" s="13" t="s">
        <v>1020</v>
      </c>
      <c r="K58" s="13">
        <v>4</v>
      </c>
    </row>
    <row r="60" spans="1:11" x14ac:dyDescent="0.2">
      <c r="A60" s="13" t="s">
        <v>518</v>
      </c>
      <c r="B60" s="13" t="s">
        <v>23</v>
      </c>
      <c r="C60" s="13" t="s">
        <v>52</v>
      </c>
      <c r="D60" s="13" t="s">
        <v>183</v>
      </c>
      <c r="G60" s="13" t="s">
        <v>53</v>
      </c>
      <c r="I60" s="13" t="s">
        <v>1037</v>
      </c>
      <c r="K60" s="13">
        <v>1</v>
      </c>
    </row>
    <row r="61" spans="1:11" ht="51" x14ac:dyDescent="0.2">
      <c r="A61" s="13" t="s">
        <v>518</v>
      </c>
      <c r="B61" s="13" t="s">
        <v>25</v>
      </c>
      <c r="C61" s="13" t="s">
        <v>54</v>
      </c>
      <c r="D61" s="13" t="s">
        <v>26</v>
      </c>
      <c r="E61" s="33" t="s">
        <v>1080</v>
      </c>
      <c r="G61" s="13" t="s">
        <v>53</v>
      </c>
      <c r="K61" s="13">
        <v>2</v>
      </c>
    </row>
    <row r="62" spans="1:11" x14ac:dyDescent="0.2">
      <c r="A62" s="13" t="s">
        <v>518</v>
      </c>
      <c r="B62" s="13" t="s">
        <v>27</v>
      </c>
      <c r="C62" s="13" t="s">
        <v>54</v>
      </c>
      <c r="D62" s="13" t="s">
        <v>28</v>
      </c>
      <c r="F62" s="13" t="s">
        <v>524</v>
      </c>
      <c r="G62" s="13" t="s">
        <v>53</v>
      </c>
      <c r="J62" s="13" t="s">
        <v>1019</v>
      </c>
      <c r="K62" s="13">
        <v>3</v>
      </c>
    </row>
    <row r="63" spans="1:11" x14ac:dyDescent="0.2">
      <c r="A63" s="13" t="s">
        <v>518</v>
      </c>
      <c r="B63" s="13" t="s">
        <v>31</v>
      </c>
      <c r="C63" s="13" t="s">
        <v>54</v>
      </c>
      <c r="D63" s="13" t="s">
        <v>32</v>
      </c>
      <c r="I63" s="13" t="s">
        <v>1042</v>
      </c>
      <c r="K63" s="13">
        <v>4</v>
      </c>
    </row>
    <row r="65" spans="1:11" x14ac:dyDescent="0.2">
      <c r="A65" s="13" t="s">
        <v>1314</v>
      </c>
      <c r="B65" s="13" t="s">
        <v>23</v>
      </c>
      <c r="C65" s="13" t="s">
        <v>52</v>
      </c>
      <c r="D65" s="13" t="s">
        <v>183</v>
      </c>
      <c r="G65" s="13" t="s">
        <v>53</v>
      </c>
      <c r="I65" s="13" t="s">
        <v>1313</v>
      </c>
      <c r="K65" s="13">
        <v>1</v>
      </c>
    </row>
    <row r="66" spans="1:11" ht="17" x14ac:dyDescent="0.2">
      <c r="A66" s="13" t="s">
        <v>1314</v>
      </c>
      <c r="B66" s="13" t="s">
        <v>25</v>
      </c>
      <c r="C66" s="13" t="s">
        <v>54</v>
      </c>
      <c r="D66" s="13" t="s">
        <v>26</v>
      </c>
      <c r="E66" s="33" t="s">
        <v>1316</v>
      </c>
      <c r="G66" s="13" t="s">
        <v>53</v>
      </c>
      <c r="K66" s="13">
        <v>2</v>
      </c>
    </row>
    <row r="67" spans="1:11" x14ac:dyDescent="0.2">
      <c r="A67" s="13" t="s">
        <v>1314</v>
      </c>
      <c r="B67" s="13" t="s">
        <v>31</v>
      </c>
      <c r="C67" s="13" t="s">
        <v>54</v>
      </c>
      <c r="D67" s="13" t="s">
        <v>1363</v>
      </c>
      <c r="G67" s="13" t="s">
        <v>53</v>
      </c>
      <c r="I67" s="13" t="s">
        <v>1362</v>
      </c>
      <c r="K67" s="13">
        <v>3</v>
      </c>
    </row>
    <row r="68" spans="1:11" x14ac:dyDescent="0.2">
      <c r="A68" s="13" t="s">
        <v>1314</v>
      </c>
      <c r="B68" s="13" t="s">
        <v>31</v>
      </c>
      <c r="C68" s="13" t="s">
        <v>54</v>
      </c>
      <c r="D68" s="13" t="s">
        <v>32</v>
      </c>
      <c r="G68" s="13" t="s">
        <v>53</v>
      </c>
      <c r="I68" s="13" t="s">
        <v>1335</v>
      </c>
      <c r="K68" s="13">
        <v>4</v>
      </c>
    </row>
    <row r="69" spans="1:11" ht="102" x14ac:dyDescent="0.2">
      <c r="A69" s="13" t="s">
        <v>1314</v>
      </c>
      <c r="B69" s="13" t="s">
        <v>25</v>
      </c>
      <c r="C69" s="13" t="s">
        <v>54</v>
      </c>
      <c r="D69" s="13" t="s">
        <v>34</v>
      </c>
      <c r="E69" s="35" t="s">
        <v>1574</v>
      </c>
      <c r="G69" s="13" t="s">
        <v>53</v>
      </c>
    </row>
    <row r="89" spans="1:11" x14ac:dyDescent="0.2">
      <c r="A89" s="13" t="s">
        <v>1175</v>
      </c>
      <c r="B89" s="13" t="s">
        <v>27</v>
      </c>
      <c r="C89" s="13" t="s">
        <v>54</v>
      </c>
      <c r="D89" s="13" t="s">
        <v>1179</v>
      </c>
      <c r="F89" s="13" t="s">
        <v>1205</v>
      </c>
      <c r="G89" s="13" t="s">
        <v>53</v>
      </c>
      <c r="J89" s="13" t="s">
        <v>1020</v>
      </c>
      <c r="K89" s="13">
        <v>1</v>
      </c>
    </row>
    <row r="90" spans="1:11" x14ac:dyDescent="0.2">
      <c r="A90" s="13" t="s">
        <v>1175</v>
      </c>
      <c r="B90" s="13" t="s">
        <v>27</v>
      </c>
      <c r="C90" s="13" t="s">
        <v>54</v>
      </c>
      <c r="D90" s="13" t="s">
        <v>1180</v>
      </c>
      <c r="F90" s="13" t="s">
        <v>1206</v>
      </c>
      <c r="G90" s="13" t="s">
        <v>53</v>
      </c>
      <c r="J90" s="13" t="s">
        <v>1020</v>
      </c>
      <c r="K90" s="13">
        <v>2</v>
      </c>
    </row>
    <row r="91" spans="1:11" x14ac:dyDescent="0.2">
      <c r="A91" s="13" t="s">
        <v>1175</v>
      </c>
      <c r="B91" s="13" t="s">
        <v>27</v>
      </c>
      <c r="C91" s="13" t="s">
        <v>54</v>
      </c>
      <c r="D91" s="13" t="s">
        <v>1181</v>
      </c>
      <c r="F91" s="13" t="s">
        <v>1207</v>
      </c>
      <c r="G91" s="13" t="s">
        <v>53</v>
      </c>
      <c r="J91" s="13" t="s">
        <v>1020</v>
      </c>
      <c r="K91" s="13">
        <v>3</v>
      </c>
    </row>
    <row r="92" spans="1:11" x14ac:dyDescent="0.2">
      <c r="A92" s="13" t="s">
        <v>1175</v>
      </c>
      <c r="B92" s="13" t="s">
        <v>27</v>
      </c>
      <c r="C92" s="13" t="s">
        <v>54</v>
      </c>
      <c r="D92" s="13" t="s">
        <v>1182</v>
      </c>
      <c r="F92" s="13" t="s">
        <v>1208</v>
      </c>
      <c r="G92" s="13" t="s">
        <v>53</v>
      </c>
      <c r="J92" s="13" t="s">
        <v>1020</v>
      </c>
      <c r="K92" s="13">
        <v>4</v>
      </c>
    </row>
    <row r="93" spans="1:11" x14ac:dyDescent="0.2">
      <c r="A93" s="13" t="s">
        <v>1175</v>
      </c>
      <c r="B93" s="13" t="s">
        <v>27</v>
      </c>
      <c r="C93" s="13" t="s">
        <v>54</v>
      </c>
      <c r="D93" s="13" t="s">
        <v>1183</v>
      </c>
      <c r="F93" s="13" t="s">
        <v>1209</v>
      </c>
      <c r="G93" s="13" t="s">
        <v>53</v>
      </c>
      <c r="J93" s="13" t="s">
        <v>1020</v>
      </c>
      <c r="K93" s="13">
        <v>5</v>
      </c>
    </row>
    <row r="94" spans="1:11" x14ac:dyDescent="0.2">
      <c r="A94" s="13" t="s">
        <v>1175</v>
      </c>
      <c r="B94" s="13" t="s">
        <v>27</v>
      </c>
      <c r="C94" s="13" t="s">
        <v>54</v>
      </c>
      <c r="D94" s="13" t="s">
        <v>1184</v>
      </c>
      <c r="F94" s="13" t="s">
        <v>1178</v>
      </c>
      <c r="G94" s="13" t="s">
        <v>53</v>
      </c>
      <c r="J94" s="13" t="s">
        <v>1020</v>
      </c>
      <c r="K94" s="13">
        <v>6</v>
      </c>
    </row>
    <row r="95" spans="1:11" x14ac:dyDescent="0.2">
      <c r="A95" s="13" t="s">
        <v>1175</v>
      </c>
      <c r="B95" s="13" t="s">
        <v>27</v>
      </c>
      <c r="C95" s="13" t="s">
        <v>54</v>
      </c>
      <c r="D95" s="13" t="s">
        <v>1185</v>
      </c>
      <c r="F95" s="13" t="s">
        <v>1210</v>
      </c>
      <c r="G95" s="13" t="s">
        <v>53</v>
      </c>
      <c r="J95" s="13" t="s">
        <v>1020</v>
      </c>
      <c r="K95" s="13">
        <v>7</v>
      </c>
    </row>
    <row r="96" spans="1:11" x14ac:dyDescent="0.2">
      <c r="A96" s="13" t="s">
        <v>1175</v>
      </c>
      <c r="B96" s="13" t="s">
        <v>27</v>
      </c>
      <c r="C96" s="13" t="s">
        <v>54</v>
      </c>
      <c r="D96" s="13" t="s">
        <v>1186</v>
      </c>
      <c r="F96" s="13" t="s">
        <v>1211</v>
      </c>
      <c r="G96" s="13" t="s">
        <v>53</v>
      </c>
      <c r="J96" s="13" t="s">
        <v>1020</v>
      </c>
      <c r="K96" s="13">
        <v>8</v>
      </c>
    </row>
    <row r="97" spans="1:11" x14ac:dyDescent="0.2">
      <c r="A97" s="13" t="s">
        <v>1175</v>
      </c>
      <c r="B97" s="13" t="s">
        <v>27</v>
      </c>
      <c r="C97" s="13" t="s">
        <v>54</v>
      </c>
      <c r="D97" s="13" t="s">
        <v>1187</v>
      </c>
      <c r="F97" s="13" t="s">
        <v>1212</v>
      </c>
      <c r="G97" s="13" t="s">
        <v>53</v>
      </c>
      <c r="J97" s="13" t="s">
        <v>1020</v>
      </c>
      <c r="K97" s="13">
        <v>9</v>
      </c>
    </row>
    <row r="98" spans="1:11" x14ac:dyDescent="0.2">
      <c r="A98" s="13" t="s">
        <v>1175</v>
      </c>
      <c r="B98" s="13" t="s">
        <v>27</v>
      </c>
      <c r="C98" s="13" t="s">
        <v>54</v>
      </c>
      <c r="D98" s="13" t="s">
        <v>1188</v>
      </c>
      <c r="F98" s="13" t="s">
        <v>1213</v>
      </c>
      <c r="G98" s="13" t="s">
        <v>53</v>
      </c>
      <c r="J98" s="13" t="s">
        <v>1020</v>
      </c>
      <c r="K98" s="13">
        <v>10</v>
      </c>
    </row>
    <row r="99" spans="1:11" x14ac:dyDescent="0.2">
      <c r="A99" s="13" t="s">
        <v>1175</v>
      </c>
      <c r="B99" s="13" t="s">
        <v>27</v>
      </c>
      <c r="C99" s="13" t="s">
        <v>54</v>
      </c>
      <c r="D99" s="13" t="s">
        <v>1189</v>
      </c>
      <c r="F99" s="13" t="s">
        <v>1214</v>
      </c>
      <c r="G99" s="13" t="s">
        <v>53</v>
      </c>
      <c r="J99" s="13" t="s">
        <v>1020</v>
      </c>
      <c r="K99" s="13">
        <v>11</v>
      </c>
    </row>
    <row r="100" spans="1:11" x14ac:dyDescent="0.2">
      <c r="A100" s="13" t="s">
        <v>1175</v>
      </c>
      <c r="B100" s="13" t="s">
        <v>27</v>
      </c>
      <c r="C100" s="13" t="s">
        <v>54</v>
      </c>
      <c r="D100" s="13" t="s">
        <v>1190</v>
      </c>
      <c r="F100" s="13" t="s">
        <v>1215</v>
      </c>
      <c r="G100" s="13" t="s">
        <v>53</v>
      </c>
      <c r="J100" s="13" t="s">
        <v>1020</v>
      </c>
      <c r="K100" s="13">
        <v>12</v>
      </c>
    </row>
    <row r="101" spans="1:11" x14ac:dyDescent="0.2">
      <c r="A101" s="13" t="s">
        <v>1175</v>
      </c>
      <c r="B101" s="13" t="s">
        <v>27</v>
      </c>
      <c r="C101" s="13" t="s">
        <v>54</v>
      </c>
      <c r="D101" s="13" t="s">
        <v>1191</v>
      </c>
      <c r="F101" s="13" t="s">
        <v>1216</v>
      </c>
      <c r="G101" s="13" t="s">
        <v>53</v>
      </c>
      <c r="J101" s="13" t="s">
        <v>1020</v>
      </c>
      <c r="K101" s="13">
        <v>13</v>
      </c>
    </row>
    <row r="102" spans="1:11" x14ac:dyDescent="0.2">
      <c r="A102" s="13" t="s">
        <v>1175</v>
      </c>
      <c r="B102" s="13" t="s">
        <v>27</v>
      </c>
      <c r="C102" s="13" t="s">
        <v>54</v>
      </c>
      <c r="D102" s="13" t="s">
        <v>1192</v>
      </c>
      <c r="F102" s="13" t="s">
        <v>1217</v>
      </c>
      <c r="G102" s="13" t="s">
        <v>53</v>
      </c>
      <c r="J102" s="13" t="s">
        <v>1020</v>
      </c>
      <c r="K102" s="13">
        <v>14</v>
      </c>
    </row>
    <row r="103" spans="1:11" x14ac:dyDescent="0.2">
      <c r="A103" s="13" t="s">
        <v>1175</v>
      </c>
      <c r="B103" s="13" t="s">
        <v>27</v>
      </c>
      <c r="C103" s="13" t="s">
        <v>54</v>
      </c>
      <c r="D103" s="13" t="s">
        <v>1193</v>
      </c>
      <c r="F103" s="13" t="s">
        <v>1218</v>
      </c>
      <c r="G103" s="13" t="s">
        <v>53</v>
      </c>
      <c r="J103" s="13" t="s">
        <v>1020</v>
      </c>
      <c r="K103" s="13">
        <v>15</v>
      </c>
    </row>
    <row r="104" spans="1:11" x14ac:dyDescent="0.2">
      <c r="A104" s="13" t="s">
        <v>1175</v>
      </c>
      <c r="B104" s="13" t="s">
        <v>27</v>
      </c>
      <c r="C104" s="13" t="s">
        <v>54</v>
      </c>
      <c r="D104" s="13" t="s">
        <v>1194</v>
      </c>
      <c r="F104" s="13" t="s">
        <v>1219</v>
      </c>
      <c r="G104" s="13" t="s">
        <v>53</v>
      </c>
      <c r="J104" s="13" t="s">
        <v>1020</v>
      </c>
      <c r="K104" s="13">
        <v>16</v>
      </c>
    </row>
    <row r="105" spans="1:11" x14ac:dyDescent="0.2">
      <c r="A105" s="13" t="s">
        <v>1175</v>
      </c>
      <c r="B105" s="13" t="s">
        <v>27</v>
      </c>
      <c r="C105" s="13" t="s">
        <v>54</v>
      </c>
      <c r="D105" s="13" t="s">
        <v>1195</v>
      </c>
      <c r="F105" s="13" t="s">
        <v>1220</v>
      </c>
      <c r="G105" s="13" t="s">
        <v>53</v>
      </c>
      <c r="J105" s="13" t="s">
        <v>1020</v>
      </c>
      <c r="K105" s="13">
        <v>17</v>
      </c>
    </row>
    <row r="106" spans="1:11" x14ac:dyDescent="0.2">
      <c r="A106" s="13" t="s">
        <v>1175</v>
      </c>
      <c r="B106" s="13" t="s">
        <v>27</v>
      </c>
      <c r="C106" s="13" t="s">
        <v>54</v>
      </c>
      <c r="D106" s="13" t="s">
        <v>1196</v>
      </c>
      <c r="F106" s="13" t="s">
        <v>1221</v>
      </c>
      <c r="G106" s="13" t="s">
        <v>53</v>
      </c>
      <c r="J106" s="13" t="s">
        <v>1020</v>
      </c>
      <c r="K106" s="13">
        <v>18</v>
      </c>
    </row>
    <row r="107" spans="1:11" x14ac:dyDescent="0.2">
      <c r="A107" s="13" t="s">
        <v>1175</v>
      </c>
      <c r="B107" s="13" t="s">
        <v>27</v>
      </c>
      <c r="C107" s="13" t="s">
        <v>54</v>
      </c>
      <c r="D107" s="13" t="s">
        <v>1197</v>
      </c>
      <c r="F107" s="13" t="s">
        <v>1222</v>
      </c>
      <c r="G107" s="13" t="s">
        <v>53</v>
      </c>
      <c r="J107" s="13" t="s">
        <v>1020</v>
      </c>
      <c r="K107" s="13">
        <v>19</v>
      </c>
    </row>
    <row r="108" spans="1:11" x14ac:dyDescent="0.2">
      <c r="A108" s="13" t="s">
        <v>1175</v>
      </c>
      <c r="B108" s="13" t="s">
        <v>27</v>
      </c>
      <c r="C108" s="13" t="s">
        <v>54</v>
      </c>
      <c r="D108" s="13" t="s">
        <v>1198</v>
      </c>
      <c r="F108" s="13" t="s">
        <v>1223</v>
      </c>
      <c r="G108" s="13" t="s">
        <v>53</v>
      </c>
      <c r="J108" s="13" t="s">
        <v>1020</v>
      </c>
      <c r="K108" s="13">
        <v>20</v>
      </c>
    </row>
    <row r="109" spans="1:11" x14ac:dyDescent="0.2">
      <c r="A109" s="13" t="s">
        <v>1175</v>
      </c>
      <c r="B109" s="13" t="s">
        <v>27</v>
      </c>
      <c r="C109" s="13" t="s">
        <v>54</v>
      </c>
      <c r="D109" s="13" t="s">
        <v>1199</v>
      </c>
      <c r="F109" s="13" t="s">
        <v>1224</v>
      </c>
      <c r="G109" s="13" t="s">
        <v>53</v>
      </c>
      <c r="J109" s="13" t="s">
        <v>1020</v>
      </c>
      <c r="K109" s="13">
        <v>21</v>
      </c>
    </row>
    <row r="110" spans="1:11" x14ac:dyDescent="0.2">
      <c r="A110" s="13" t="s">
        <v>1175</v>
      </c>
      <c r="B110" s="13" t="s">
        <v>27</v>
      </c>
      <c r="C110" s="13" t="s">
        <v>54</v>
      </c>
      <c r="D110" s="13" t="s">
        <v>1200</v>
      </c>
      <c r="F110" s="13" t="s">
        <v>1225</v>
      </c>
      <c r="G110" s="13" t="s">
        <v>53</v>
      </c>
      <c r="J110" s="13" t="s">
        <v>1020</v>
      </c>
      <c r="K110" s="13">
        <v>22</v>
      </c>
    </row>
    <row r="111" spans="1:11" x14ac:dyDescent="0.2">
      <c r="A111" s="13" t="s">
        <v>1175</v>
      </c>
      <c r="B111" s="13" t="s">
        <v>27</v>
      </c>
      <c r="C111" s="13" t="s">
        <v>54</v>
      </c>
      <c r="D111" s="13" t="s">
        <v>1201</v>
      </c>
      <c r="F111" s="13" t="s">
        <v>1226</v>
      </c>
      <c r="G111" s="13" t="s">
        <v>53</v>
      </c>
      <c r="J111" s="13" t="s">
        <v>1020</v>
      </c>
      <c r="K111" s="13">
        <v>23</v>
      </c>
    </row>
    <row r="112" spans="1:11" x14ac:dyDescent="0.2">
      <c r="A112" s="13" t="s">
        <v>1175</v>
      </c>
      <c r="B112" s="13" t="s">
        <v>27</v>
      </c>
      <c r="C112" s="13" t="s">
        <v>54</v>
      </c>
      <c r="D112" s="13" t="s">
        <v>1202</v>
      </c>
      <c r="F112" s="13" t="s">
        <v>1227</v>
      </c>
      <c r="G112" s="13" t="s">
        <v>53</v>
      </c>
      <c r="J112" s="13" t="s">
        <v>1020</v>
      </c>
      <c r="K112" s="13">
        <v>24</v>
      </c>
    </row>
    <row r="113" spans="1:11" x14ac:dyDescent="0.2">
      <c r="A113" s="13" t="s">
        <v>1175</v>
      </c>
      <c r="B113" s="13" t="s">
        <v>27</v>
      </c>
      <c r="C113" s="13" t="s">
        <v>54</v>
      </c>
      <c r="D113" s="13" t="s">
        <v>1203</v>
      </c>
      <c r="F113" s="13" t="s">
        <v>1228</v>
      </c>
      <c r="G113" s="13" t="s">
        <v>53</v>
      </c>
      <c r="J113" s="13" t="s">
        <v>1020</v>
      </c>
      <c r="K113" s="13">
        <v>25</v>
      </c>
    </row>
    <row r="114" spans="1:11" x14ac:dyDescent="0.2">
      <c r="A114" s="13" t="s">
        <v>1175</v>
      </c>
      <c r="B114" s="13" t="s">
        <v>27</v>
      </c>
      <c r="C114" s="13" t="s">
        <v>54</v>
      </c>
      <c r="D114" s="13" t="s">
        <v>1204</v>
      </c>
      <c r="F114" s="13" t="s">
        <v>1229</v>
      </c>
      <c r="G114" s="13" t="s">
        <v>53</v>
      </c>
      <c r="J114" s="13" t="s">
        <v>1020</v>
      </c>
      <c r="K114" s="13">
        <v>26</v>
      </c>
    </row>
    <row r="118" spans="1:11" x14ac:dyDescent="0.2">
      <c r="A118" s="13" t="s">
        <v>1241</v>
      </c>
      <c r="B118" s="13" t="s">
        <v>25</v>
      </c>
      <c r="C118" s="13" t="s">
        <v>52</v>
      </c>
      <c r="D118" s="13" t="s">
        <v>1252</v>
      </c>
      <c r="G118" s="13" t="s">
        <v>53</v>
      </c>
      <c r="K118" s="13">
        <v>1</v>
      </c>
    </row>
    <row r="119" spans="1:11" ht="17" x14ac:dyDescent="0.2">
      <c r="A119" s="13" t="s">
        <v>1241</v>
      </c>
      <c r="B119" s="13" t="s">
        <v>25</v>
      </c>
      <c r="C119" s="13" t="s">
        <v>52</v>
      </c>
      <c r="E119" s="45" t="s">
        <v>1256</v>
      </c>
      <c r="G119" s="13" t="s">
        <v>53</v>
      </c>
      <c r="K119" s="13">
        <v>1</v>
      </c>
    </row>
    <row r="120" spans="1:11" ht="17" x14ac:dyDescent="0.2">
      <c r="A120" s="13" t="s">
        <v>1241</v>
      </c>
      <c r="B120" s="13" t="s">
        <v>25</v>
      </c>
      <c r="C120" s="13" t="s">
        <v>52</v>
      </c>
      <c r="E120" s="45" t="s">
        <v>1253</v>
      </c>
      <c r="G120" s="13" t="s">
        <v>53</v>
      </c>
      <c r="K120" s="13">
        <v>2</v>
      </c>
    </row>
    <row r="121" spans="1:11" ht="34" x14ac:dyDescent="0.2">
      <c r="A121" s="13" t="s">
        <v>1241</v>
      </c>
      <c r="B121" s="13" t="s">
        <v>25</v>
      </c>
      <c r="C121" s="13" t="s">
        <v>52</v>
      </c>
      <c r="E121" s="45" t="s">
        <v>1254</v>
      </c>
      <c r="G121" s="13" t="s">
        <v>53</v>
      </c>
      <c r="K121" s="13">
        <v>3</v>
      </c>
    </row>
    <row r="122" spans="1:11" ht="17" x14ac:dyDescent="0.2">
      <c r="A122" s="13" t="s">
        <v>1241</v>
      </c>
      <c r="B122" s="13" t="s">
        <v>25</v>
      </c>
      <c r="C122" s="13" t="s">
        <v>54</v>
      </c>
      <c r="D122" s="13" t="s">
        <v>1244</v>
      </c>
      <c r="E122" s="33" t="s">
        <v>1255</v>
      </c>
      <c r="G122" s="13" t="s">
        <v>53</v>
      </c>
      <c r="K122" s="13">
        <v>4</v>
      </c>
    </row>
    <row r="123" spans="1:11" ht="68" x14ac:dyDescent="0.2">
      <c r="A123" s="13" t="s">
        <v>1241</v>
      </c>
      <c r="B123" s="13" t="s">
        <v>25</v>
      </c>
      <c r="C123" s="13" t="s">
        <v>54</v>
      </c>
      <c r="E123" s="33" t="s">
        <v>1245</v>
      </c>
      <c r="G123" s="13" t="s">
        <v>53</v>
      </c>
      <c r="K123" s="13">
        <v>5</v>
      </c>
    </row>
    <row r="124" spans="1:11" ht="17" x14ac:dyDescent="0.2">
      <c r="A124" s="13" t="s">
        <v>1241</v>
      </c>
      <c r="B124" s="13" t="s">
        <v>25</v>
      </c>
      <c r="C124" s="13" t="s">
        <v>54</v>
      </c>
      <c r="E124" s="33" t="s">
        <v>1246</v>
      </c>
      <c r="G124" s="13" t="s">
        <v>53</v>
      </c>
      <c r="K124" s="13">
        <v>6</v>
      </c>
    </row>
    <row r="125" spans="1:11" ht="17" x14ac:dyDescent="0.2">
      <c r="A125" s="13" t="s">
        <v>1241</v>
      </c>
      <c r="B125" s="13" t="s">
        <v>25</v>
      </c>
      <c r="C125" s="13" t="s">
        <v>54</v>
      </c>
      <c r="E125" s="33" t="s">
        <v>1247</v>
      </c>
      <c r="G125" s="13" t="s">
        <v>53</v>
      </c>
      <c r="K125" s="13">
        <v>7</v>
      </c>
    </row>
    <row r="126" spans="1:11" ht="17" x14ac:dyDescent="0.2">
      <c r="A126" s="13" t="s">
        <v>1241</v>
      </c>
      <c r="B126" s="13" t="s">
        <v>25</v>
      </c>
      <c r="C126" s="13" t="s">
        <v>54</v>
      </c>
      <c r="E126" s="33" t="s">
        <v>1248</v>
      </c>
      <c r="G126" s="13" t="s">
        <v>53</v>
      </c>
      <c r="K126" s="13">
        <v>8</v>
      </c>
    </row>
    <row r="127" spans="1:11" ht="17" x14ac:dyDescent="0.2">
      <c r="A127" s="13" t="s">
        <v>1241</v>
      </c>
      <c r="B127" s="13" t="s">
        <v>25</v>
      </c>
      <c r="C127" s="13" t="s">
        <v>54</v>
      </c>
      <c r="E127" s="33" t="s">
        <v>1249</v>
      </c>
      <c r="G127" s="13" t="s">
        <v>53</v>
      </c>
      <c r="K127" s="13">
        <v>9</v>
      </c>
    </row>
    <row r="128" spans="1:11" ht="34" x14ac:dyDescent="0.2">
      <c r="A128" s="13" t="s">
        <v>1241</v>
      </c>
      <c r="B128" s="13" t="s">
        <v>25</v>
      </c>
      <c r="C128" s="13" t="s">
        <v>54</v>
      </c>
      <c r="D128" s="13" t="s">
        <v>1250</v>
      </c>
      <c r="E128" s="46" t="s">
        <v>1251</v>
      </c>
      <c r="G128" s="13" t="s">
        <v>53</v>
      </c>
      <c r="K128" s="13">
        <v>10</v>
      </c>
    </row>
    <row r="131" spans="1:11" x14ac:dyDescent="0.2">
      <c r="A131" s="13" t="s">
        <v>1257</v>
      </c>
      <c r="B131" s="13" t="s">
        <v>25</v>
      </c>
      <c r="C131" s="13" t="s">
        <v>52</v>
      </c>
      <c r="D131" s="34" t="s">
        <v>1260</v>
      </c>
      <c r="G131" s="13" t="s">
        <v>53</v>
      </c>
      <c r="K131" s="13">
        <v>1</v>
      </c>
    </row>
    <row r="132" spans="1:11" ht="90" x14ac:dyDescent="0.2">
      <c r="A132" s="13" t="s">
        <v>1257</v>
      </c>
      <c r="B132" s="13" t="s">
        <v>25</v>
      </c>
      <c r="C132" s="13" t="s">
        <v>52</v>
      </c>
      <c r="E132" s="47" t="s">
        <v>1261</v>
      </c>
      <c r="G132" s="13" t="s">
        <v>53</v>
      </c>
      <c r="K132" s="13">
        <v>2</v>
      </c>
    </row>
    <row r="133" spans="1:11" x14ac:dyDescent="0.2">
      <c r="A133" s="13" t="s">
        <v>1257</v>
      </c>
      <c r="B133" s="13" t="s">
        <v>25</v>
      </c>
      <c r="C133" s="13" t="s">
        <v>54</v>
      </c>
      <c r="D133" s="34" t="s">
        <v>1262</v>
      </c>
      <c r="G133" s="13" t="s">
        <v>53</v>
      </c>
      <c r="K133" s="13">
        <v>3</v>
      </c>
    </row>
    <row r="134" spans="1:11" ht="306" x14ac:dyDescent="0.2">
      <c r="A134" s="13" t="s">
        <v>1257</v>
      </c>
      <c r="B134" s="13" t="s">
        <v>25</v>
      </c>
      <c r="C134" s="13" t="s">
        <v>54</v>
      </c>
      <c r="E134" s="33" t="s">
        <v>1266</v>
      </c>
      <c r="G134" s="13" t="s">
        <v>53</v>
      </c>
      <c r="K134" s="13">
        <v>4</v>
      </c>
    </row>
    <row r="135" spans="1:11" ht="187" x14ac:dyDescent="0.2">
      <c r="A135" s="13" t="s">
        <v>1257</v>
      </c>
      <c r="B135" s="13" t="s">
        <v>25</v>
      </c>
      <c r="C135" s="13" t="s">
        <v>54</v>
      </c>
      <c r="E135" s="33" t="s">
        <v>1267</v>
      </c>
      <c r="G135" s="13" t="s">
        <v>53</v>
      </c>
      <c r="K135" s="13">
        <v>5</v>
      </c>
    </row>
    <row r="136" spans="1:11" ht="187" x14ac:dyDescent="0.2">
      <c r="A136" s="13" t="s">
        <v>1257</v>
      </c>
      <c r="B136" s="13" t="s">
        <v>25</v>
      </c>
      <c r="C136" s="13" t="s">
        <v>54</v>
      </c>
      <c r="E136" s="33" t="s">
        <v>1267</v>
      </c>
      <c r="G136" s="13" t="s">
        <v>53</v>
      </c>
      <c r="K136" s="13">
        <v>6</v>
      </c>
    </row>
    <row r="137" spans="1:11" x14ac:dyDescent="0.2">
      <c r="A137" s="13" t="s">
        <v>1257</v>
      </c>
      <c r="B137" s="13" t="s">
        <v>25</v>
      </c>
      <c r="C137" s="13" t="s">
        <v>54</v>
      </c>
      <c r="D137" s="34" t="s">
        <v>28</v>
      </c>
      <c r="G137" s="13" t="s">
        <v>53</v>
      </c>
      <c r="K137" s="13">
        <v>7</v>
      </c>
    </row>
    <row r="138" spans="1:11" ht="204" x14ac:dyDescent="0.2">
      <c r="A138" s="13" t="s">
        <v>1257</v>
      </c>
      <c r="B138" s="13" t="s">
        <v>25</v>
      </c>
      <c r="C138" s="13" t="s">
        <v>54</v>
      </c>
      <c r="E138" s="33" t="s">
        <v>1268</v>
      </c>
      <c r="G138" s="13" t="s">
        <v>53</v>
      </c>
      <c r="K138" s="13">
        <v>8</v>
      </c>
    </row>
    <row r="139" spans="1:11" ht="204" x14ac:dyDescent="0.2">
      <c r="A139" s="13" t="s">
        <v>1257</v>
      </c>
      <c r="B139" s="13" t="s">
        <v>25</v>
      </c>
      <c r="C139" s="13" t="s">
        <v>54</v>
      </c>
      <c r="E139" s="33" t="s">
        <v>1270</v>
      </c>
      <c r="G139" s="13" t="s">
        <v>53</v>
      </c>
      <c r="K139" s="13">
        <v>9</v>
      </c>
    </row>
    <row r="140" spans="1:11" ht="102" x14ac:dyDescent="0.2">
      <c r="A140" s="13" t="s">
        <v>1257</v>
      </c>
      <c r="B140" s="13" t="s">
        <v>25</v>
      </c>
      <c r="C140" s="13" t="s">
        <v>54</v>
      </c>
      <c r="E140" s="33" t="s">
        <v>1263</v>
      </c>
      <c r="G140" s="13" t="s">
        <v>53</v>
      </c>
      <c r="K140" s="13">
        <v>10</v>
      </c>
    </row>
    <row r="141" spans="1:11" ht="17" x14ac:dyDescent="0.2">
      <c r="A141" s="13" t="s">
        <v>1257</v>
      </c>
      <c r="B141" s="13" t="s">
        <v>25</v>
      </c>
      <c r="C141" s="13" t="s">
        <v>54</v>
      </c>
      <c r="E141" s="33" t="s">
        <v>1269</v>
      </c>
      <c r="K141" s="13">
        <v>11</v>
      </c>
    </row>
    <row r="142" spans="1:11" ht="17" x14ac:dyDescent="0.2">
      <c r="A142" s="13" t="s">
        <v>1257</v>
      </c>
      <c r="B142" s="13" t="s">
        <v>25</v>
      </c>
      <c r="C142" s="13" t="s">
        <v>54</v>
      </c>
      <c r="E142" s="33" t="s">
        <v>1264</v>
      </c>
      <c r="G142" s="13" t="s">
        <v>53</v>
      </c>
      <c r="K142" s="13">
        <v>12</v>
      </c>
    </row>
    <row r="143" spans="1:11" ht="34" x14ac:dyDescent="0.2">
      <c r="A143" s="13" t="s">
        <v>1257</v>
      </c>
      <c r="B143" s="13" t="s">
        <v>25</v>
      </c>
      <c r="C143" s="13" t="s">
        <v>54</v>
      </c>
      <c r="E143" s="33" t="s">
        <v>1265</v>
      </c>
      <c r="G143" s="13" t="s">
        <v>53</v>
      </c>
      <c r="K143" s="13">
        <v>13</v>
      </c>
    </row>
  </sheetData>
  <hyperlinks>
    <hyperlink ref="E128" r:id="rId1" xr:uid="{0ACED111-27C4-D24A-8D2D-292F7EF8BCCB}"/>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35804-F835-2748-99C4-5C04B7D215F0}">
  <dimension ref="A1:O424"/>
  <sheetViews>
    <sheetView topLeftCell="A305" zoomScaleNormal="100" workbookViewId="0">
      <selection activeCell="D319" sqref="D319"/>
    </sheetView>
  </sheetViews>
  <sheetFormatPr baseColWidth="10" defaultColWidth="9.33203125" defaultRowHeight="16" x14ac:dyDescent="0.2"/>
  <cols>
    <col min="1" max="1" width="34.83203125" style="2" bestFit="1" customWidth="1"/>
    <col min="2" max="2" width="4.1640625" style="2" bestFit="1" customWidth="1"/>
    <col min="3" max="3" width="12.33203125" style="2" bestFit="1" customWidth="1"/>
    <col min="4" max="4" width="27.83203125" style="2" bestFit="1" customWidth="1"/>
    <col min="5" max="5" width="3.83203125" style="2" customWidth="1"/>
    <col min="6" max="6" width="27.83203125" style="2" customWidth="1"/>
    <col min="7" max="7" width="19.83203125" style="2" customWidth="1"/>
    <col min="8" max="8" width="37.1640625" style="2" bestFit="1" customWidth="1"/>
    <col min="9" max="9" width="4.6640625" style="2" bestFit="1" customWidth="1"/>
    <col min="10" max="11" width="4.6640625" style="2" customWidth="1"/>
    <col min="12" max="12" width="67.83203125" style="2" bestFit="1" customWidth="1"/>
    <col min="13" max="13" width="28.83203125" style="2" bestFit="1" customWidth="1"/>
    <col min="14" max="16384" width="9.33203125" style="2"/>
  </cols>
  <sheetData>
    <row r="1" spans="1:15" x14ac:dyDescent="0.2">
      <c r="A1" s="1" t="s">
        <v>41</v>
      </c>
      <c r="B1" s="1" t="s">
        <v>42</v>
      </c>
      <c r="C1" s="1" t="s">
        <v>43</v>
      </c>
      <c r="D1" s="1" t="s">
        <v>44</v>
      </c>
      <c r="E1" s="1"/>
      <c r="F1" s="1"/>
      <c r="G1" s="1"/>
      <c r="H1" s="1"/>
      <c r="I1" s="1"/>
      <c r="J1" s="1"/>
      <c r="K1" s="1"/>
      <c r="L1" s="1" t="s">
        <v>87</v>
      </c>
      <c r="M1" s="1" t="s">
        <v>95</v>
      </c>
      <c r="N1" s="1" t="s">
        <v>88</v>
      </c>
      <c r="O1" s="1" t="s">
        <v>1554</v>
      </c>
    </row>
    <row r="2" spans="1:15" x14ac:dyDescent="0.2">
      <c r="A2" s="1"/>
      <c r="B2" s="1"/>
      <c r="C2" s="1"/>
      <c r="D2" s="1"/>
      <c r="E2" s="1"/>
      <c r="F2" s="1"/>
      <c r="G2" s="1"/>
      <c r="H2" s="1"/>
      <c r="I2" s="1"/>
      <c r="J2" s="1"/>
      <c r="K2" s="1"/>
      <c r="L2" s="1"/>
      <c r="M2" s="1"/>
      <c r="N2" s="1"/>
      <c r="O2" s="1"/>
    </row>
    <row r="3" spans="1:15" s="3" customFormat="1" x14ac:dyDescent="0.2">
      <c r="A3" s="3" t="s">
        <v>24</v>
      </c>
      <c r="B3" s="3">
        <v>1</v>
      </c>
      <c r="C3" s="3" t="s">
        <v>46</v>
      </c>
      <c r="F3" s="3" t="s">
        <v>326</v>
      </c>
      <c r="G3" s="3" t="s">
        <v>328</v>
      </c>
      <c r="H3" s="3" t="s">
        <v>331</v>
      </c>
      <c r="I3" s="3" t="s">
        <v>111</v>
      </c>
      <c r="L3" s="3" t="str">
        <f>_xlfn.TEXTJOIN("", TRUE, E3:K3)</f>
        <v>01_Textgattung/01_Opferformel/01_Htp-dj-nsw/0010_Htp-dj-nsw_AR-MR_01.png</v>
      </c>
      <c r="N3" s="3" t="s">
        <v>89</v>
      </c>
    </row>
    <row r="4" spans="1:15" s="3" customFormat="1" x14ac:dyDescent="0.2">
      <c r="A4" s="3" t="s">
        <v>24</v>
      </c>
      <c r="B4" s="3">
        <v>2</v>
      </c>
      <c r="C4" s="3" t="s">
        <v>1666</v>
      </c>
      <c r="D4" s="3" t="s">
        <v>177</v>
      </c>
      <c r="N4" s="3" t="s">
        <v>89</v>
      </c>
    </row>
    <row r="5" spans="1:15" s="3" customFormat="1" x14ac:dyDescent="0.2">
      <c r="A5" s="3" t="s">
        <v>24</v>
      </c>
      <c r="B5" s="3">
        <v>3</v>
      </c>
      <c r="C5" s="3" t="s">
        <v>45</v>
      </c>
      <c r="D5" s="3" t="s">
        <v>47</v>
      </c>
      <c r="M5" s="3" t="s">
        <v>96</v>
      </c>
      <c r="N5" s="3" t="s">
        <v>89</v>
      </c>
    </row>
    <row r="6" spans="1:15" s="3" customFormat="1" x14ac:dyDescent="0.2">
      <c r="A6" s="3" t="s">
        <v>24</v>
      </c>
      <c r="B6" s="3">
        <v>4</v>
      </c>
      <c r="C6" s="3" t="s">
        <v>44</v>
      </c>
      <c r="D6" s="3" t="s">
        <v>1545</v>
      </c>
      <c r="N6" s="3" t="s">
        <v>89</v>
      </c>
    </row>
    <row r="7" spans="1:15" s="3" customFormat="1" x14ac:dyDescent="0.2">
      <c r="A7" s="3" t="s">
        <v>24</v>
      </c>
      <c r="B7" s="3">
        <v>5</v>
      </c>
      <c r="C7" s="3" t="s">
        <v>46</v>
      </c>
      <c r="F7" s="3" t="s">
        <v>326</v>
      </c>
      <c r="G7" s="3" t="s">
        <v>329</v>
      </c>
      <c r="H7" s="3" t="s">
        <v>332</v>
      </c>
      <c r="I7" s="3" t="s">
        <v>111</v>
      </c>
      <c r="L7" s="3" t="str">
        <f>_xlfn.TEXTJOIN("", TRUE, E7:K7)</f>
        <v>01_Textgattung/01_Opferformel/02_dj/0001_dj_01.png</v>
      </c>
      <c r="N7" s="3" t="s">
        <v>89</v>
      </c>
    </row>
    <row r="8" spans="1:15" s="3" customFormat="1" x14ac:dyDescent="0.2">
      <c r="A8" s="3" t="s">
        <v>24</v>
      </c>
      <c r="B8" s="3">
        <v>6</v>
      </c>
      <c r="C8" s="3" t="s">
        <v>1666</v>
      </c>
      <c r="D8" s="3" t="s">
        <v>178</v>
      </c>
      <c r="N8" s="3" t="s">
        <v>89</v>
      </c>
    </row>
    <row r="9" spans="1:15" s="3" customFormat="1" x14ac:dyDescent="0.2">
      <c r="A9" s="3" t="s">
        <v>24</v>
      </c>
      <c r="B9" s="3">
        <v>7</v>
      </c>
      <c r="C9" s="3" t="s">
        <v>45</v>
      </c>
      <c r="D9" s="3" t="s">
        <v>48</v>
      </c>
      <c r="M9" s="3" t="s">
        <v>97</v>
      </c>
      <c r="N9" s="3" t="s">
        <v>89</v>
      </c>
    </row>
    <row r="10" spans="1:15" s="3" customFormat="1" x14ac:dyDescent="0.2">
      <c r="A10" s="3" t="s">
        <v>24</v>
      </c>
      <c r="B10" s="3">
        <v>8</v>
      </c>
      <c r="C10" s="3" t="s">
        <v>44</v>
      </c>
      <c r="D10" s="3" t="s">
        <v>1545</v>
      </c>
      <c r="N10" s="3" t="s">
        <v>89</v>
      </c>
    </row>
    <row r="11" spans="1:15" s="3" customFormat="1" x14ac:dyDescent="0.2">
      <c r="A11" s="3" t="s">
        <v>24</v>
      </c>
      <c r="B11" s="3">
        <v>9</v>
      </c>
      <c r="C11" s="3" t="s">
        <v>46</v>
      </c>
      <c r="F11" s="3" t="s">
        <v>326</v>
      </c>
      <c r="G11" s="3" t="s">
        <v>330</v>
      </c>
      <c r="H11" s="3" t="s">
        <v>333</v>
      </c>
      <c r="I11" s="3" t="s">
        <v>111</v>
      </c>
      <c r="L11" s="3" t="str">
        <f>_xlfn.TEXTJOIN("", TRUE, E11:K11)</f>
        <v>01_Textgattung/01_Opferformel/03_n-kA-n/0001_n-kA-n_01.png</v>
      </c>
      <c r="N11" s="3" t="s">
        <v>89</v>
      </c>
    </row>
    <row r="12" spans="1:15" s="3" customFormat="1" x14ac:dyDescent="0.2">
      <c r="A12" s="3" t="s">
        <v>24</v>
      </c>
      <c r="B12" s="3">
        <v>10</v>
      </c>
      <c r="C12" s="3" t="s">
        <v>1666</v>
      </c>
      <c r="D12" s="3" t="s">
        <v>93</v>
      </c>
      <c r="N12" s="3" t="s">
        <v>89</v>
      </c>
    </row>
    <row r="13" spans="1:15" s="3" customFormat="1" x14ac:dyDescent="0.2">
      <c r="A13" s="3" t="s">
        <v>24</v>
      </c>
      <c r="B13" s="3">
        <v>11</v>
      </c>
      <c r="C13" s="3" t="s">
        <v>45</v>
      </c>
      <c r="D13" s="3" t="s">
        <v>49</v>
      </c>
      <c r="M13" s="3" t="s">
        <v>98</v>
      </c>
      <c r="N13" s="3" t="s">
        <v>89</v>
      </c>
    </row>
    <row r="14" spans="1:15" s="3" customFormat="1" x14ac:dyDescent="0.2">
      <c r="A14" s="3" t="s">
        <v>24</v>
      </c>
      <c r="B14" s="3">
        <v>12</v>
      </c>
      <c r="C14" s="3" t="s">
        <v>90</v>
      </c>
      <c r="N14" s="3" t="s">
        <v>89</v>
      </c>
    </row>
    <row r="15" spans="1:15" s="3" customFormat="1" x14ac:dyDescent="0.2"/>
    <row r="16" spans="1:15" s="3" customFormat="1" x14ac:dyDescent="0.2">
      <c r="A16" s="14" t="s">
        <v>33</v>
      </c>
      <c r="B16" s="3">
        <v>11</v>
      </c>
      <c r="C16" s="3" t="s">
        <v>16</v>
      </c>
      <c r="D16" s="3" t="s">
        <v>177</v>
      </c>
      <c r="N16" s="3" t="s">
        <v>91</v>
      </c>
      <c r="O16" s="3">
        <v>850653</v>
      </c>
    </row>
    <row r="17" spans="1:15" s="3" customFormat="1" x14ac:dyDescent="0.2">
      <c r="A17" s="14" t="s">
        <v>33</v>
      </c>
      <c r="B17" s="3">
        <v>12</v>
      </c>
      <c r="C17" s="3" t="s">
        <v>46</v>
      </c>
      <c r="F17" s="3" t="s">
        <v>326</v>
      </c>
      <c r="G17" s="3" t="s">
        <v>328</v>
      </c>
      <c r="H17" s="3" t="s">
        <v>331</v>
      </c>
      <c r="I17" s="3" t="s">
        <v>111</v>
      </c>
      <c r="L17" s="3" t="str">
        <f>_xlfn.TEXTJOIN("", TRUE, E17:K17)</f>
        <v>01_Textgattung/01_Opferformel/01_Htp-dj-nsw/0010_Htp-dj-nsw_AR-MR_01.png</v>
      </c>
      <c r="N17" s="3" t="s">
        <v>91</v>
      </c>
    </row>
    <row r="18" spans="1:15" s="3" customFormat="1" x14ac:dyDescent="0.2">
      <c r="A18" s="14" t="s">
        <v>33</v>
      </c>
      <c r="B18" s="3">
        <v>13</v>
      </c>
      <c r="C18" s="3" t="s">
        <v>44</v>
      </c>
      <c r="D18" s="3" t="s">
        <v>1083</v>
      </c>
      <c r="N18" s="3" t="s">
        <v>91</v>
      </c>
    </row>
    <row r="19" spans="1:15" s="3" customFormat="1" x14ac:dyDescent="0.2">
      <c r="A19" s="14" t="s">
        <v>33</v>
      </c>
      <c r="B19" s="3">
        <v>14</v>
      </c>
      <c r="C19" s="3" t="s">
        <v>46</v>
      </c>
      <c r="F19" s="3" t="s">
        <v>326</v>
      </c>
      <c r="G19" s="3" t="s">
        <v>328</v>
      </c>
      <c r="H19" s="3" t="s">
        <v>334</v>
      </c>
      <c r="I19" s="3" t="s">
        <v>111</v>
      </c>
      <c r="L19" s="3" t="str">
        <f>_xlfn.TEXTJOIN("", TRUE, E19:K19)</f>
        <v>01_Textgattung/01_Opferformel/01_Htp-dj-nsw/0020_Htp-dj-nsw n_Ende-NR_01.png</v>
      </c>
      <c r="N19" s="3" t="s">
        <v>91</v>
      </c>
    </row>
    <row r="20" spans="1:15" s="3" customFormat="1" x14ac:dyDescent="0.2">
      <c r="A20" s="14" t="s">
        <v>33</v>
      </c>
      <c r="B20" s="3">
        <v>15</v>
      </c>
      <c r="C20" s="3" t="s">
        <v>44</v>
      </c>
      <c r="D20" s="3" t="s">
        <v>1084</v>
      </c>
      <c r="N20" s="3" t="s">
        <v>91</v>
      </c>
    </row>
    <row r="21" spans="1:15" s="3" customFormat="1" x14ac:dyDescent="0.2">
      <c r="A21" s="14" t="s">
        <v>33</v>
      </c>
      <c r="B21" s="3">
        <v>16</v>
      </c>
      <c r="C21" s="3" t="s">
        <v>46</v>
      </c>
      <c r="F21" s="3" t="s">
        <v>326</v>
      </c>
      <c r="G21" s="3" t="s">
        <v>328</v>
      </c>
      <c r="H21" s="3" t="s">
        <v>335</v>
      </c>
      <c r="I21" s="3" t="s">
        <v>111</v>
      </c>
      <c r="L21" s="3" t="str">
        <f>_xlfn.TEXTJOIN("", TRUE, E21:K21)</f>
        <v>01_Textgattung/01_Opferformel/01_Htp-dj-nsw/0030_Htp-dj-nsw_NR-Spaet._01.png</v>
      </c>
      <c r="N21" s="3" t="s">
        <v>91</v>
      </c>
    </row>
    <row r="22" spans="1:15" s="3" customFormat="1" x14ac:dyDescent="0.2">
      <c r="A22" s="14" t="s">
        <v>33</v>
      </c>
      <c r="B22" s="3">
        <v>17</v>
      </c>
      <c r="C22" s="3" t="s">
        <v>44</v>
      </c>
      <c r="D22" s="3" t="s">
        <v>1085</v>
      </c>
      <c r="N22" s="3" t="s">
        <v>91</v>
      </c>
    </row>
    <row r="23" spans="1:15" s="3" customFormat="1" x14ac:dyDescent="0.2">
      <c r="A23" s="14" t="s">
        <v>33</v>
      </c>
      <c r="B23" s="3">
        <v>18</v>
      </c>
      <c r="C23" s="3" t="s">
        <v>46</v>
      </c>
      <c r="F23" s="3" t="s">
        <v>326</v>
      </c>
      <c r="G23" s="3" t="s">
        <v>328</v>
      </c>
      <c r="H23" s="3" t="s">
        <v>336</v>
      </c>
      <c r="I23" s="3" t="s">
        <v>111</v>
      </c>
      <c r="L23" s="3" t="str">
        <f>_xlfn.TEXTJOIN("", TRUE, E23:K23)</f>
        <v>01_Textgattung/01_Opferformel/01_Htp-dj-nsw/0040_Htp-dj-nsw_AR-MR-Gott-N-di_01.png</v>
      </c>
      <c r="N23" s="3" t="s">
        <v>91</v>
      </c>
    </row>
    <row r="24" spans="1:15" s="3" customFormat="1" x14ac:dyDescent="0.2">
      <c r="A24" s="14" t="s">
        <v>33</v>
      </c>
      <c r="B24" s="3">
        <v>19</v>
      </c>
      <c r="C24" s="3" t="s">
        <v>44</v>
      </c>
      <c r="D24" s="3" t="s">
        <v>1083</v>
      </c>
      <c r="N24" s="3" t="s">
        <v>91</v>
      </c>
    </row>
    <row r="25" spans="1:15" s="3" customFormat="1" x14ac:dyDescent="0.2">
      <c r="A25" s="14" t="s">
        <v>33</v>
      </c>
      <c r="B25" s="3">
        <v>20</v>
      </c>
      <c r="C25" s="3" t="s">
        <v>46</v>
      </c>
      <c r="F25" s="3" t="s">
        <v>326</v>
      </c>
      <c r="G25" s="3" t="s">
        <v>328</v>
      </c>
      <c r="H25" s="3" t="s">
        <v>337</v>
      </c>
      <c r="I25" s="3" t="s">
        <v>111</v>
      </c>
      <c r="L25" s="3" t="str">
        <f>_xlfn.TEXTJOIN("", TRUE, E25:K25)</f>
        <v>01_Textgattung/01_Opferformel/01_Htp-dj-nsw/0050_Htp-dj-nsw_AR-MR-Gott-N-Htp-dj_01.png</v>
      </c>
      <c r="N25" s="3" t="s">
        <v>91</v>
      </c>
    </row>
    <row r="26" spans="1:15" s="3" customFormat="1" x14ac:dyDescent="0.2">
      <c r="A26" s="14" t="s">
        <v>33</v>
      </c>
      <c r="B26" s="3">
        <v>21</v>
      </c>
      <c r="C26" s="3" t="s">
        <v>44</v>
      </c>
      <c r="D26" s="3" t="s">
        <v>1083</v>
      </c>
      <c r="N26" s="3" t="s">
        <v>91</v>
      </c>
    </row>
    <row r="27" spans="1:15" s="3" customFormat="1" x14ac:dyDescent="0.2">
      <c r="A27" s="14" t="s">
        <v>33</v>
      </c>
      <c r="B27" s="3">
        <v>22</v>
      </c>
      <c r="C27" s="3" t="s">
        <v>46</v>
      </c>
      <c r="F27" s="3" t="s">
        <v>326</v>
      </c>
      <c r="G27" s="3" t="s">
        <v>328</v>
      </c>
      <c r="H27" s="3" t="s">
        <v>338</v>
      </c>
      <c r="I27" s="3" t="s">
        <v>111</v>
      </c>
      <c r="L27" s="3" t="str">
        <f>_xlfn.TEXTJOIN("", TRUE, E27:K27)</f>
        <v>01_Textgattung/01_Opferformel/01_Htp-dj-nsw/0060_Htp-dj-nsw_AR-MR-Gott-N-Htp_01.png</v>
      </c>
      <c r="N27" s="3" t="s">
        <v>91</v>
      </c>
    </row>
    <row r="28" spans="1:15" s="3" customFormat="1" x14ac:dyDescent="0.2">
      <c r="A28" s="14" t="s">
        <v>33</v>
      </c>
      <c r="B28" s="3">
        <v>23</v>
      </c>
      <c r="C28" s="3" t="s">
        <v>44</v>
      </c>
      <c r="D28" s="3" t="s">
        <v>1083</v>
      </c>
      <c r="N28" s="3" t="s">
        <v>91</v>
      </c>
    </row>
    <row r="29" spans="1:15" s="3" customFormat="1" x14ac:dyDescent="0.2">
      <c r="A29" s="14" t="s">
        <v>33</v>
      </c>
      <c r="B29" s="3">
        <v>24</v>
      </c>
      <c r="C29" s="3" t="s">
        <v>16</v>
      </c>
      <c r="D29" s="3" t="s">
        <v>179</v>
      </c>
      <c r="N29" s="3" t="s">
        <v>92</v>
      </c>
      <c r="O29" s="3">
        <v>96700</v>
      </c>
    </row>
    <row r="30" spans="1:15" s="3" customFormat="1" x14ac:dyDescent="0.2">
      <c r="A30" s="14" t="s">
        <v>33</v>
      </c>
      <c r="B30" s="3">
        <v>25</v>
      </c>
      <c r="C30" s="3" t="s">
        <v>46</v>
      </c>
      <c r="F30" s="3" t="s">
        <v>326</v>
      </c>
      <c r="G30" s="3" t="s">
        <v>329</v>
      </c>
      <c r="H30" s="3" t="s">
        <v>339</v>
      </c>
      <c r="I30" s="3" t="s">
        <v>111</v>
      </c>
      <c r="L30" s="3" t="str">
        <f t="shared" ref="L30:L35" si="0">_xlfn.TEXTJOIN("", TRUE, E30:K30)</f>
        <v>01_Textgattung/01_Opferformel/02_dj/0010_dj=f_01.png</v>
      </c>
      <c r="N30" s="3" t="s">
        <v>92</v>
      </c>
    </row>
    <row r="31" spans="1:15" s="3" customFormat="1" x14ac:dyDescent="0.2">
      <c r="A31" s="14" t="s">
        <v>33</v>
      </c>
      <c r="B31" s="3">
        <v>26</v>
      </c>
      <c r="C31" s="3" t="s">
        <v>46</v>
      </c>
      <c r="F31" s="3" t="s">
        <v>326</v>
      </c>
      <c r="G31" s="3" t="s">
        <v>329</v>
      </c>
      <c r="H31" s="3" t="s">
        <v>340</v>
      </c>
      <c r="I31" s="3" t="s">
        <v>111</v>
      </c>
      <c r="L31" s="3" t="str">
        <f t="shared" si="0"/>
        <v>01_Textgattung/01_Opferformel/02_dj/0020_dj=s_01.png</v>
      </c>
      <c r="N31" s="3" t="s">
        <v>92</v>
      </c>
    </row>
    <row r="32" spans="1:15" s="3" customFormat="1" x14ac:dyDescent="0.2">
      <c r="A32" s="14" t="s">
        <v>33</v>
      </c>
      <c r="B32" s="3">
        <v>27</v>
      </c>
      <c r="C32" s="3" t="s">
        <v>46</v>
      </c>
      <c r="F32" s="3" t="s">
        <v>326</v>
      </c>
      <c r="G32" s="3" t="s">
        <v>329</v>
      </c>
      <c r="H32" s="3" t="s">
        <v>341</v>
      </c>
      <c r="I32" s="3" t="s">
        <v>111</v>
      </c>
      <c r="L32" s="3" t="str">
        <f t="shared" si="0"/>
        <v>01_Textgattung/01_Opferformel/02_dj/0030_dj=sn_01.png</v>
      </c>
      <c r="N32" s="3" t="s">
        <v>92</v>
      </c>
    </row>
    <row r="33" spans="1:15" s="3" customFormat="1" x14ac:dyDescent="0.2">
      <c r="A33" s="14" t="s">
        <v>33</v>
      </c>
      <c r="B33" s="3">
        <v>28</v>
      </c>
      <c r="C33" s="3" t="s">
        <v>16</v>
      </c>
      <c r="D33" s="3" t="s">
        <v>93</v>
      </c>
      <c r="N33" s="3" t="s">
        <v>94</v>
      </c>
      <c r="O33" s="3">
        <v>162870</v>
      </c>
    </row>
    <row r="34" spans="1:15" s="3" customFormat="1" x14ac:dyDescent="0.2">
      <c r="A34" s="14" t="s">
        <v>33</v>
      </c>
      <c r="B34" s="3">
        <v>29</v>
      </c>
      <c r="C34" s="3" t="s">
        <v>46</v>
      </c>
      <c r="F34" s="3" t="s">
        <v>326</v>
      </c>
      <c r="G34" s="3" t="s">
        <v>330</v>
      </c>
      <c r="H34" s="3" t="s">
        <v>333</v>
      </c>
      <c r="I34" s="3" t="s">
        <v>111</v>
      </c>
      <c r="L34" s="3" t="str">
        <f t="shared" si="0"/>
        <v>01_Textgattung/01_Opferformel/03_n-kA-n/0001_n-kA-n_01.png</v>
      </c>
      <c r="N34" s="3" t="s">
        <v>94</v>
      </c>
    </row>
    <row r="35" spans="1:15" s="3" customFormat="1" x14ac:dyDescent="0.2">
      <c r="A35" s="14" t="s">
        <v>33</v>
      </c>
      <c r="B35" s="3">
        <v>30</v>
      </c>
      <c r="C35" s="3" t="s">
        <v>46</v>
      </c>
      <c r="F35" s="3" t="s">
        <v>326</v>
      </c>
      <c r="G35" s="3" t="s">
        <v>330</v>
      </c>
      <c r="H35" s="3" t="s">
        <v>342</v>
      </c>
      <c r="I35" s="3" t="s">
        <v>111</v>
      </c>
      <c r="L35" s="3" t="str">
        <f t="shared" si="0"/>
        <v>01_Textgattung/01_Opferformel/03_n-kA-n/0010_n-kA -n_02.png</v>
      </c>
      <c r="N35" s="3" t="s">
        <v>94</v>
      </c>
    </row>
    <row r="37" spans="1:15" s="4" customFormat="1" x14ac:dyDescent="0.2">
      <c r="A37" s="16" t="s">
        <v>321</v>
      </c>
      <c r="B37" s="4">
        <v>1</v>
      </c>
      <c r="C37" s="4" t="s">
        <v>45</v>
      </c>
      <c r="D37" s="4" t="s">
        <v>322</v>
      </c>
      <c r="M37" s="4" t="s">
        <v>323</v>
      </c>
      <c r="N37" s="4" t="s">
        <v>89</v>
      </c>
    </row>
    <row r="38" spans="1:15" s="4" customFormat="1" x14ac:dyDescent="0.2">
      <c r="A38" s="16" t="s">
        <v>321</v>
      </c>
      <c r="B38" s="4">
        <v>2</v>
      </c>
      <c r="C38" s="4" t="s">
        <v>44</v>
      </c>
      <c r="D38" s="4" t="s">
        <v>324</v>
      </c>
      <c r="N38" s="4" t="s">
        <v>89</v>
      </c>
    </row>
    <row r="39" spans="1:15" s="4" customFormat="1" x14ac:dyDescent="0.2">
      <c r="A39" s="16" t="s">
        <v>321</v>
      </c>
      <c r="B39" s="4">
        <v>3</v>
      </c>
      <c r="C39" s="4" t="s">
        <v>45</v>
      </c>
      <c r="D39" s="4" t="s">
        <v>49</v>
      </c>
      <c r="M39" s="4" t="s">
        <v>98</v>
      </c>
      <c r="N39" s="4" t="s">
        <v>89</v>
      </c>
    </row>
    <row r="40" spans="1:15" s="4" customFormat="1" x14ac:dyDescent="0.2">
      <c r="A40" s="16" t="s">
        <v>321</v>
      </c>
      <c r="B40" s="4">
        <v>4</v>
      </c>
      <c r="C40" s="4" t="s">
        <v>46</v>
      </c>
      <c r="F40" s="4" t="s">
        <v>327</v>
      </c>
      <c r="G40" s="4" t="s">
        <v>343</v>
      </c>
      <c r="H40" s="4" t="s">
        <v>344</v>
      </c>
      <c r="I40" s="4" t="s">
        <v>111</v>
      </c>
      <c r="L40" s="4" t="str">
        <f t="shared" ref="L40" si="1">_xlfn.TEXTJOIN("", TRUE, E40:K40)</f>
        <v>01_Textgattung/02_Denkmaelerformel/01_jrj.n=f-m-mn.w=f/0001_jrj.n=f m mn.w=f_01.png</v>
      </c>
      <c r="N40" s="4" t="s">
        <v>89</v>
      </c>
    </row>
    <row r="41" spans="1:15" s="4" customFormat="1" x14ac:dyDescent="0.2">
      <c r="A41" s="16" t="s">
        <v>321</v>
      </c>
      <c r="B41" s="4">
        <v>5</v>
      </c>
      <c r="C41" s="4" t="s">
        <v>1666</v>
      </c>
      <c r="D41" s="4" t="s">
        <v>1555</v>
      </c>
      <c r="N41" s="4" t="s">
        <v>89</v>
      </c>
    </row>
    <row r="42" spans="1:15" s="4" customFormat="1" x14ac:dyDescent="0.2">
      <c r="A42" s="16" t="s">
        <v>321</v>
      </c>
      <c r="B42" s="4">
        <v>6</v>
      </c>
      <c r="C42" s="4" t="s">
        <v>44</v>
      </c>
      <c r="D42" s="4" t="s">
        <v>1545</v>
      </c>
      <c r="N42" s="4" t="s">
        <v>89</v>
      </c>
    </row>
    <row r="43" spans="1:15" s="4" customFormat="1" x14ac:dyDescent="0.2">
      <c r="A43" s="16" t="s">
        <v>321</v>
      </c>
      <c r="B43" s="4">
        <v>7</v>
      </c>
      <c r="C43" s="4" t="s">
        <v>46</v>
      </c>
      <c r="F43" s="4" t="s">
        <v>327</v>
      </c>
      <c r="H43" s="4" t="s">
        <v>1420</v>
      </c>
      <c r="I43" s="4" t="s">
        <v>111</v>
      </c>
      <c r="L43" s="4" t="str">
        <f t="shared" ref="L43" si="2">_xlfn.TEXTJOIN("", TRUE, E43:K43)</f>
        <v>01_Textgattung/02_Denkmaelerformel/02_n-jt=f-mwt=f_01.png</v>
      </c>
      <c r="N43" s="4" t="s">
        <v>89</v>
      </c>
    </row>
    <row r="44" spans="1:15" s="4" customFormat="1" x14ac:dyDescent="0.2">
      <c r="A44" s="16" t="s">
        <v>321</v>
      </c>
      <c r="B44" s="4">
        <v>8</v>
      </c>
      <c r="C44" s="4" t="s">
        <v>1666</v>
      </c>
      <c r="D44" s="4" t="s">
        <v>1419</v>
      </c>
      <c r="N44" s="4" t="s">
        <v>89</v>
      </c>
    </row>
    <row r="45" spans="1:15" s="4" customFormat="1" x14ac:dyDescent="0.2">
      <c r="A45" s="16" t="s">
        <v>321</v>
      </c>
      <c r="B45" s="4">
        <v>9</v>
      </c>
      <c r="C45" s="4" t="s">
        <v>45</v>
      </c>
      <c r="D45" s="4" t="s">
        <v>47</v>
      </c>
      <c r="M45" s="4" t="s">
        <v>96</v>
      </c>
      <c r="N45" s="4" t="s">
        <v>89</v>
      </c>
    </row>
    <row r="46" spans="1:15" s="4" customFormat="1" x14ac:dyDescent="0.2">
      <c r="A46" s="16" t="s">
        <v>321</v>
      </c>
      <c r="B46" s="4">
        <v>10</v>
      </c>
      <c r="C46" s="4" t="s">
        <v>44</v>
      </c>
      <c r="D46" s="4" t="s">
        <v>1545</v>
      </c>
      <c r="N46" s="4" t="s">
        <v>89</v>
      </c>
    </row>
    <row r="47" spans="1:15" s="4" customFormat="1" x14ac:dyDescent="0.2">
      <c r="A47" s="16" t="s">
        <v>321</v>
      </c>
      <c r="B47" s="4">
        <v>11</v>
      </c>
      <c r="C47" s="4" t="s">
        <v>44</v>
      </c>
      <c r="D47" s="4" t="s">
        <v>1425</v>
      </c>
      <c r="N47" s="4" t="s">
        <v>89</v>
      </c>
    </row>
    <row r="48" spans="1:15" s="4" customFormat="1" x14ac:dyDescent="0.2">
      <c r="A48" s="16" t="s">
        <v>321</v>
      </c>
      <c r="B48" s="4">
        <v>12</v>
      </c>
      <c r="C48" s="4" t="s">
        <v>90</v>
      </c>
      <c r="N48" s="4" t="s">
        <v>89</v>
      </c>
    </row>
    <row r="49" spans="1:15" s="4" customFormat="1" x14ac:dyDescent="0.2">
      <c r="A49" s="16"/>
    </row>
    <row r="50" spans="1:15" s="4" customFormat="1" x14ac:dyDescent="0.2">
      <c r="A50" s="16" t="s">
        <v>348</v>
      </c>
      <c r="B50" s="4">
        <v>11</v>
      </c>
      <c r="C50" s="4" t="s">
        <v>16</v>
      </c>
      <c r="D50" s="4" t="s">
        <v>1555</v>
      </c>
      <c r="N50" s="4" t="s">
        <v>91</v>
      </c>
      <c r="O50" s="4" t="s">
        <v>1556</v>
      </c>
    </row>
    <row r="51" spans="1:15" s="4" customFormat="1" x14ac:dyDescent="0.2">
      <c r="A51" s="16" t="s">
        <v>348</v>
      </c>
      <c r="B51" s="4">
        <v>12</v>
      </c>
      <c r="C51" s="4" t="s">
        <v>46</v>
      </c>
      <c r="F51" s="4" t="s">
        <v>327</v>
      </c>
      <c r="G51" s="4" t="s">
        <v>343</v>
      </c>
      <c r="H51" s="4" t="s">
        <v>344</v>
      </c>
      <c r="I51" s="4" t="s">
        <v>111</v>
      </c>
      <c r="L51" s="4" t="str">
        <f t="shared" ref="L51" si="3">_xlfn.TEXTJOIN("", TRUE, E51:K51)</f>
        <v>01_Textgattung/02_Denkmaelerformel/01_jrj.n=f-m-mn.w=f/0001_jrj.n=f m mn.w=f_01.png</v>
      </c>
      <c r="N51" s="4" t="s">
        <v>91</v>
      </c>
    </row>
    <row r="52" spans="1:15" s="4" customFormat="1" x14ac:dyDescent="0.2">
      <c r="A52" s="16" t="s">
        <v>348</v>
      </c>
      <c r="B52" s="4">
        <v>13</v>
      </c>
      <c r="C52" s="4" t="s">
        <v>46</v>
      </c>
      <c r="F52" s="4" t="s">
        <v>327</v>
      </c>
      <c r="G52" s="4" t="s">
        <v>343</v>
      </c>
      <c r="H52" s="4" t="s">
        <v>349</v>
      </c>
      <c r="I52" s="4" t="s">
        <v>111</v>
      </c>
      <c r="L52" s="4" t="str">
        <f t="shared" ref="L52:L57" si="4">_xlfn.TEXTJOIN("", TRUE, E52:K52)</f>
        <v>01_Textgattung/02_Denkmaelerformel/01_jrj.n=f-m-mn.w=f/0010_jrj.n=f m mn.w=f n jt=f_01.png</v>
      </c>
      <c r="N52" s="4" t="s">
        <v>91</v>
      </c>
    </row>
    <row r="53" spans="1:15" s="4" customFormat="1" x14ac:dyDescent="0.2">
      <c r="A53" s="16" t="s">
        <v>348</v>
      </c>
      <c r="B53" s="4">
        <v>14</v>
      </c>
      <c r="C53" s="4" t="s">
        <v>46</v>
      </c>
      <c r="F53" s="4" t="s">
        <v>327</v>
      </c>
      <c r="G53" s="4" t="s">
        <v>343</v>
      </c>
      <c r="H53" s="4" t="s">
        <v>350</v>
      </c>
      <c r="I53" s="4" t="s">
        <v>111</v>
      </c>
      <c r="L53" s="4" t="str">
        <f t="shared" si="4"/>
        <v>01_Textgattung/02_Denkmaelerformel/01_jrj.n=f-m-mn.w=f/0020_jrj.n=f m mn.w=f n mw.t=f_01.png</v>
      </c>
      <c r="N53" s="4" t="s">
        <v>91</v>
      </c>
    </row>
    <row r="54" spans="1:15" s="4" customFormat="1" x14ac:dyDescent="0.2">
      <c r="A54" s="16" t="s">
        <v>348</v>
      </c>
      <c r="B54" s="4">
        <v>15</v>
      </c>
      <c r="C54" s="4" t="s">
        <v>46</v>
      </c>
      <c r="F54" s="4" t="s">
        <v>327</v>
      </c>
      <c r="G54" s="4" t="s">
        <v>343</v>
      </c>
      <c r="H54" s="4" t="s">
        <v>351</v>
      </c>
      <c r="I54" s="4" t="s">
        <v>111</v>
      </c>
      <c r="L54" s="4" t="str">
        <f t="shared" si="4"/>
        <v>01_Textgattung/02_Denkmaelerformel/01_jrj.n=f-m-mn.w=f/0030_jrj.n=f mn.w n_01.png</v>
      </c>
      <c r="N54" s="4" t="s">
        <v>91</v>
      </c>
    </row>
    <row r="55" spans="1:15" s="4" customFormat="1" x14ac:dyDescent="0.2">
      <c r="A55" s="16" t="s">
        <v>348</v>
      </c>
      <c r="B55" s="4">
        <v>16</v>
      </c>
      <c r="C55" s="4" t="s">
        <v>46</v>
      </c>
      <c r="F55" s="4" t="s">
        <v>327</v>
      </c>
      <c r="G55" s="4" t="s">
        <v>343</v>
      </c>
      <c r="H55" s="4" t="s">
        <v>352</v>
      </c>
      <c r="I55" s="4" t="s">
        <v>111</v>
      </c>
      <c r="L55" s="4" t="str">
        <f t="shared" si="4"/>
        <v>01_Textgattung/02_Denkmaelerformel/01_jrj.n=f-m-mn.w=f/0040_jrj.n=f mn.w=f n_01.png</v>
      </c>
      <c r="N55" s="4" t="s">
        <v>91</v>
      </c>
    </row>
    <row r="56" spans="1:15" s="4" customFormat="1" x14ac:dyDescent="0.2">
      <c r="A56" s="16" t="s">
        <v>348</v>
      </c>
      <c r="B56" s="4">
        <v>17</v>
      </c>
      <c r="C56" s="4" t="s">
        <v>46</v>
      </c>
      <c r="F56" s="4" t="s">
        <v>327</v>
      </c>
      <c r="G56" s="4" t="s">
        <v>343</v>
      </c>
      <c r="H56" s="4" t="s">
        <v>353</v>
      </c>
      <c r="I56" s="4" t="s">
        <v>111</v>
      </c>
      <c r="L56" s="4" t="str">
        <f t="shared" si="4"/>
        <v>01_Textgattung/02_Denkmaelerformel/01_jrj.n=f-m-mn.w=f/0050_jrj.n=f mn.w=f_01.png</v>
      </c>
      <c r="N56" s="4" t="s">
        <v>91</v>
      </c>
    </row>
    <row r="57" spans="1:15" s="4" customFormat="1" x14ac:dyDescent="0.2">
      <c r="A57" s="16" t="s">
        <v>348</v>
      </c>
      <c r="B57" s="4">
        <v>18</v>
      </c>
      <c r="C57" s="4" t="s">
        <v>46</v>
      </c>
      <c r="F57" s="4" t="s">
        <v>327</v>
      </c>
      <c r="G57" s="4" t="s">
        <v>343</v>
      </c>
      <c r="H57" s="4" t="s">
        <v>354</v>
      </c>
      <c r="I57" s="4" t="s">
        <v>111</v>
      </c>
      <c r="L57" s="4" t="str">
        <f t="shared" si="4"/>
        <v>01_Textgattung/02_Denkmaelerformel/01_jrj.n=f-m-mn.w=f/0060_jr.t n=f_01.png</v>
      </c>
      <c r="N57" s="4" t="s">
        <v>91</v>
      </c>
    </row>
    <row r="58" spans="1:15" s="4" customFormat="1" x14ac:dyDescent="0.2">
      <c r="A58" s="16" t="s">
        <v>348</v>
      </c>
      <c r="B58" s="4">
        <v>19</v>
      </c>
      <c r="C58" s="4" t="s">
        <v>16</v>
      </c>
      <c r="D58" s="4" t="s">
        <v>1429</v>
      </c>
      <c r="N58" s="4" t="s">
        <v>92</v>
      </c>
      <c r="O58" s="4">
        <v>32820</v>
      </c>
    </row>
    <row r="59" spans="1:15" s="4" customFormat="1" x14ac:dyDescent="0.2">
      <c r="A59" s="16" t="s">
        <v>348</v>
      </c>
      <c r="B59" s="4">
        <v>20</v>
      </c>
      <c r="C59" s="4" t="s">
        <v>46</v>
      </c>
      <c r="F59" s="4" t="s">
        <v>327</v>
      </c>
      <c r="G59" s="4" t="s">
        <v>1430</v>
      </c>
      <c r="H59" s="4" t="s">
        <v>1431</v>
      </c>
      <c r="L59" s="4" t="str">
        <f t="shared" ref="L59:L61" si="5">_xlfn.TEXTJOIN("", TRUE, E59:K59)</f>
        <v>01_Textgattung/02_Denkmaelerformel/02-1_jt/0001_jt_AR_01.png</v>
      </c>
      <c r="N59" s="4" t="s">
        <v>92</v>
      </c>
    </row>
    <row r="60" spans="1:15" s="4" customFormat="1" x14ac:dyDescent="0.2">
      <c r="A60" s="16" t="s">
        <v>348</v>
      </c>
      <c r="B60" s="4">
        <v>21</v>
      </c>
      <c r="C60" s="4" t="s">
        <v>44</v>
      </c>
      <c r="D60" s="4" t="s">
        <v>1088</v>
      </c>
      <c r="N60" s="4" t="s">
        <v>92</v>
      </c>
    </row>
    <row r="61" spans="1:15" s="4" customFormat="1" x14ac:dyDescent="0.2">
      <c r="A61" s="16" t="s">
        <v>348</v>
      </c>
      <c r="B61" s="4">
        <v>22</v>
      </c>
      <c r="C61" s="4" t="s">
        <v>46</v>
      </c>
      <c r="F61" s="4" t="s">
        <v>327</v>
      </c>
      <c r="G61" s="4" t="s">
        <v>1430</v>
      </c>
      <c r="H61" s="4" t="s">
        <v>1432</v>
      </c>
      <c r="L61" s="4" t="str">
        <f t="shared" si="5"/>
        <v>01_Textgattung/02_Denkmaelerformel/02-1_jt/0010_jt_AR_02.png</v>
      </c>
      <c r="N61" s="4" t="s">
        <v>92</v>
      </c>
    </row>
    <row r="62" spans="1:15" s="4" customFormat="1" x14ac:dyDescent="0.2">
      <c r="A62" s="16" t="s">
        <v>348</v>
      </c>
      <c r="B62" s="4">
        <v>23</v>
      </c>
      <c r="C62" s="4" t="s">
        <v>44</v>
      </c>
      <c r="D62" s="4" t="s">
        <v>1088</v>
      </c>
      <c r="N62" s="4" t="s">
        <v>92</v>
      </c>
    </row>
    <row r="63" spans="1:15" s="4" customFormat="1" x14ac:dyDescent="0.2">
      <c r="A63" s="16" t="s">
        <v>348</v>
      </c>
      <c r="B63" s="4">
        <v>24</v>
      </c>
      <c r="C63" s="4" t="s">
        <v>46</v>
      </c>
      <c r="F63" s="4" t="s">
        <v>327</v>
      </c>
      <c r="G63" s="4" t="s">
        <v>1430</v>
      </c>
      <c r="H63" s="4" t="s">
        <v>1433</v>
      </c>
      <c r="L63" s="4" t="str">
        <f t="shared" ref="L63:L65" si="6">_xlfn.TEXTJOIN("", TRUE, E63:K63)</f>
        <v>01_Textgattung/02_Denkmaelerformel/02-1_jt/0020_jt_AR_03.png</v>
      </c>
      <c r="N63" s="4" t="s">
        <v>92</v>
      </c>
    </row>
    <row r="64" spans="1:15" s="4" customFormat="1" x14ac:dyDescent="0.2">
      <c r="A64" s="16" t="s">
        <v>348</v>
      </c>
      <c r="B64" s="4">
        <v>25</v>
      </c>
      <c r="C64" s="4" t="s">
        <v>44</v>
      </c>
      <c r="D64" s="4" t="s">
        <v>1088</v>
      </c>
      <c r="N64" s="4" t="s">
        <v>92</v>
      </c>
    </row>
    <row r="65" spans="1:15" s="4" customFormat="1" x14ac:dyDescent="0.2">
      <c r="A65" s="16" t="s">
        <v>348</v>
      </c>
      <c r="B65" s="4">
        <v>26</v>
      </c>
      <c r="C65" s="4" t="s">
        <v>46</v>
      </c>
      <c r="F65" s="4" t="s">
        <v>327</v>
      </c>
      <c r="G65" s="4" t="s">
        <v>1430</v>
      </c>
      <c r="H65" s="4" t="s">
        <v>1434</v>
      </c>
      <c r="L65" s="4" t="str">
        <f t="shared" si="6"/>
        <v>01_Textgattung/02_Denkmaelerformel/02-1_jt/0030_jt_MR_01.png</v>
      </c>
      <c r="N65" s="4" t="s">
        <v>92</v>
      </c>
    </row>
    <row r="66" spans="1:15" s="4" customFormat="1" x14ac:dyDescent="0.2">
      <c r="A66" s="16" t="s">
        <v>348</v>
      </c>
      <c r="B66" s="4">
        <v>27</v>
      </c>
      <c r="C66" s="4" t="s">
        <v>44</v>
      </c>
      <c r="D66" s="4" t="s">
        <v>1350</v>
      </c>
      <c r="N66" s="4" t="s">
        <v>92</v>
      </c>
    </row>
    <row r="67" spans="1:15" s="4" customFormat="1" x14ac:dyDescent="0.2">
      <c r="A67" s="16" t="s">
        <v>348</v>
      </c>
      <c r="B67" s="4">
        <v>28</v>
      </c>
      <c r="C67" s="4" t="s">
        <v>46</v>
      </c>
      <c r="F67" s="4" t="s">
        <v>327</v>
      </c>
      <c r="G67" s="4" t="s">
        <v>1430</v>
      </c>
      <c r="H67" s="4" t="s">
        <v>1435</v>
      </c>
      <c r="L67" s="4" t="str">
        <f t="shared" ref="L67" si="7">_xlfn.TEXTJOIN("", TRUE, E67:K67)</f>
        <v>01_Textgattung/02_Denkmaelerformel/02-1_jt/0040_jt_Gr_01.png</v>
      </c>
      <c r="N67" s="4" t="s">
        <v>92</v>
      </c>
    </row>
    <row r="68" spans="1:15" s="4" customFormat="1" x14ac:dyDescent="0.2">
      <c r="A68" s="16" t="s">
        <v>348</v>
      </c>
      <c r="B68" s="4">
        <v>29</v>
      </c>
      <c r="C68" s="4" t="s">
        <v>44</v>
      </c>
      <c r="D68" s="4" t="s">
        <v>1089</v>
      </c>
      <c r="N68" s="4" t="s">
        <v>92</v>
      </c>
    </row>
    <row r="69" spans="1:15" s="4" customFormat="1" x14ac:dyDescent="0.2">
      <c r="A69" s="16" t="s">
        <v>348</v>
      </c>
      <c r="B69" s="4">
        <v>30</v>
      </c>
      <c r="C69" s="4" t="s">
        <v>46</v>
      </c>
      <c r="F69" s="4" t="s">
        <v>327</v>
      </c>
      <c r="G69" s="4" t="s">
        <v>1430</v>
      </c>
      <c r="H69" s="4" t="s">
        <v>1436</v>
      </c>
      <c r="L69" s="4" t="str">
        <f t="shared" ref="L69" si="8">_xlfn.TEXTJOIN("", TRUE, E69:K69)</f>
        <v>01_Textgattung/02_Denkmaelerformel/02-1_jt/0050_jt_Gr_02.png</v>
      </c>
      <c r="N69" s="4" t="s">
        <v>92</v>
      </c>
    </row>
    <row r="70" spans="1:15" s="4" customFormat="1" x14ac:dyDescent="0.2">
      <c r="A70" s="16" t="s">
        <v>348</v>
      </c>
      <c r="B70" s="4">
        <v>31</v>
      </c>
      <c r="C70" s="4" t="s">
        <v>44</v>
      </c>
      <c r="D70" s="4" t="s">
        <v>1089</v>
      </c>
      <c r="N70" s="4" t="s">
        <v>92</v>
      </c>
    </row>
    <row r="71" spans="1:15" s="4" customFormat="1" x14ac:dyDescent="0.2">
      <c r="A71" s="16" t="s">
        <v>348</v>
      </c>
      <c r="B71" s="4">
        <v>32</v>
      </c>
      <c r="C71" s="4" t="s">
        <v>16</v>
      </c>
      <c r="D71" s="4" t="s">
        <v>633</v>
      </c>
      <c r="N71" s="4" t="s">
        <v>94</v>
      </c>
      <c r="O71" s="4">
        <v>69040</v>
      </c>
    </row>
    <row r="72" spans="1:15" s="4" customFormat="1" x14ac:dyDescent="0.2">
      <c r="A72" s="16" t="s">
        <v>348</v>
      </c>
      <c r="B72" s="4">
        <v>33</v>
      </c>
      <c r="C72" s="4" t="s">
        <v>46</v>
      </c>
      <c r="F72" s="4" t="s">
        <v>327</v>
      </c>
      <c r="G72" s="4" t="s">
        <v>1437</v>
      </c>
      <c r="H72" s="4" t="s">
        <v>780</v>
      </c>
      <c r="L72" s="4" t="str">
        <f t="shared" ref="L72:L75" si="9">_xlfn.TEXTJOIN("", TRUE, E72:K72)</f>
        <v>01_Textgattung/02_Denkmaelerformel/03-1_mw.t/0001_mw.t_01.png</v>
      </c>
      <c r="N72" s="4" t="s">
        <v>94</v>
      </c>
    </row>
    <row r="73" spans="1:15" s="4" customFormat="1" x14ac:dyDescent="0.2">
      <c r="A73" s="16" t="s">
        <v>348</v>
      </c>
      <c r="B73" s="4">
        <v>34</v>
      </c>
      <c r="C73" s="4" t="s">
        <v>46</v>
      </c>
      <c r="F73" s="4" t="s">
        <v>327</v>
      </c>
      <c r="G73" s="4" t="s">
        <v>1437</v>
      </c>
      <c r="H73" s="4" t="s">
        <v>781</v>
      </c>
      <c r="L73" s="4" t="str">
        <f t="shared" si="9"/>
        <v>01_Textgattung/02_Denkmaelerformel/03-1_mw.t/0010_mw.t_02.png</v>
      </c>
      <c r="N73" s="4" t="s">
        <v>94</v>
      </c>
    </row>
    <row r="74" spans="1:15" s="4" customFormat="1" x14ac:dyDescent="0.2">
      <c r="A74" s="16" t="s">
        <v>348</v>
      </c>
      <c r="B74" s="4">
        <v>35</v>
      </c>
      <c r="C74" s="4" t="s">
        <v>46</v>
      </c>
      <c r="F74" s="4" t="s">
        <v>327</v>
      </c>
      <c r="G74" s="4" t="s">
        <v>1437</v>
      </c>
      <c r="H74" s="4" t="s">
        <v>782</v>
      </c>
      <c r="L74" s="4" t="str">
        <f t="shared" si="9"/>
        <v>01_Textgattung/02_Denkmaelerformel/03-1_mw.t/0020_mw.t_03.png</v>
      </c>
      <c r="N74" s="4" t="s">
        <v>94</v>
      </c>
    </row>
    <row r="75" spans="1:15" s="4" customFormat="1" x14ac:dyDescent="0.2">
      <c r="A75" s="16" t="s">
        <v>348</v>
      </c>
      <c r="B75" s="4">
        <v>36</v>
      </c>
      <c r="C75" s="4" t="s">
        <v>46</v>
      </c>
      <c r="F75" s="4" t="s">
        <v>327</v>
      </c>
      <c r="G75" s="4" t="s">
        <v>1437</v>
      </c>
      <c r="H75" s="4" t="s">
        <v>1438</v>
      </c>
      <c r="L75" s="4" t="str">
        <f t="shared" si="9"/>
        <v>01_Textgattung/02_Denkmaelerformel/03-1_mw.t/0030_mw.t_seit-MR_01.png</v>
      </c>
      <c r="N75" s="4" t="s">
        <v>94</v>
      </c>
    </row>
    <row r="76" spans="1:15" s="4" customFormat="1" x14ac:dyDescent="0.2">
      <c r="A76" s="16" t="s">
        <v>348</v>
      </c>
      <c r="B76" s="4">
        <v>37</v>
      </c>
      <c r="C76" s="4" t="s">
        <v>44</v>
      </c>
      <c r="D76" s="4" t="s">
        <v>1350</v>
      </c>
      <c r="N76" s="4" t="s">
        <v>94</v>
      </c>
    </row>
    <row r="77" spans="1:15" s="4" customFormat="1" x14ac:dyDescent="0.2">
      <c r="A77" s="16" t="s">
        <v>348</v>
      </c>
      <c r="B77" s="4">
        <v>38</v>
      </c>
      <c r="C77" s="4" t="s">
        <v>46</v>
      </c>
      <c r="F77" s="4" t="s">
        <v>327</v>
      </c>
      <c r="G77" s="4" t="s">
        <v>1437</v>
      </c>
      <c r="H77" s="4" t="s">
        <v>1439</v>
      </c>
      <c r="L77" s="4" t="str">
        <f t="shared" ref="L77:L79" si="10">_xlfn.TEXTJOIN("", TRUE, E77:K77)</f>
        <v>01_Textgattung/02_Denkmaelerformel/03-1_mw.t/0040_mw.t_seit-MR_02.png</v>
      </c>
      <c r="N77" s="4" t="s">
        <v>94</v>
      </c>
    </row>
    <row r="78" spans="1:15" s="4" customFormat="1" x14ac:dyDescent="0.2">
      <c r="A78" s="16" t="s">
        <v>348</v>
      </c>
      <c r="B78" s="4">
        <v>39</v>
      </c>
      <c r="C78" s="4" t="s">
        <v>44</v>
      </c>
      <c r="D78" s="4" t="s">
        <v>1350</v>
      </c>
      <c r="N78" s="4" t="s">
        <v>94</v>
      </c>
    </row>
    <row r="79" spans="1:15" s="4" customFormat="1" x14ac:dyDescent="0.2">
      <c r="A79" s="16" t="s">
        <v>348</v>
      </c>
      <c r="B79" s="4">
        <v>40</v>
      </c>
      <c r="C79" s="4" t="s">
        <v>46</v>
      </c>
      <c r="F79" s="4" t="s">
        <v>327</v>
      </c>
      <c r="G79" s="4" t="s">
        <v>1437</v>
      </c>
      <c r="H79" s="4" t="s">
        <v>1440</v>
      </c>
      <c r="L79" s="4" t="str">
        <f t="shared" si="10"/>
        <v>01_Textgattung/02_Denkmaelerformel/03-1_mw.t/0050_mw.t_seit-MR_03.png</v>
      </c>
      <c r="N79" s="4" t="s">
        <v>94</v>
      </c>
    </row>
    <row r="80" spans="1:15" s="4" customFormat="1" x14ac:dyDescent="0.2">
      <c r="A80" s="16" t="s">
        <v>348</v>
      </c>
      <c r="B80" s="4">
        <v>41</v>
      </c>
      <c r="C80" s="4" t="s">
        <v>44</v>
      </c>
      <c r="D80" s="4" t="s">
        <v>1350</v>
      </c>
      <c r="N80" s="4" t="s">
        <v>94</v>
      </c>
    </row>
    <row r="81" spans="1:14" s="4" customFormat="1" x14ac:dyDescent="0.2">
      <c r="A81" s="16" t="s">
        <v>348</v>
      </c>
      <c r="B81" s="4">
        <v>42</v>
      </c>
      <c r="C81" s="4" t="s">
        <v>46</v>
      </c>
      <c r="F81" s="4" t="s">
        <v>327</v>
      </c>
      <c r="G81" s="4" t="s">
        <v>1437</v>
      </c>
      <c r="H81" s="4" t="s">
        <v>1441</v>
      </c>
      <c r="L81" s="4" t="str">
        <f t="shared" ref="L81" si="11">_xlfn.TEXTJOIN("", TRUE, E81:K81)</f>
        <v>01_Textgattung/02_Denkmaelerformel/03-1_mw.t/0060_mw.t_NR_01.png</v>
      </c>
      <c r="N81" s="4" t="s">
        <v>94</v>
      </c>
    </row>
    <row r="82" spans="1:14" s="4" customFormat="1" x14ac:dyDescent="0.2">
      <c r="A82" s="16" t="s">
        <v>348</v>
      </c>
      <c r="B82" s="4">
        <v>43</v>
      </c>
      <c r="C82" s="4" t="s">
        <v>44</v>
      </c>
      <c r="D82" s="4" t="s">
        <v>1087</v>
      </c>
      <c r="N82" s="4" t="s">
        <v>94</v>
      </c>
    </row>
    <row r="83" spans="1:14" s="4" customFormat="1" x14ac:dyDescent="0.2">
      <c r="A83" s="16" t="s">
        <v>348</v>
      </c>
      <c r="B83" s="4">
        <v>44</v>
      </c>
      <c r="C83" s="4" t="s">
        <v>46</v>
      </c>
      <c r="F83" s="4" t="s">
        <v>327</v>
      </c>
      <c r="G83" s="4" t="s">
        <v>1437</v>
      </c>
      <c r="H83" s="4" t="s">
        <v>1442</v>
      </c>
      <c r="L83" s="4" t="str">
        <f t="shared" ref="L83" si="12">_xlfn.TEXTJOIN("", TRUE, E83:K83)</f>
        <v>01_Textgattung/02_Denkmaelerformel/03-1_mw.t/0070_mw.t_Sp_01.png</v>
      </c>
      <c r="N83" s="4" t="s">
        <v>94</v>
      </c>
    </row>
    <row r="84" spans="1:14" s="4" customFormat="1" x14ac:dyDescent="0.2">
      <c r="A84" s="16" t="s">
        <v>348</v>
      </c>
      <c r="B84" s="4">
        <v>45</v>
      </c>
      <c r="C84" s="4" t="s">
        <v>44</v>
      </c>
      <c r="D84" s="4" t="s">
        <v>1351</v>
      </c>
      <c r="N84" s="4" t="s">
        <v>94</v>
      </c>
    </row>
    <row r="86" spans="1:14" s="5" customFormat="1" x14ac:dyDescent="0.2">
      <c r="A86" s="18" t="s">
        <v>356</v>
      </c>
      <c r="B86" s="5">
        <v>1</v>
      </c>
      <c r="C86" s="5" t="s">
        <v>46</v>
      </c>
      <c r="F86" s="5" t="s">
        <v>445</v>
      </c>
      <c r="G86" s="5" t="s">
        <v>360</v>
      </c>
      <c r="H86" s="5" t="s">
        <v>359</v>
      </c>
      <c r="I86" s="5" t="s">
        <v>111</v>
      </c>
      <c r="L86" s="5" t="str">
        <f t="shared" ref="L86" si="13">_xlfn.TEXTJOIN("", TRUE, E86:K86)</f>
        <v>01_Textgattung/03_Hymnus/01_dwA/0001_dwA_01.png</v>
      </c>
      <c r="N86" s="5" t="s">
        <v>89</v>
      </c>
    </row>
    <row r="87" spans="1:14" s="5" customFormat="1" x14ac:dyDescent="0.2">
      <c r="A87" s="18" t="s">
        <v>356</v>
      </c>
      <c r="B87" s="5">
        <v>2</v>
      </c>
      <c r="C87" s="5" t="s">
        <v>1666</v>
      </c>
      <c r="D87" s="5" t="s">
        <v>358</v>
      </c>
      <c r="N87" s="5" t="s">
        <v>89</v>
      </c>
    </row>
    <row r="88" spans="1:14" s="5" customFormat="1" x14ac:dyDescent="0.2">
      <c r="A88" s="18" t="s">
        <v>356</v>
      </c>
      <c r="B88" s="5">
        <v>3</v>
      </c>
      <c r="C88" s="5" t="s">
        <v>45</v>
      </c>
      <c r="D88" s="5" t="s">
        <v>47</v>
      </c>
      <c r="M88" s="5" t="s">
        <v>96</v>
      </c>
      <c r="N88" s="5" t="s">
        <v>89</v>
      </c>
    </row>
    <row r="89" spans="1:14" s="5" customFormat="1" x14ac:dyDescent="0.2">
      <c r="A89" s="18" t="s">
        <v>356</v>
      </c>
      <c r="B89" s="5">
        <v>4</v>
      </c>
      <c r="C89" s="5" t="s">
        <v>46</v>
      </c>
      <c r="F89" s="5" t="s">
        <v>445</v>
      </c>
      <c r="G89" s="5" t="s">
        <v>361</v>
      </c>
      <c r="H89" s="5" t="s">
        <v>362</v>
      </c>
      <c r="I89" s="5" t="s">
        <v>111</v>
      </c>
      <c r="L89" s="5" t="str">
        <f t="shared" ref="L89" si="14">_xlfn.TEXTJOIN("", TRUE, E89:K89)</f>
        <v>01_Textgattung/03_Hymnus/02_rDj.t-jAw/0001_rDj.t-jAw_01.png</v>
      </c>
      <c r="N89" s="5" t="s">
        <v>89</v>
      </c>
    </row>
    <row r="90" spans="1:14" s="5" customFormat="1" x14ac:dyDescent="0.2">
      <c r="A90" s="18" t="s">
        <v>356</v>
      </c>
      <c r="B90" s="5">
        <v>5</v>
      </c>
      <c r="C90" s="5" t="s">
        <v>1666</v>
      </c>
      <c r="D90" s="5" t="s">
        <v>363</v>
      </c>
      <c r="N90" s="5" t="s">
        <v>89</v>
      </c>
    </row>
    <row r="91" spans="1:14" s="5" customFormat="1" x14ac:dyDescent="0.2">
      <c r="A91" s="18" t="s">
        <v>356</v>
      </c>
      <c r="B91" s="5">
        <v>6</v>
      </c>
      <c r="C91" s="5" t="s">
        <v>46</v>
      </c>
      <c r="F91" s="5" t="s">
        <v>445</v>
      </c>
      <c r="G91" s="5" t="s">
        <v>364</v>
      </c>
      <c r="H91" s="5" t="s">
        <v>365</v>
      </c>
      <c r="I91" s="5" t="s">
        <v>111</v>
      </c>
      <c r="L91" s="5" t="str">
        <f t="shared" ref="L91" si="15">_xlfn.TEXTJOIN("", TRUE, E91:K91)</f>
        <v>01_Textgattung/03_Hymnus/03_sn-tA-n/0001_sn-tA-n_01.png</v>
      </c>
      <c r="N91" s="5" t="s">
        <v>89</v>
      </c>
    </row>
    <row r="92" spans="1:14" s="5" customFormat="1" x14ac:dyDescent="0.2">
      <c r="A92" s="18" t="s">
        <v>356</v>
      </c>
      <c r="B92" s="5">
        <v>7</v>
      </c>
      <c r="C92" s="5" t="s">
        <v>1666</v>
      </c>
      <c r="D92" s="5" t="s">
        <v>366</v>
      </c>
      <c r="N92" s="5" t="s">
        <v>89</v>
      </c>
    </row>
    <row r="93" spans="1:14" s="5" customFormat="1" x14ac:dyDescent="0.2">
      <c r="A93" s="18" t="s">
        <v>356</v>
      </c>
      <c r="B93" s="5">
        <v>8</v>
      </c>
      <c r="C93" s="5" t="s">
        <v>44</v>
      </c>
      <c r="D93" s="5" t="s">
        <v>1545</v>
      </c>
      <c r="N93" s="5" t="s">
        <v>89</v>
      </c>
    </row>
    <row r="94" spans="1:14" s="5" customFormat="1" x14ac:dyDescent="0.2">
      <c r="A94" s="18" t="s">
        <v>356</v>
      </c>
      <c r="B94" s="5">
        <v>9</v>
      </c>
      <c r="C94" s="5" t="s">
        <v>46</v>
      </c>
      <c r="F94" s="5" t="s">
        <v>445</v>
      </c>
      <c r="G94" s="5" t="s">
        <v>368</v>
      </c>
      <c r="H94" s="5" t="s">
        <v>369</v>
      </c>
      <c r="I94" s="5" t="s">
        <v>111</v>
      </c>
      <c r="L94" s="5" t="str">
        <f t="shared" ref="L94" si="16">_xlfn.TEXTJOIN("", TRUE, E94:K94)</f>
        <v>01_Textgattung/03_Hymnus/04_jn/0001_jn_01.png</v>
      </c>
      <c r="N94" s="5" t="s">
        <v>89</v>
      </c>
    </row>
    <row r="95" spans="1:14" s="5" customFormat="1" x14ac:dyDescent="0.2">
      <c r="A95" s="18" t="s">
        <v>356</v>
      </c>
      <c r="B95" s="5">
        <v>10</v>
      </c>
      <c r="C95" s="5" t="s">
        <v>1666</v>
      </c>
      <c r="D95" s="5" t="s">
        <v>367</v>
      </c>
      <c r="N95" s="5" t="s">
        <v>89</v>
      </c>
    </row>
    <row r="96" spans="1:14" s="5" customFormat="1" x14ac:dyDescent="0.2">
      <c r="A96" s="18" t="s">
        <v>356</v>
      </c>
      <c r="B96" s="5">
        <v>11</v>
      </c>
      <c r="C96" s="5" t="s">
        <v>45</v>
      </c>
      <c r="D96" s="5" t="s">
        <v>49</v>
      </c>
      <c r="M96" s="5" t="s">
        <v>98</v>
      </c>
      <c r="N96" s="5" t="s">
        <v>89</v>
      </c>
    </row>
    <row r="97" spans="1:15" s="5" customFormat="1" x14ac:dyDescent="0.2">
      <c r="A97" s="18" t="s">
        <v>356</v>
      </c>
      <c r="B97" s="5">
        <v>12</v>
      </c>
      <c r="C97" s="5" t="s">
        <v>46</v>
      </c>
      <c r="F97" s="5" t="s">
        <v>445</v>
      </c>
      <c r="G97" s="5" t="s">
        <v>371</v>
      </c>
      <c r="H97" s="5" t="s">
        <v>372</v>
      </c>
      <c r="I97" s="5" t="s">
        <v>111</v>
      </c>
      <c r="L97" s="5" t="str">
        <f t="shared" ref="L97" si="17">_xlfn.TEXTJOIN("", TRUE, E97:K97)</f>
        <v>01_Textgattung/03_Hymnus/05_Dd=f/0001_Dd=f_01.png</v>
      </c>
      <c r="N97" s="5" t="s">
        <v>89</v>
      </c>
    </row>
    <row r="98" spans="1:15" s="5" customFormat="1" x14ac:dyDescent="0.2">
      <c r="A98" s="18" t="s">
        <v>356</v>
      </c>
      <c r="B98" s="5">
        <v>13</v>
      </c>
      <c r="C98" s="5" t="s">
        <v>1666</v>
      </c>
      <c r="D98" s="5" t="s">
        <v>370</v>
      </c>
      <c r="N98" s="5" t="s">
        <v>89</v>
      </c>
    </row>
    <row r="99" spans="1:15" s="5" customFormat="1" x14ac:dyDescent="0.2">
      <c r="A99" s="18" t="s">
        <v>356</v>
      </c>
      <c r="B99" s="5">
        <v>14</v>
      </c>
      <c r="C99" s="5" t="s">
        <v>44</v>
      </c>
      <c r="D99" s="5" t="s">
        <v>1545</v>
      </c>
      <c r="N99" s="5" t="s">
        <v>89</v>
      </c>
    </row>
    <row r="100" spans="1:15" s="5" customFormat="1" x14ac:dyDescent="0.2">
      <c r="A100" s="18" t="s">
        <v>356</v>
      </c>
      <c r="B100" s="5">
        <v>15</v>
      </c>
      <c r="C100" s="5" t="s">
        <v>46</v>
      </c>
      <c r="F100" s="5" t="s">
        <v>445</v>
      </c>
      <c r="G100" s="5" t="s">
        <v>373</v>
      </c>
      <c r="H100" s="5" t="s">
        <v>374</v>
      </c>
      <c r="I100" s="5" t="s">
        <v>111</v>
      </c>
      <c r="L100" s="5" t="str">
        <f t="shared" ref="L100" si="18">_xlfn.TEXTJOIN("", TRUE, E100:K100)</f>
        <v>01_Textgattung/03_Hymnus/06_jnD-Hr/0001_jnD-Hr_01.png</v>
      </c>
      <c r="N100" s="5" t="s">
        <v>89</v>
      </c>
    </row>
    <row r="101" spans="1:15" s="5" customFormat="1" x14ac:dyDescent="0.2">
      <c r="A101" s="18" t="s">
        <v>356</v>
      </c>
      <c r="B101" s="5">
        <v>16</v>
      </c>
      <c r="C101" s="5" t="s">
        <v>1666</v>
      </c>
      <c r="D101" s="5" t="s">
        <v>513</v>
      </c>
      <c r="N101" s="5" t="s">
        <v>89</v>
      </c>
    </row>
    <row r="102" spans="1:15" s="5" customFormat="1" x14ac:dyDescent="0.2">
      <c r="A102" s="18" t="s">
        <v>356</v>
      </c>
      <c r="B102" s="5">
        <v>17</v>
      </c>
      <c r="C102" s="5" t="s">
        <v>45</v>
      </c>
      <c r="D102" s="5" t="s">
        <v>47</v>
      </c>
      <c r="M102" s="5" t="s">
        <v>96</v>
      </c>
      <c r="N102" s="5" t="s">
        <v>89</v>
      </c>
    </row>
    <row r="103" spans="1:15" s="5" customFormat="1" x14ac:dyDescent="0.2">
      <c r="A103" s="18" t="s">
        <v>356</v>
      </c>
      <c r="B103" s="5">
        <v>18</v>
      </c>
      <c r="C103" s="5" t="s">
        <v>44</v>
      </c>
      <c r="D103" s="5" t="s">
        <v>1544</v>
      </c>
      <c r="N103" s="5" t="s">
        <v>89</v>
      </c>
    </row>
    <row r="104" spans="1:15" s="5" customFormat="1" x14ac:dyDescent="0.2">
      <c r="A104" s="18" t="s">
        <v>356</v>
      </c>
      <c r="B104" s="5">
        <v>19</v>
      </c>
      <c r="C104" s="5" t="s">
        <v>90</v>
      </c>
      <c r="N104" s="5" t="s">
        <v>89</v>
      </c>
    </row>
    <row r="105" spans="1:15" s="5" customFormat="1" x14ac:dyDescent="0.2">
      <c r="A105" s="18"/>
    </row>
    <row r="106" spans="1:15" s="5" customFormat="1" x14ac:dyDescent="0.2">
      <c r="A106" s="18" t="s">
        <v>1028</v>
      </c>
      <c r="B106" s="5">
        <v>1</v>
      </c>
      <c r="C106" s="5" t="s">
        <v>16</v>
      </c>
      <c r="D106" s="5" t="s">
        <v>358</v>
      </c>
      <c r="N106" s="5" t="s">
        <v>91</v>
      </c>
      <c r="O106" s="5">
        <v>177930</v>
      </c>
    </row>
    <row r="107" spans="1:15" s="5" customFormat="1" x14ac:dyDescent="0.2">
      <c r="A107" s="18" t="s">
        <v>1028</v>
      </c>
      <c r="B107" s="5">
        <v>2</v>
      </c>
      <c r="C107" s="5" t="s">
        <v>46</v>
      </c>
      <c r="F107" s="5" t="s">
        <v>445</v>
      </c>
      <c r="G107" s="5" t="s">
        <v>360</v>
      </c>
      <c r="H107" s="5" t="s">
        <v>1032</v>
      </c>
      <c r="L107" s="5" t="str">
        <f t="shared" ref="L107:L158" si="19">_xlfn.TEXTJOIN("", TRUE, E107:K107)</f>
        <v>01_Textgattung/03_Hymnus/01_dwA/0001_dwA_01.png</v>
      </c>
      <c r="N107" s="5" t="s">
        <v>91</v>
      </c>
    </row>
    <row r="108" spans="1:15" s="5" customFormat="1" x14ac:dyDescent="0.2">
      <c r="A108" s="18" t="s">
        <v>1028</v>
      </c>
      <c r="B108" s="5">
        <v>3</v>
      </c>
      <c r="C108" s="5" t="s">
        <v>46</v>
      </c>
      <c r="F108" s="5" t="s">
        <v>445</v>
      </c>
      <c r="G108" s="5" t="s">
        <v>360</v>
      </c>
      <c r="H108" s="5" t="s">
        <v>1476</v>
      </c>
      <c r="L108" s="5" t="str">
        <f t="shared" si="19"/>
        <v>01_Textgattung/03_Hymnus/01_dwA/0010_dwA_AR_01.png</v>
      </c>
      <c r="N108" s="5" t="s">
        <v>91</v>
      </c>
    </row>
    <row r="109" spans="1:15" s="5" customFormat="1" x14ac:dyDescent="0.2">
      <c r="A109" s="18" t="s">
        <v>1028</v>
      </c>
      <c r="B109" s="5">
        <v>4</v>
      </c>
      <c r="C109" s="5" t="s">
        <v>44</v>
      </c>
      <c r="D109" s="5" t="s">
        <v>1088</v>
      </c>
      <c r="N109" s="5" t="s">
        <v>91</v>
      </c>
    </row>
    <row r="110" spans="1:15" s="5" customFormat="1" x14ac:dyDescent="0.2">
      <c r="A110" s="18" t="s">
        <v>1028</v>
      </c>
      <c r="B110" s="5">
        <v>5</v>
      </c>
      <c r="C110" s="5" t="s">
        <v>46</v>
      </c>
      <c r="F110" s="5" t="s">
        <v>445</v>
      </c>
      <c r="G110" s="5" t="s">
        <v>360</v>
      </c>
      <c r="H110" s="5" t="s">
        <v>1477</v>
      </c>
      <c r="L110" s="5" t="str">
        <f t="shared" ref="L110" si="20">_xlfn.TEXTJOIN("", TRUE, E110:K110)</f>
        <v>01_Textgattung/03_Hymnus/01_dwA/0020_dwA_Pyr_01.png</v>
      </c>
      <c r="N110" s="5" t="s">
        <v>91</v>
      </c>
    </row>
    <row r="111" spans="1:15" s="5" customFormat="1" x14ac:dyDescent="0.2">
      <c r="A111" s="18" t="s">
        <v>1028</v>
      </c>
      <c r="B111" s="5">
        <v>6</v>
      </c>
      <c r="C111" s="5" t="s">
        <v>44</v>
      </c>
      <c r="D111" s="5" t="s">
        <v>1485</v>
      </c>
      <c r="N111" s="5" t="s">
        <v>91</v>
      </c>
    </row>
    <row r="112" spans="1:15" s="5" customFormat="1" x14ac:dyDescent="0.2">
      <c r="A112" s="18" t="s">
        <v>1028</v>
      </c>
      <c r="B112" s="5">
        <v>7</v>
      </c>
      <c r="C112" s="5" t="s">
        <v>46</v>
      </c>
      <c r="F112" s="5" t="s">
        <v>445</v>
      </c>
      <c r="G112" s="5" t="s">
        <v>360</v>
      </c>
      <c r="H112" s="5" t="s">
        <v>1478</v>
      </c>
      <c r="L112" s="5" t="str">
        <f t="shared" ref="L112:L126" si="21">_xlfn.TEXTJOIN("", TRUE, E112:K112)</f>
        <v>01_Textgattung/03_Hymnus/01_dwA/0030_dwA_seit-MR_01.png</v>
      </c>
      <c r="N112" s="5" t="s">
        <v>91</v>
      </c>
    </row>
    <row r="113" spans="1:15" s="5" customFormat="1" x14ac:dyDescent="0.2">
      <c r="A113" s="18" t="s">
        <v>1028</v>
      </c>
      <c r="B113" s="5">
        <v>8</v>
      </c>
      <c r="C113" s="5" t="s">
        <v>44</v>
      </c>
      <c r="D113" s="5" t="s">
        <v>1086</v>
      </c>
      <c r="N113" s="5" t="s">
        <v>91</v>
      </c>
    </row>
    <row r="114" spans="1:15" s="5" customFormat="1" x14ac:dyDescent="0.2">
      <c r="A114" s="18" t="s">
        <v>1028</v>
      </c>
      <c r="B114" s="5">
        <v>9</v>
      </c>
      <c r="C114" s="5" t="s">
        <v>46</v>
      </c>
      <c r="F114" s="5" t="s">
        <v>445</v>
      </c>
      <c r="G114" s="5" t="s">
        <v>360</v>
      </c>
      <c r="H114" s="5" t="s">
        <v>1479</v>
      </c>
      <c r="L114" s="5" t="str">
        <f t="shared" si="21"/>
        <v>01_Textgattung/03_Hymnus/01_dwA/0040_dwA_seit-MR_02.png</v>
      </c>
      <c r="N114" s="5" t="s">
        <v>91</v>
      </c>
    </row>
    <row r="115" spans="1:15" s="5" customFormat="1" x14ac:dyDescent="0.2">
      <c r="A115" s="18" t="s">
        <v>1028</v>
      </c>
      <c r="B115" s="5">
        <v>10</v>
      </c>
      <c r="C115" s="5" t="s">
        <v>44</v>
      </c>
      <c r="D115" s="5" t="s">
        <v>1086</v>
      </c>
      <c r="N115" s="5" t="s">
        <v>91</v>
      </c>
    </row>
    <row r="116" spans="1:15" s="5" customFormat="1" x14ac:dyDescent="0.2">
      <c r="A116" s="18" t="s">
        <v>1028</v>
      </c>
      <c r="B116" s="5">
        <v>11</v>
      </c>
      <c r="C116" s="5" t="s">
        <v>46</v>
      </c>
      <c r="F116" s="5" t="s">
        <v>445</v>
      </c>
      <c r="G116" s="5" t="s">
        <v>360</v>
      </c>
      <c r="H116" s="5" t="s">
        <v>1480</v>
      </c>
      <c r="L116" s="5" t="str">
        <f t="shared" si="21"/>
        <v>01_Textgattung/03_Hymnus/01_dwA/0050_dwA_seit-MR_03.png</v>
      </c>
      <c r="N116" s="5" t="s">
        <v>91</v>
      </c>
    </row>
    <row r="117" spans="1:15" s="5" customFormat="1" x14ac:dyDescent="0.2">
      <c r="A117" s="18" t="s">
        <v>1028</v>
      </c>
      <c r="B117" s="5">
        <v>12</v>
      </c>
      <c r="C117" s="5" t="s">
        <v>44</v>
      </c>
      <c r="D117" s="5" t="s">
        <v>1086</v>
      </c>
      <c r="N117" s="5" t="s">
        <v>91</v>
      </c>
    </row>
    <row r="118" spans="1:15" s="5" customFormat="1" x14ac:dyDescent="0.2">
      <c r="A118" s="18" t="s">
        <v>1028</v>
      </c>
      <c r="B118" s="5">
        <v>13</v>
      </c>
      <c r="C118" s="5" t="s">
        <v>46</v>
      </c>
      <c r="F118" s="5" t="s">
        <v>445</v>
      </c>
      <c r="G118" s="5" t="s">
        <v>360</v>
      </c>
      <c r="H118" s="5" t="s">
        <v>1481</v>
      </c>
      <c r="L118" s="5" t="str">
        <f t="shared" si="21"/>
        <v>01_Textgattung/03_Hymnus/01_dwA/0060_dwA_seit-MR_04.png</v>
      </c>
      <c r="N118" s="5" t="s">
        <v>91</v>
      </c>
    </row>
    <row r="119" spans="1:15" s="5" customFormat="1" x14ac:dyDescent="0.2">
      <c r="A119" s="18" t="s">
        <v>1028</v>
      </c>
      <c r="B119" s="5">
        <v>14</v>
      </c>
      <c r="C119" s="5" t="s">
        <v>44</v>
      </c>
      <c r="D119" s="5" t="s">
        <v>1086</v>
      </c>
      <c r="N119" s="5" t="s">
        <v>91</v>
      </c>
    </row>
    <row r="120" spans="1:15" s="5" customFormat="1" x14ac:dyDescent="0.2">
      <c r="A120" s="18" t="s">
        <v>1028</v>
      </c>
      <c r="B120" s="5">
        <v>15</v>
      </c>
      <c r="C120" s="5" t="s">
        <v>46</v>
      </c>
      <c r="F120" s="5" t="s">
        <v>445</v>
      </c>
      <c r="G120" s="5" t="s">
        <v>360</v>
      </c>
      <c r="H120" s="5" t="s">
        <v>1482</v>
      </c>
      <c r="L120" s="5" t="str">
        <f t="shared" si="21"/>
        <v>01_Textgattung/03_Hymnus/01_dwA/0070_dwA_Ende-NR_01.png</v>
      </c>
      <c r="N120" s="5" t="s">
        <v>91</v>
      </c>
    </row>
    <row r="121" spans="1:15" s="5" customFormat="1" x14ac:dyDescent="0.2">
      <c r="A121" s="18" t="s">
        <v>1028</v>
      </c>
      <c r="B121" s="5">
        <v>16</v>
      </c>
      <c r="C121" s="5" t="s">
        <v>44</v>
      </c>
      <c r="D121" s="5" t="s">
        <v>1084</v>
      </c>
      <c r="N121" s="5" t="s">
        <v>91</v>
      </c>
    </row>
    <row r="122" spans="1:15" s="5" customFormat="1" x14ac:dyDescent="0.2">
      <c r="A122" s="18" t="s">
        <v>1028</v>
      </c>
      <c r="B122" s="5">
        <v>17</v>
      </c>
      <c r="C122" s="5" t="s">
        <v>46</v>
      </c>
      <c r="F122" s="5" t="s">
        <v>445</v>
      </c>
      <c r="G122" s="5" t="s">
        <v>360</v>
      </c>
      <c r="H122" s="5" t="s">
        <v>1483</v>
      </c>
      <c r="L122" s="5" t="str">
        <f t="shared" si="21"/>
        <v>01_Textgattung/03_Hymnus/01_dwA/0080_dwA_Ende-NR_02.png</v>
      </c>
      <c r="N122" s="5" t="s">
        <v>91</v>
      </c>
    </row>
    <row r="123" spans="1:15" s="5" customFormat="1" x14ac:dyDescent="0.2">
      <c r="A123" s="18" t="s">
        <v>1028</v>
      </c>
      <c r="B123" s="5">
        <v>18</v>
      </c>
      <c r="C123" s="5" t="s">
        <v>44</v>
      </c>
      <c r="D123" s="5" t="s">
        <v>1084</v>
      </c>
      <c r="N123" s="5" t="s">
        <v>91</v>
      </c>
    </row>
    <row r="124" spans="1:15" s="5" customFormat="1" x14ac:dyDescent="0.2">
      <c r="A124" s="18" t="s">
        <v>1028</v>
      </c>
      <c r="B124" s="5">
        <v>19</v>
      </c>
      <c r="C124" s="5" t="s">
        <v>46</v>
      </c>
      <c r="F124" s="5" t="s">
        <v>445</v>
      </c>
      <c r="G124" s="5" t="s">
        <v>360</v>
      </c>
      <c r="H124" s="5" t="s">
        <v>1484</v>
      </c>
      <c r="L124" s="5" t="str">
        <f t="shared" si="21"/>
        <v>01_Textgattung/03_Hymnus/01_dwA/0090_dwA_Sp_01.png</v>
      </c>
      <c r="N124" s="5" t="s">
        <v>91</v>
      </c>
    </row>
    <row r="125" spans="1:15" s="5" customFormat="1" x14ac:dyDescent="0.2">
      <c r="A125" s="18" t="s">
        <v>1028</v>
      </c>
      <c r="B125" s="5">
        <v>20</v>
      </c>
      <c r="C125" s="5" t="s">
        <v>44</v>
      </c>
      <c r="D125" s="5" t="s">
        <v>1351</v>
      </c>
      <c r="N125" s="5" t="s">
        <v>91</v>
      </c>
    </row>
    <row r="126" spans="1:15" s="5" customFormat="1" x14ac:dyDescent="0.2">
      <c r="A126" s="18" t="s">
        <v>1028</v>
      </c>
      <c r="B126" s="5">
        <v>21</v>
      </c>
      <c r="C126" s="5" t="s">
        <v>46</v>
      </c>
      <c r="F126" s="5" t="s">
        <v>445</v>
      </c>
      <c r="G126" s="5" t="s">
        <v>360</v>
      </c>
      <c r="H126" s="5" t="s">
        <v>1475</v>
      </c>
      <c r="L126" s="5" t="str">
        <f t="shared" si="21"/>
        <v>01_Textgattung/03_Hymnus/01_dwA/0100_dwA_Sp_02.png</v>
      </c>
      <c r="N126" s="5" t="s">
        <v>91</v>
      </c>
    </row>
    <row r="127" spans="1:15" s="5" customFormat="1" x14ac:dyDescent="0.2">
      <c r="A127" s="18" t="s">
        <v>1028</v>
      </c>
      <c r="B127" s="5">
        <v>22</v>
      </c>
      <c r="C127" s="5" t="s">
        <v>44</v>
      </c>
      <c r="D127" s="5" t="s">
        <v>1351</v>
      </c>
      <c r="N127" s="5" t="s">
        <v>91</v>
      </c>
    </row>
    <row r="128" spans="1:15" s="5" customFormat="1" x14ac:dyDescent="0.2">
      <c r="A128" s="18" t="s">
        <v>1028</v>
      </c>
      <c r="B128" s="5">
        <v>23</v>
      </c>
      <c r="C128" s="5" t="s">
        <v>16</v>
      </c>
      <c r="D128" s="5" t="s">
        <v>363</v>
      </c>
      <c r="N128" s="5" t="s">
        <v>92</v>
      </c>
      <c r="O128" s="5" t="s">
        <v>1557</v>
      </c>
    </row>
    <row r="129" spans="1:15" s="5" customFormat="1" x14ac:dyDescent="0.2">
      <c r="A129" s="18" t="s">
        <v>1028</v>
      </c>
      <c r="B129" s="5">
        <v>24</v>
      </c>
      <c r="C129" s="5" t="s">
        <v>46</v>
      </c>
      <c r="F129" s="5" t="s">
        <v>445</v>
      </c>
      <c r="G129" s="5" t="s">
        <v>361</v>
      </c>
      <c r="H129" s="5" t="s">
        <v>1031</v>
      </c>
      <c r="L129" s="5" t="str">
        <f t="shared" ref="L129" si="22">_xlfn.TEXTJOIN("", TRUE, E129:K129)</f>
        <v>01_Textgattung/03_Hymnus/02_rDj.t-jAw/0001_rDj.t-jAw_01.png</v>
      </c>
      <c r="N129" s="5" t="s">
        <v>92</v>
      </c>
    </row>
    <row r="130" spans="1:15" s="5" customFormat="1" x14ac:dyDescent="0.2">
      <c r="A130" s="18" t="s">
        <v>1028</v>
      </c>
      <c r="B130" s="5">
        <v>25</v>
      </c>
      <c r="C130" s="5" t="s">
        <v>46</v>
      </c>
      <c r="F130" s="5" t="s">
        <v>445</v>
      </c>
      <c r="G130" s="5" t="s">
        <v>361</v>
      </c>
      <c r="H130" s="5" t="s">
        <v>1486</v>
      </c>
      <c r="L130" s="5" t="str">
        <f t="shared" si="19"/>
        <v>01_Textgattung/03_Hymnus/02_rDj.t-jAw/0010_rDj.t-jAw_02.png</v>
      </c>
      <c r="N130" s="5" t="s">
        <v>92</v>
      </c>
    </row>
    <row r="131" spans="1:15" s="5" customFormat="1" x14ac:dyDescent="0.2">
      <c r="A131" s="18" t="s">
        <v>1028</v>
      </c>
      <c r="B131" s="5">
        <v>26</v>
      </c>
      <c r="C131" s="5" t="s">
        <v>46</v>
      </c>
      <c r="F131" s="5" t="s">
        <v>445</v>
      </c>
      <c r="G131" s="5" t="s">
        <v>361</v>
      </c>
      <c r="H131" s="5" t="s">
        <v>1487</v>
      </c>
      <c r="L131" s="5" t="str">
        <f t="shared" si="19"/>
        <v>01_Textgattung/03_Hymnus/02_rDj.t-jAw/0020_rDj.t-jAw_NR_01.png</v>
      </c>
      <c r="N131" s="5" t="s">
        <v>92</v>
      </c>
    </row>
    <row r="132" spans="1:15" s="5" customFormat="1" x14ac:dyDescent="0.2">
      <c r="A132" s="18" t="s">
        <v>1028</v>
      </c>
      <c r="B132" s="5">
        <v>27</v>
      </c>
      <c r="C132" s="5" t="s">
        <v>44</v>
      </c>
      <c r="D132" s="5" t="s">
        <v>1087</v>
      </c>
      <c r="N132" s="5" t="s">
        <v>92</v>
      </c>
    </row>
    <row r="133" spans="1:15" s="5" customFormat="1" x14ac:dyDescent="0.2">
      <c r="A133" s="18" t="s">
        <v>1028</v>
      </c>
      <c r="B133" s="5">
        <v>28</v>
      </c>
      <c r="C133" s="5" t="s">
        <v>46</v>
      </c>
      <c r="F133" s="5" t="s">
        <v>445</v>
      </c>
      <c r="G133" s="5" t="s">
        <v>361</v>
      </c>
      <c r="H133" s="5" t="s">
        <v>1488</v>
      </c>
      <c r="L133" s="5" t="str">
        <f t="shared" ref="L133" si="23">_xlfn.TEXTJOIN("", TRUE, E133:K133)</f>
        <v>01_Textgattung/03_Hymnus/02_rDj.t-jAw/0030_rDj.t-jAw_NR_02.png</v>
      </c>
      <c r="N133" s="5" t="s">
        <v>92</v>
      </c>
    </row>
    <row r="134" spans="1:15" s="5" customFormat="1" x14ac:dyDescent="0.2">
      <c r="A134" s="18" t="s">
        <v>1028</v>
      </c>
      <c r="B134" s="5">
        <v>29</v>
      </c>
      <c r="C134" s="5" t="s">
        <v>44</v>
      </c>
      <c r="D134" s="5" t="s">
        <v>1087</v>
      </c>
      <c r="N134" s="5" t="s">
        <v>92</v>
      </c>
    </row>
    <row r="135" spans="1:15" s="5" customFormat="1" x14ac:dyDescent="0.2">
      <c r="A135" s="18" t="s">
        <v>1028</v>
      </c>
      <c r="B135" s="5">
        <v>30</v>
      </c>
      <c r="C135" s="5" t="s">
        <v>46</v>
      </c>
      <c r="F135" s="5" t="s">
        <v>445</v>
      </c>
      <c r="G135" s="5" t="s">
        <v>361</v>
      </c>
      <c r="H135" s="5" t="s">
        <v>1489</v>
      </c>
      <c r="L135" s="5" t="str">
        <f t="shared" ref="L135" si="24">_xlfn.TEXTJOIN("", TRUE, E135:K135)</f>
        <v>01_Textgattung/03_Hymnus/02_rDj.t-jAw/0040_rDj.t-jAw_NR_03.png</v>
      </c>
      <c r="N135" s="5" t="s">
        <v>92</v>
      </c>
    </row>
    <row r="136" spans="1:15" s="5" customFormat="1" x14ac:dyDescent="0.2">
      <c r="A136" s="18" t="s">
        <v>1028</v>
      </c>
      <c r="B136" s="5">
        <v>31</v>
      </c>
      <c r="C136" s="5" t="s">
        <v>44</v>
      </c>
      <c r="D136" s="5" t="s">
        <v>1087</v>
      </c>
      <c r="N136" s="5" t="s">
        <v>92</v>
      </c>
    </row>
    <row r="137" spans="1:15" s="5" customFormat="1" x14ac:dyDescent="0.2">
      <c r="A137" s="18" t="s">
        <v>1028</v>
      </c>
      <c r="B137" s="5">
        <v>32</v>
      </c>
      <c r="C137" s="5" t="s">
        <v>46</v>
      </c>
      <c r="F137" s="5" t="s">
        <v>445</v>
      </c>
      <c r="G137" s="5" t="s">
        <v>361</v>
      </c>
      <c r="H137" s="5" t="s">
        <v>1490</v>
      </c>
      <c r="L137" s="5" t="str">
        <f t="shared" ref="L137" si="25">_xlfn.TEXTJOIN("", TRUE, E137:K137)</f>
        <v>01_Textgattung/03_Hymnus/02_rDj.t-jAw/0050_rDj.t-jAw_NR_04.png</v>
      </c>
      <c r="N137" s="5" t="s">
        <v>92</v>
      </c>
    </row>
    <row r="138" spans="1:15" s="5" customFormat="1" x14ac:dyDescent="0.2">
      <c r="A138" s="18" t="s">
        <v>1028</v>
      </c>
      <c r="B138" s="5">
        <v>33</v>
      </c>
      <c r="C138" s="5" t="s">
        <v>44</v>
      </c>
      <c r="D138" s="5" t="s">
        <v>1087</v>
      </c>
      <c r="N138" s="5" t="s">
        <v>92</v>
      </c>
    </row>
    <row r="139" spans="1:15" s="5" customFormat="1" x14ac:dyDescent="0.2">
      <c r="A139" s="18" t="s">
        <v>1028</v>
      </c>
      <c r="B139" s="5">
        <v>34</v>
      </c>
      <c r="C139" s="5" t="s">
        <v>46</v>
      </c>
      <c r="F139" s="5" t="s">
        <v>445</v>
      </c>
      <c r="G139" s="5" t="s">
        <v>361</v>
      </c>
      <c r="H139" s="5" t="s">
        <v>1491</v>
      </c>
      <c r="L139" s="5" t="str">
        <f t="shared" ref="L139:L155" si="26">_xlfn.TEXTJOIN("", TRUE, E139:K139)</f>
        <v>01_Textgattung/03_Hymnus/02_rDj.t-jAw/0060_rDj.t-jAw_NR_05.png</v>
      </c>
      <c r="N139" s="5" t="s">
        <v>92</v>
      </c>
    </row>
    <row r="140" spans="1:15" s="5" customFormat="1" x14ac:dyDescent="0.2">
      <c r="A140" s="18" t="s">
        <v>1028</v>
      </c>
      <c r="B140" s="5">
        <v>35</v>
      </c>
      <c r="C140" s="5" t="s">
        <v>44</v>
      </c>
      <c r="D140" s="5" t="s">
        <v>1087</v>
      </c>
      <c r="N140" s="5" t="s">
        <v>92</v>
      </c>
    </row>
    <row r="141" spans="1:15" s="5" customFormat="1" x14ac:dyDescent="0.2">
      <c r="A141" s="18" t="s">
        <v>1028</v>
      </c>
      <c r="B141" s="5">
        <v>36</v>
      </c>
      <c r="C141" s="5" t="s">
        <v>16</v>
      </c>
      <c r="D141" s="5" t="s">
        <v>1502</v>
      </c>
      <c r="N141" s="5" t="s">
        <v>94</v>
      </c>
      <c r="O141" s="5">
        <v>20360</v>
      </c>
    </row>
    <row r="142" spans="1:15" s="5" customFormat="1" x14ac:dyDescent="0.2">
      <c r="A142" s="18" t="s">
        <v>1028</v>
      </c>
      <c r="B142" s="5">
        <v>37</v>
      </c>
      <c r="C142" s="5" t="s">
        <v>46</v>
      </c>
      <c r="F142" s="5" t="s">
        <v>445</v>
      </c>
      <c r="G142" s="5" t="s">
        <v>1500</v>
      </c>
      <c r="H142" s="5" t="s">
        <v>1492</v>
      </c>
      <c r="L142" s="5" t="str">
        <f t="shared" si="26"/>
        <v>01_Textgattung/03_Hymnus/02_rDj.t-jAw/02_jAw/0001_jAw_01.png</v>
      </c>
      <c r="N142" s="5" t="s">
        <v>94</v>
      </c>
    </row>
    <row r="143" spans="1:15" s="5" customFormat="1" x14ac:dyDescent="0.2">
      <c r="A143" s="18" t="s">
        <v>1028</v>
      </c>
      <c r="B143" s="5">
        <v>38</v>
      </c>
      <c r="C143" s="5" t="s">
        <v>46</v>
      </c>
      <c r="F143" s="5" t="s">
        <v>445</v>
      </c>
      <c r="G143" s="5" t="s">
        <v>1500</v>
      </c>
      <c r="H143" s="5" t="s">
        <v>1493</v>
      </c>
      <c r="L143" s="5" t="str">
        <f t="shared" si="26"/>
        <v>01_Textgattung/03_Hymnus/02_rDj.t-jAw/02_jAw/0010_jAw_AR_01.png</v>
      </c>
      <c r="N143" s="5" t="s">
        <v>94</v>
      </c>
    </row>
    <row r="144" spans="1:15" s="5" customFormat="1" x14ac:dyDescent="0.2">
      <c r="A144" s="18" t="s">
        <v>1028</v>
      </c>
      <c r="B144" s="5">
        <v>39</v>
      </c>
      <c r="C144" s="5" t="s">
        <v>44</v>
      </c>
      <c r="D144" s="5" t="s">
        <v>1088</v>
      </c>
      <c r="N144" s="5" t="s">
        <v>94</v>
      </c>
    </row>
    <row r="145" spans="1:15" s="5" customFormat="1" x14ac:dyDescent="0.2">
      <c r="A145" s="18" t="s">
        <v>1028</v>
      </c>
      <c r="B145" s="5">
        <v>40</v>
      </c>
      <c r="C145" s="5" t="s">
        <v>46</v>
      </c>
      <c r="F145" s="5" t="s">
        <v>445</v>
      </c>
      <c r="G145" s="5" t="s">
        <v>1500</v>
      </c>
      <c r="H145" s="5" t="s">
        <v>1494</v>
      </c>
      <c r="L145" s="5" t="str">
        <f t="shared" si="26"/>
        <v>01_Textgattung/03_Hymnus/02_rDj.t-jAw/02_jAw/0020_jAw_AR_02.png</v>
      </c>
      <c r="N145" s="5" t="s">
        <v>94</v>
      </c>
    </row>
    <row r="146" spans="1:15" s="5" customFormat="1" x14ac:dyDescent="0.2">
      <c r="A146" s="18" t="s">
        <v>1028</v>
      </c>
      <c r="B146" s="5">
        <v>41</v>
      </c>
      <c r="C146" s="5" t="s">
        <v>44</v>
      </c>
      <c r="D146" s="5" t="s">
        <v>1088</v>
      </c>
      <c r="N146" s="5" t="s">
        <v>94</v>
      </c>
    </row>
    <row r="147" spans="1:15" s="5" customFormat="1" x14ac:dyDescent="0.2">
      <c r="A147" s="18" t="s">
        <v>1028</v>
      </c>
      <c r="B147" s="5">
        <v>42</v>
      </c>
      <c r="C147" s="5" t="s">
        <v>46</v>
      </c>
      <c r="F147" s="5" t="s">
        <v>445</v>
      </c>
      <c r="G147" s="5" t="s">
        <v>1500</v>
      </c>
      <c r="H147" s="5" t="s">
        <v>1495</v>
      </c>
      <c r="L147" s="5" t="str">
        <f t="shared" si="26"/>
        <v>01_Textgattung/03_Hymnus/02_rDj.t-jAw/02_jAw/0030_jAw_NR_01.png</v>
      </c>
      <c r="N147" s="5" t="s">
        <v>94</v>
      </c>
    </row>
    <row r="148" spans="1:15" s="5" customFormat="1" x14ac:dyDescent="0.2">
      <c r="A148" s="18" t="s">
        <v>1028</v>
      </c>
      <c r="B148" s="5">
        <v>43</v>
      </c>
      <c r="C148" s="5" t="s">
        <v>44</v>
      </c>
      <c r="D148" s="5" t="s">
        <v>1087</v>
      </c>
      <c r="N148" s="5" t="s">
        <v>94</v>
      </c>
    </row>
    <row r="149" spans="1:15" s="5" customFormat="1" x14ac:dyDescent="0.2">
      <c r="A149" s="18" t="s">
        <v>1028</v>
      </c>
      <c r="B149" s="5">
        <v>44</v>
      </c>
      <c r="C149" s="5" t="s">
        <v>46</v>
      </c>
      <c r="F149" s="5" t="s">
        <v>445</v>
      </c>
      <c r="G149" s="5" t="s">
        <v>1500</v>
      </c>
      <c r="H149" s="5" t="s">
        <v>1496</v>
      </c>
      <c r="L149" s="5" t="str">
        <f t="shared" si="26"/>
        <v>01_Textgattung/03_Hymnus/02_rDj.t-jAw/02_jAw/0040_jAw_D.18_01.png</v>
      </c>
      <c r="N149" s="5" t="s">
        <v>94</v>
      </c>
    </row>
    <row r="150" spans="1:15" s="5" customFormat="1" x14ac:dyDescent="0.2">
      <c r="A150" s="18" t="s">
        <v>1028</v>
      </c>
      <c r="B150" s="5">
        <v>45</v>
      </c>
      <c r="C150" s="5" t="s">
        <v>44</v>
      </c>
      <c r="D150" s="5" t="s">
        <v>1370</v>
      </c>
      <c r="N150" s="5" t="s">
        <v>94</v>
      </c>
    </row>
    <row r="151" spans="1:15" s="5" customFormat="1" x14ac:dyDescent="0.2">
      <c r="A151" s="18" t="s">
        <v>1028</v>
      </c>
      <c r="B151" s="5">
        <v>46</v>
      </c>
      <c r="C151" s="5" t="s">
        <v>46</v>
      </c>
      <c r="F151" s="5" t="s">
        <v>445</v>
      </c>
      <c r="G151" s="5" t="s">
        <v>1500</v>
      </c>
      <c r="H151" s="5" t="s">
        <v>1497</v>
      </c>
      <c r="L151" s="5" t="str">
        <f t="shared" si="26"/>
        <v>01_Textgattung/03_Hymnus/02_rDj.t-jAw/02_jAw/0050_jAw_Gr_01.png</v>
      </c>
      <c r="N151" s="5" t="s">
        <v>94</v>
      </c>
    </row>
    <row r="152" spans="1:15" s="5" customFormat="1" x14ac:dyDescent="0.2">
      <c r="A152" s="18" t="s">
        <v>1028</v>
      </c>
      <c r="B152" s="5">
        <v>47</v>
      </c>
      <c r="C152" s="5" t="s">
        <v>44</v>
      </c>
      <c r="D152" s="5" t="s">
        <v>1089</v>
      </c>
      <c r="N152" s="5" t="s">
        <v>94</v>
      </c>
    </row>
    <row r="153" spans="1:15" s="5" customFormat="1" x14ac:dyDescent="0.2">
      <c r="A153" s="18" t="s">
        <v>1028</v>
      </c>
      <c r="B153" s="5">
        <v>48</v>
      </c>
      <c r="C153" s="5" t="s">
        <v>46</v>
      </c>
      <c r="F153" s="5" t="s">
        <v>445</v>
      </c>
      <c r="G153" s="5" t="s">
        <v>1500</v>
      </c>
      <c r="H153" s="5" t="s">
        <v>1498</v>
      </c>
      <c r="L153" s="5" t="str">
        <f t="shared" si="26"/>
        <v>01_Textgattung/03_Hymnus/02_rDj.t-jAw/02_jAw/0060_jAw_Gr_02.png</v>
      </c>
      <c r="N153" s="5" t="s">
        <v>94</v>
      </c>
    </row>
    <row r="154" spans="1:15" s="5" customFormat="1" x14ac:dyDescent="0.2">
      <c r="A154" s="18" t="s">
        <v>1028</v>
      </c>
      <c r="B154" s="5">
        <v>49</v>
      </c>
      <c r="C154" s="5" t="s">
        <v>44</v>
      </c>
      <c r="D154" s="5" t="s">
        <v>1089</v>
      </c>
      <c r="N154" s="5" t="s">
        <v>94</v>
      </c>
    </row>
    <row r="155" spans="1:15" s="5" customFormat="1" x14ac:dyDescent="0.2">
      <c r="A155" s="18" t="s">
        <v>1028</v>
      </c>
      <c r="B155" s="5">
        <v>50</v>
      </c>
      <c r="C155" s="5" t="s">
        <v>46</v>
      </c>
      <c r="F155" s="5" t="s">
        <v>445</v>
      </c>
      <c r="G155" s="5" t="s">
        <v>1500</v>
      </c>
      <c r="H155" s="5" t="s">
        <v>1499</v>
      </c>
      <c r="L155" s="5" t="str">
        <f t="shared" si="26"/>
        <v>01_Textgattung/03_Hymnus/02_rDj.t-jAw/02_jAw/0070_jAw_Abk_01.png</v>
      </c>
      <c r="N155" s="5" t="s">
        <v>94</v>
      </c>
    </row>
    <row r="156" spans="1:15" s="5" customFormat="1" x14ac:dyDescent="0.2">
      <c r="A156" s="18" t="s">
        <v>1028</v>
      </c>
      <c r="B156" s="5">
        <v>51</v>
      </c>
      <c r="C156" s="5" t="s">
        <v>44</v>
      </c>
      <c r="D156" s="5" t="s">
        <v>1501</v>
      </c>
      <c r="N156" s="5" t="s">
        <v>94</v>
      </c>
    </row>
    <row r="157" spans="1:15" s="5" customFormat="1" x14ac:dyDescent="0.2">
      <c r="A157" s="18" t="s">
        <v>1028</v>
      </c>
      <c r="B157" s="5">
        <v>52</v>
      </c>
      <c r="C157" s="5" t="s">
        <v>16</v>
      </c>
      <c r="D157" s="5" t="s">
        <v>1503</v>
      </c>
      <c r="N157" s="5" t="s">
        <v>1352</v>
      </c>
      <c r="O157" s="5">
        <v>888530</v>
      </c>
    </row>
    <row r="158" spans="1:15" s="5" customFormat="1" x14ac:dyDescent="0.2">
      <c r="A158" s="18" t="s">
        <v>1028</v>
      </c>
      <c r="B158" s="5">
        <v>53</v>
      </c>
      <c r="C158" s="5" t="s">
        <v>46</v>
      </c>
      <c r="F158" s="5" t="s">
        <v>445</v>
      </c>
      <c r="G158" s="5" t="s">
        <v>364</v>
      </c>
      <c r="H158" s="5" t="s">
        <v>1504</v>
      </c>
      <c r="L158" s="5" t="str">
        <f t="shared" si="19"/>
        <v>01_Textgattung/03_Hymnus/03_sn-tA-n/0010_sn-tA_01.png</v>
      </c>
      <c r="N158" s="5" t="s">
        <v>1352</v>
      </c>
    </row>
    <row r="159" spans="1:15" s="5" customFormat="1" x14ac:dyDescent="0.2">
      <c r="A159" s="18" t="s">
        <v>1028</v>
      </c>
      <c r="B159" s="5">
        <v>54</v>
      </c>
      <c r="C159" s="5" t="s">
        <v>46</v>
      </c>
      <c r="F159" s="5" t="s">
        <v>445</v>
      </c>
      <c r="G159" s="5" t="s">
        <v>364</v>
      </c>
      <c r="H159" s="5" t="s">
        <v>1505</v>
      </c>
      <c r="L159" s="5" t="str">
        <f t="shared" ref="L159" si="27">_xlfn.TEXTJOIN("", TRUE, E159:K159)</f>
        <v>01_Textgattung/03_Hymnus/03_sn-tA-n/0020_sn-tA_NR_01.png</v>
      </c>
      <c r="N159" s="5" t="s">
        <v>1352</v>
      </c>
    </row>
    <row r="160" spans="1:15" s="5" customFormat="1" x14ac:dyDescent="0.2">
      <c r="A160" s="18" t="s">
        <v>1028</v>
      </c>
      <c r="B160" s="5">
        <v>55</v>
      </c>
      <c r="C160" s="5" t="s">
        <v>44</v>
      </c>
      <c r="D160" s="5" t="s">
        <v>1087</v>
      </c>
      <c r="N160" s="5" t="s">
        <v>1352</v>
      </c>
    </row>
    <row r="161" spans="1:15" s="5" customFormat="1" x14ac:dyDescent="0.2">
      <c r="A161" s="18" t="s">
        <v>1028</v>
      </c>
      <c r="B161" s="5">
        <v>56</v>
      </c>
      <c r="C161" s="5" t="s">
        <v>46</v>
      </c>
      <c r="F161" s="5" t="s">
        <v>445</v>
      </c>
      <c r="G161" s="5" t="s">
        <v>364</v>
      </c>
      <c r="H161" s="5" t="s">
        <v>1506</v>
      </c>
      <c r="L161" s="5" t="str">
        <f t="shared" ref="L161" si="28">_xlfn.TEXTJOIN("", TRUE, E161:K161)</f>
        <v>01_Textgattung/03_Hymnus/03_sn-tA-n/0030_sn-tA_NR_02.png</v>
      </c>
      <c r="N161" s="5" t="s">
        <v>1352</v>
      </c>
    </row>
    <row r="162" spans="1:15" s="5" customFormat="1" x14ac:dyDescent="0.2">
      <c r="A162" s="18" t="s">
        <v>1028</v>
      </c>
      <c r="B162" s="5">
        <v>57</v>
      </c>
      <c r="C162" s="5" t="s">
        <v>44</v>
      </c>
      <c r="D162" s="5" t="s">
        <v>1087</v>
      </c>
      <c r="N162" s="5" t="s">
        <v>1352</v>
      </c>
    </row>
    <row r="163" spans="1:15" s="5" customFormat="1" x14ac:dyDescent="0.2">
      <c r="A163" s="18" t="s">
        <v>1028</v>
      </c>
      <c r="B163" s="5">
        <v>58</v>
      </c>
      <c r="C163" s="5" t="s">
        <v>46</v>
      </c>
      <c r="F163" s="5" t="s">
        <v>445</v>
      </c>
      <c r="G163" s="5" t="s">
        <v>364</v>
      </c>
      <c r="H163" s="5" t="s">
        <v>1507</v>
      </c>
      <c r="L163" s="5" t="str">
        <f t="shared" ref="L163" si="29">_xlfn.TEXTJOIN("", TRUE, E163:K163)</f>
        <v>01_Textgattung/03_Hymnus/03_sn-tA-n/0040_sn-tA_NR_03.png</v>
      </c>
      <c r="N163" s="5" t="s">
        <v>1352</v>
      </c>
    </row>
    <row r="164" spans="1:15" s="5" customFormat="1" x14ac:dyDescent="0.2">
      <c r="A164" s="18" t="s">
        <v>1028</v>
      </c>
      <c r="B164" s="5">
        <v>59</v>
      </c>
      <c r="C164" s="5" t="s">
        <v>44</v>
      </c>
      <c r="D164" s="5" t="s">
        <v>1087</v>
      </c>
      <c r="N164" s="5" t="s">
        <v>1352</v>
      </c>
    </row>
    <row r="165" spans="1:15" s="5" customFormat="1" x14ac:dyDescent="0.2">
      <c r="A165" s="18" t="s">
        <v>1028</v>
      </c>
      <c r="B165" s="5">
        <v>60</v>
      </c>
      <c r="C165" s="5" t="s">
        <v>46</v>
      </c>
      <c r="F165" s="5" t="s">
        <v>445</v>
      </c>
      <c r="G165" s="5" t="s">
        <v>364</v>
      </c>
      <c r="H165" s="5" t="s">
        <v>1508</v>
      </c>
      <c r="L165" s="5" t="str">
        <f>_xlfn.TEXTJOIN("", TRUE, E165:K165)</f>
        <v>01_Textgattung/03_Hymnus/03_sn-tA-n/0050_sn-tA_D.18_01.png</v>
      </c>
      <c r="N165" s="5" t="s">
        <v>1352</v>
      </c>
    </row>
    <row r="166" spans="1:15" s="5" customFormat="1" x14ac:dyDescent="0.2">
      <c r="A166" s="18" t="s">
        <v>1028</v>
      </c>
      <c r="B166" s="5">
        <v>61</v>
      </c>
      <c r="C166" s="5" t="s">
        <v>44</v>
      </c>
      <c r="D166" s="5" t="s">
        <v>1370</v>
      </c>
      <c r="N166" s="5" t="s">
        <v>1352</v>
      </c>
    </row>
    <row r="167" spans="1:15" s="5" customFormat="1" x14ac:dyDescent="0.2">
      <c r="A167" s="18" t="s">
        <v>1028</v>
      </c>
      <c r="B167" s="5">
        <v>62</v>
      </c>
      <c r="C167" s="5" t="s">
        <v>46</v>
      </c>
      <c r="F167" s="5" t="s">
        <v>445</v>
      </c>
      <c r="G167" s="5" t="s">
        <v>364</v>
      </c>
      <c r="H167" s="5" t="s">
        <v>1509</v>
      </c>
      <c r="L167" s="5" t="str">
        <f>_xlfn.TEXTJOIN("", TRUE, E167:K167)</f>
        <v>01_Textgattung/03_Hymnus/03_sn-tA-n/0060_sn-tA_Abk-MR-NR_01.png</v>
      </c>
      <c r="N167" s="5" t="s">
        <v>1352</v>
      </c>
    </row>
    <row r="168" spans="1:15" s="5" customFormat="1" x14ac:dyDescent="0.2">
      <c r="A168" s="18" t="s">
        <v>1028</v>
      </c>
      <c r="B168" s="5">
        <v>63</v>
      </c>
      <c r="C168" s="5" t="s">
        <v>44</v>
      </c>
      <c r="D168" s="5" t="s">
        <v>1511</v>
      </c>
      <c r="N168" s="5" t="s">
        <v>1352</v>
      </c>
    </row>
    <row r="169" spans="1:15" s="5" customFormat="1" x14ac:dyDescent="0.2">
      <c r="A169" s="18" t="s">
        <v>1028</v>
      </c>
      <c r="B169" s="5">
        <v>64</v>
      </c>
      <c r="C169" s="5" t="s">
        <v>46</v>
      </c>
      <c r="F169" s="5" t="s">
        <v>445</v>
      </c>
      <c r="G169" s="5" t="s">
        <v>364</v>
      </c>
      <c r="H169" s="5" t="s">
        <v>1510</v>
      </c>
      <c r="L169" s="5" t="str">
        <f>_xlfn.TEXTJOIN("", TRUE, E169:K169)</f>
        <v>01_Textgattung/03_Hymnus/03_sn-tA-n/0070_sn-tA_Abk-Gr_01.png</v>
      </c>
      <c r="N169" s="5" t="s">
        <v>1352</v>
      </c>
    </row>
    <row r="170" spans="1:15" s="5" customFormat="1" x14ac:dyDescent="0.2">
      <c r="A170" s="18" t="s">
        <v>1028</v>
      </c>
      <c r="B170" s="5">
        <v>65</v>
      </c>
      <c r="C170" s="5" t="s">
        <v>44</v>
      </c>
      <c r="D170" s="5" t="s">
        <v>1512</v>
      </c>
      <c r="N170" s="5" t="s">
        <v>1352</v>
      </c>
    </row>
    <row r="171" spans="1:15" s="5" customFormat="1" x14ac:dyDescent="0.2">
      <c r="A171" s="18" t="s">
        <v>1028</v>
      </c>
      <c r="B171" s="5">
        <v>66</v>
      </c>
      <c r="C171" s="5" t="s">
        <v>90</v>
      </c>
      <c r="N171" s="5" t="s">
        <v>1352</v>
      </c>
    </row>
    <row r="172" spans="1:15" s="5" customFormat="1" x14ac:dyDescent="0.2">
      <c r="A172" s="18"/>
    </row>
    <row r="173" spans="1:15" s="5" customFormat="1" x14ac:dyDescent="0.2">
      <c r="A173" s="18" t="s">
        <v>1030</v>
      </c>
      <c r="B173" s="5">
        <v>1</v>
      </c>
      <c r="C173" s="5" t="s">
        <v>16</v>
      </c>
      <c r="D173" s="5" t="s">
        <v>367</v>
      </c>
      <c r="N173" s="5" t="s">
        <v>91</v>
      </c>
      <c r="O173" s="5">
        <v>26660</v>
      </c>
    </row>
    <row r="174" spans="1:15" s="5" customFormat="1" x14ac:dyDescent="0.2">
      <c r="A174" s="18" t="s">
        <v>1030</v>
      </c>
      <c r="B174" s="5">
        <v>2</v>
      </c>
      <c r="C174" s="5" t="s">
        <v>46</v>
      </c>
      <c r="F174" s="5" t="s">
        <v>445</v>
      </c>
      <c r="G174" s="5" t="s">
        <v>368</v>
      </c>
      <c r="H174" s="5" t="s">
        <v>1033</v>
      </c>
      <c r="L174" s="5" t="str">
        <f t="shared" ref="L174:L175" si="30">_xlfn.TEXTJOIN("", TRUE, E174:K174)</f>
        <v>01_Textgattung/03_Hymnus/04_jn/0001_jn_01.png</v>
      </c>
      <c r="N174" s="5" t="s">
        <v>91</v>
      </c>
    </row>
    <row r="175" spans="1:15" s="5" customFormat="1" x14ac:dyDescent="0.2">
      <c r="A175" s="18" t="s">
        <v>1030</v>
      </c>
      <c r="B175" s="5">
        <v>3</v>
      </c>
      <c r="C175" s="5" t="s">
        <v>46</v>
      </c>
      <c r="F175" s="5" t="s">
        <v>445</v>
      </c>
      <c r="G175" s="5" t="s">
        <v>368</v>
      </c>
      <c r="H175" s="5" t="s">
        <v>1462</v>
      </c>
      <c r="L175" s="5" t="str">
        <f t="shared" si="30"/>
        <v>01_Textgattung/03_Hymnus/04_jn/0010_jn_01.png</v>
      </c>
      <c r="N175" s="5" t="s">
        <v>91</v>
      </c>
    </row>
    <row r="176" spans="1:15" s="5" customFormat="1" x14ac:dyDescent="0.2">
      <c r="A176" s="18" t="s">
        <v>1030</v>
      </c>
      <c r="B176" s="5">
        <v>4</v>
      </c>
      <c r="C176" s="5" t="s">
        <v>46</v>
      </c>
      <c r="F176" s="5" t="s">
        <v>445</v>
      </c>
      <c r="G176" s="5" t="s">
        <v>368</v>
      </c>
      <c r="H176" s="5" t="s">
        <v>1463</v>
      </c>
      <c r="L176" s="5" t="str">
        <f t="shared" ref="L176:L180" si="31">_xlfn.TEXTJOIN("", TRUE, E176:K176)</f>
        <v>01_Textgattung/03_Hymnus/04_jn/0020_jn_AR_01.png</v>
      </c>
      <c r="N176" s="5" t="s">
        <v>91</v>
      </c>
    </row>
    <row r="177" spans="1:15" s="5" customFormat="1" x14ac:dyDescent="0.2">
      <c r="A177" s="18" t="s">
        <v>1030</v>
      </c>
      <c r="B177" s="5">
        <v>5</v>
      </c>
      <c r="C177" s="5" t="s">
        <v>44</v>
      </c>
      <c r="D177" s="5" t="s">
        <v>1088</v>
      </c>
      <c r="N177" s="5" t="s">
        <v>91</v>
      </c>
    </row>
    <row r="178" spans="1:15" s="5" customFormat="1" x14ac:dyDescent="0.2">
      <c r="A178" s="18" t="s">
        <v>1030</v>
      </c>
      <c r="B178" s="5">
        <v>6</v>
      </c>
      <c r="C178" s="5" t="s">
        <v>46</v>
      </c>
      <c r="F178" s="5" t="s">
        <v>445</v>
      </c>
      <c r="G178" s="5" t="s">
        <v>368</v>
      </c>
      <c r="H178" s="5" t="s">
        <v>1464</v>
      </c>
      <c r="L178" s="5" t="str">
        <f t="shared" ref="L178" si="32">_xlfn.TEXTJOIN("", TRUE, E178:K178)</f>
        <v>01_Textgattung/03_Hymnus/04_jn/0030_jn_AR_02.png</v>
      </c>
      <c r="N178" s="5" t="s">
        <v>91</v>
      </c>
    </row>
    <row r="179" spans="1:15" s="5" customFormat="1" x14ac:dyDescent="0.2">
      <c r="A179" s="18" t="s">
        <v>1030</v>
      </c>
      <c r="B179" s="5">
        <v>7</v>
      </c>
      <c r="C179" s="5" t="s">
        <v>44</v>
      </c>
      <c r="D179" s="5" t="s">
        <v>1088</v>
      </c>
      <c r="N179" s="5" t="s">
        <v>91</v>
      </c>
    </row>
    <row r="180" spans="1:15" s="5" customFormat="1" x14ac:dyDescent="0.2">
      <c r="A180" s="18" t="s">
        <v>1030</v>
      </c>
      <c r="B180" s="5">
        <v>8</v>
      </c>
      <c r="C180" s="5" t="s">
        <v>46</v>
      </c>
      <c r="F180" s="5" t="s">
        <v>445</v>
      </c>
      <c r="G180" s="5" t="s">
        <v>368</v>
      </c>
      <c r="H180" s="5" t="s">
        <v>1461</v>
      </c>
      <c r="L180" s="5" t="str">
        <f t="shared" si="31"/>
        <v>01_Textgattung/03_Hymnus/04_jn/0040_jn_NR_01.png</v>
      </c>
      <c r="N180" s="5" t="s">
        <v>91</v>
      </c>
    </row>
    <row r="181" spans="1:15" s="5" customFormat="1" x14ac:dyDescent="0.2">
      <c r="A181" s="18" t="s">
        <v>1030</v>
      </c>
      <c r="B181" s="5">
        <v>9</v>
      </c>
      <c r="C181" s="5" t="s">
        <v>44</v>
      </c>
      <c r="D181" s="5" t="s">
        <v>1087</v>
      </c>
      <c r="N181" s="5" t="s">
        <v>91</v>
      </c>
    </row>
    <row r="182" spans="1:15" s="5" customFormat="1" x14ac:dyDescent="0.2">
      <c r="A182" s="18" t="s">
        <v>1030</v>
      </c>
      <c r="B182" s="5">
        <v>10</v>
      </c>
      <c r="C182" s="5" t="s">
        <v>16</v>
      </c>
      <c r="D182" s="44" t="s">
        <v>1454</v>
      </c>
      <c r="N182" s="5" t="s">
        <v>92</v>
      </c>
      <c r="O182" s="5">
        <v>185810</v>
      </c>
    </row>
    <row r="183" spans="1:15" s="5" customFormat="1" x14ac:dyDescent="0.2">
      <c r="A183" s="18" t="s">
        <v>1030</v>
      </c>
      <c r="B183" s="5">
        <v>11</v>
      </c>
      <c r="C183" s="5" t="s">
        <v>46</v>
      </c>
      <c r="F183" s="5" t="s">
        <v>445</v>
      </c>
      <c r="G183" s="5" t="s">
        <v>371</v>
      </c>
      <c r="H183" s="5" t="s">
        <v>1455</v>
      </c>
      <c r="L183" s="5" t="str">
        <f t="shared" ref="L183:L186" si="33">_xlfn.TEXTJOIN("", TRUE, E183:K183)</f>
        <v>01_Textgattung/03_Hymnus/05_Dd=f/0010_Dd_01.png</v>
      </c>
      <c r="N183" s="5" t="s">
        <v>92</v>
      </c>
    </row>
    <row r="184" spans="1:15" s="5" customFormat="1" x14ac:dyDescent="0.2">
      <c r="A184" s="18" t="s">
        <v>1030</v>
      </c>
      <c r="B184" s="5">
        <v>12</v>
      </c>
      <c r="C184" s="5" t="s">
        <v>46</v>
      </c>
      <c r="F184" s="5" t="s">
        <v>445</v>
      </c>
      <c r="G184" s="5" t="s">
        <v>371</v>
      </c>
      <c r="H184" s="5" t="s">
        <v>1456</v>
      </c>
      <c r="L184" s="5" t="str">
        <f t="shared" si="33"/>
        <v>01_Textgattung/03_Hymnus/05_Dd=f/0020_Dd_seitMR_01.png</v>
      </c>
      <c r="N184" s="5" t="s">
        <v>92</v>
      </c>
    </row>
    <row r="185" spans="1:15" s="5" customFormat="1" x14ac:dyDescent="0.2">
      <c r="A185" s="18" t="s">
        <v>1030</v>
      </c>
      <c r="B185" s="5">
        <v>13</v>
      </c>
      <c r="C185" s="5" t="s">
        <v>44</v>
      </c>
      <c r="D185" s="5" t="s">
        <v>1086</v>
      </c>
      <c r="N185" s="5" t="s">
        <v>92</v>
      </c>
    </row>
    <row r="186" spans="1:15" s="5" customFormat="1" x14ac:dyDescent="0.2">
      <c r="A186" s="18" t="s">
        <v>1030</v>
      </c>
      <c r="B186" s="5">
        <v>14</v>
      </c>
      <c r="C186" s="5" t="s">
        <v>46</v>
      </c>
      <c r="F186" s="5" t="s">
        <v>445</v>
      </c>
      <c r="G186" s="5" t="s">
        <v>371</v>
      </c>
      <c r="H186" s="5" t="s">
        <v>1457</v>
      </c>
      <c r="L186" s="5" t="str">
        <f t="shared" si="33"/>
        <v>01_Textgattung/03_Hymnus/05_Dd=f/0030_Dd_Sp_Gr_01.png</v>
      </c>
      <c r="N186" s="5" t="s">
        <v>92</v>
      </c>
    </row>
    <row r="187" spans="1:15" s="5" customFormat="1" x14ac:dyDescent="0.2">
      <c r="A187" s="18" t="s">
        <v>1030</v>
      </c>
      <c r="B187" s="5">
        <v>15</v>
      </c>
      <c r="C187" s="5" t="s">
        <v>44</v>
      </c>
      <c r="D187" s="5" t="s">
        <v>1460</v>
      </c>
      <c r="N187" s="5" t="s">
        <v>92</v>
      </c>
    </row>
    <row r="188" spans="1:15" s="5" customFormat="1" x14ac:dyDescent="0.2">
      <c r="A188" s="18" t="s">
        <v>1030</v>
      </c>
      <c r="B188" s="5">
        <v>16</v>
      </c>
      <c r="C188" s="5" t="s">
        <v>46</v>
      </c>
      <c r="F188" s="5" t="s">
        <v>445</v>
      </c>
      <c r="G188" s="5" t="s">
        <v>371</v>
      </c>
      <c r="H188" s="5" t="s">
        <v>1458</v>
      </c>
      <c r="L188" s="5" t="str">
        <f t="shared" ref="L188" si="34">_xlfn.TEXTJOIN("", TRUE, E188:K188)</f>
        <v>01_Textgattung/03_Hymnus/05_Dd=f/0040_Dd_Gr_01.png</v>
      </c>
      <c r="N188" s="5" t="s">
        <v>92</v>
      </c>
    </row>
    <row r="189" spans="1:15" s="5" customFormat="1" x14ac:dyDescent="0.2">
      <c r="A189" s="18" t="s">
        <v>1030</v>
      </c>
      <c r="B189" s="5">
        <v>17</v>
      </c>
      <c r="C189" s="5" t="s">
        <v>44</v>
      </c>
      <c r="D189" s="5" t="s">
        <v>1089</v>
      </c>
      <c r="N189" s="5" t="s">
        <v>92</v>
      </c>
    </row>
    <row r="190" spans="1:15" s="5" customFormat="1" x14ac:dyDescent="0.2">
      <c r="A190" s="18" t="s">
        <v>1030</v>
      </c>
      <c r="B190" s="5">
        <v>18</v>
      </c>
      <c r="C190" s="5" t="s">
        <v>46</v>
      </c>
      <c r="F190" s="5" t="s">
        <v>445</v>
      </c>
      <c r="G190" s="5" t="s">
        <v>371</v>
      </c>
      <c r="H190" s="5" t="s">
        <v>1459</v>
      </c>
      <c r="L190" s="5" t="str">
        <f t="shared" ref="L190" si="35">_xlfn.TEXTJOIN("", TRUE, E190:K190)</f>
        <v>01_Textgattung/03_Hymnus/05_Dd=f/0050_Dd_Gr_02.png</v>
      </c>
      <c r="N190" s="5" t="s">
        <v>92</v>
      </c>
    </row>
    <row r="191" spans="1:15" s="5" customFormat="1" x14ac:dyDescent="0.2">
      <c r="A191" s="18" t="s">
        <v>1030</v>
      </c>
      <c r="B191" s="5">
        <v>19</v>
      </c>
      <c r="C191" s="5" t="s">
        <v>44</v>
      </c>
      <c r="D191" s="5" t="s">
        <v>1089</v>
      </c>
      <c r="N191" s="5" t="s">
        <v>92</v>
      </c>
    </row>
    <row r="192" spans="1:15" s="5" customFormat="1" x14ac:dyDescent="0.2">
      <c r="A192" s="18" t="s">
        <v>1030</v>
      </c>
      <c r="B192" s="5">
        <v>20</v>
      </c>
      <c r="C192" s="5" t="s">
        <v>90</v>
      </c>
      <c r="N192" s="5" t="s">
        <v>92</v>
      </c>
    </row>
    <row r="193" spans="1:15" s="5" customFormat="1" x14ac:dyDescent="0.2">
      <c r="A193" s="18"/>
    </row>
    <row r="194" spans="1:15" s="5" customFormat="1" x14ac:dyDescent="0.2">
      <c r="A194" s="18" t="s">
        <v>1029</v>
      </c>
      <c r="B194" s="5">
        <v>1</v>
      </c>
      <c r="C194" s="5" t="s">
        <v>16</v>
      </c>
      <c r="D194" s="5" t="s">
        <v>1034</v>
      </c>
      <c r="N194" s="5" t="s">
        <v>91</v>
      </c>
      <c r="O194" s="5">
        <v>91190</v>
      </c>
    </row>
    <row r="195" spans="1:15" s="5" customFormat="1" x14ac:dyDescent="0.2">
      <c r="A195" s="18" t="s">
        <v>1029</v>
      </c>
      <c r="B195" s="5">
        <v>2</v>
      </c>
      <c r="C195" s="5" t="s">
        <v>46</v>
      </c>
      <c r="F195" s="5" t="s">
        <v>445</v>
      </c>
      <c r="G195" s="5" t="s">
        <v>373</v>
      </c>
      <c r="H195" s="5" t="s">
        <v>1465</v>
      </c>
      <c r="L195" s="5" t="str">
        <f t="shared" ref="L195" si="36">_xlfn.TEXTJOIN("", TRUE, E195:K195)</f>
        <v>01_Textgattung/03_Hymnus/06_jnD-Hr/0001_jnD-Hr_01.png</v>
      </c>
      <c r="N195" s="5" t="s">
        <v>91</v>
      </c>
    </row>
    <row r="196" spans="1:15" s="5" customFormat="1" x14ac:dyDescent="0.2">
      <c r="A196" s="18" t="s">
        <v>1029</v>
      </c>
      <c r="B196" s="5">
        <v>3</v>
      </c>
      <c r="C196" s="5" t="s">
        <v>46</v>
      </c>
      <c r="F196" s="5" t="s">
        <v>445</v>
      </c>
      <c r="G196" s="5" t="s">
        <v>373</v>
      </c>
      <c r="H196" s="5" t="s">
        <v>1466</v>
      </c>
      <c r="L196" s="5" t="str">
        <f t="shared" ref="L196:L210" si="37">_xlfn.TEXTJOIN("", TRUE, E196:K196)</f>
        <v>01_Textgattung/03_Hymnus/06_jnD-Hr/0010_jnD-Hr_01.png</v>
      </c>
      <c r="N196" s="5" t="s">
        <v>91</v>
      </c>
    </row>
    <row r="197" spans="1:15" s="5" customFormat="1" x14ac:dyDescent="0.2">
      <c r="A197" s="18" t="s">
        <v>1029</v>
      </c>
      <c r="B197" s="5">
        <v>4</v>
      </c>
      <c r="C197" s="5" t="s">
        <v>46</v>
      </c>
      <c r="F197" s="5" t="s">
        <v>445</v>
      </c>
      <c r="G197" s="5" t="s">
        <v>373</v>
      </c>
      <c r="H197" s="5" t="s">
        <v>1467</v>
      </c>
      <c r="L197" s="5" t="str">
        <f t="shared" si="37"/>
        <v>01_Textgattung/03_Hymnus/06_jnD-Hr/0020_jnD-Hr_02.png</v>
      </c>
      <c r="N197" s="5" t="s">
        <v>91</v>
      </c>
    </row>
    <row r="198" spans="1:15" s="5" customFormat="1" x14ac:dyDescent="0.2">
      <c r="A198" s="18" t="s">
        <v>1029</v>
      </c>
      <c r="B198" s="5">
        <v>5</v>
      </c>
      <c r="C198" s="5" t="s">
        <v>46</v>
      </c>
      <c r="F198" s="5" t="s">
        <v>445</v>
      </c>
      <c r="G198" s="5" t="s">
        <v>373</v>
      </c>
      <c r="H198" s="5" t="s">
        <v>1468</v>
      </c>
      <c r="L198" s="5" t="str">
        <f t="shared" si="37"/>
        <v>01_Textgattung/03_Hymnus/06_jnD-Hr/0030_jnD-Hr_AR_01.png</v>
      </c>
      <c r="N198" s="5" t="s">
        <v>91</v>
      </c>
    </row>
    <row r="199" spans="1:15" s="5" customFormat="1" x14ac:dyDescent="0.2">
      <c r="A199" s="18" t="s">
        <v>1029</v>
      </c>
      <c r="B199" s="5">
        <v>6</v>
      </c>
      <c r="C199" s="5" t="s">
        <v>44</v>
      </c>
      <c r="D199" s="5" t="s">
        <v>1088</v>
      </c>
      <c r="N199" s="5" t="s">
        <v>91</v>
      </c>
    </row>
    <row r="200" spans="1:15" s="5" customFormat="1" x14ac:dyDescent="0.2">
      <c r="A200" s="18" t="s">
        <v>1029</v>
      </c>
      <c r="B200" s="5">
        <v>7</v>
      </c>
      <c r="C200" s="5" t="s">
        <v>46</v>
      </c>
      <c r="F200" s="5" t="s">
        <v>445</v>
      </c>
      <c r="G200" s="5" t="s">
        <v>373</v>
      </c>
      <c r="H200" s="5" t="s">
        <v>1469</v>
      </c>
      <c r="L200" s="5" t="str">
        <f t="shared" si="37"/>
        <v>01_Textgattung/03_Hymnus/06_jnD-Hr/0040_jnD-Hr_AR_MR_01.png</v>
      </c>
      <c r="N200" s="5" t="s">
        <v>91</v>
      </c>
    </row>
    <row r="201" spans="1:15" s="5" customFormat="1" x14ac:dyDescent="0.2">
      <c r="A201" s="18" t="s">
        <v>1029</v>
      </c>
      <c r="B201" s="5">
        <v>8</v>
      </c>
      <c r="C201" s="5" t="s">
        <v>44</v>
      </c>
      <c r="D201" s="5" t="s">
        <v>1083</v>
      </c>
      <c r="N201" s="5" t="s">
        <v>91</v>
      </c>
    </row>
    <row r="202" spans="1:15" s="5" customFormat="1" x14ac:dyDescent="0.2">
      <c r="A202" s="18" t="s">
        <v>1029</v>
      </c>
      <c r="B202" s="5">
        <v>9</v>
      </c>
      <c r="C202" s="5" t="s">
        <v>46</v>
      </c>
      <c r="F202" s="5" t="s">
        <v>445</v>
      </c>
      <c r="G202" s="5" t="s">
        <v>373</v>
      </c>
      <c r="H202" s="5" t="s">
        <v>1470</v>
      </c>
      <c r="L202" s="5" t="str">
        <f t="shared" si="37"/>
        <v>01_Textgattung/03_Hymnus/06_jnD-Hr/0050_jnD-Hr_AR_MR_02.png</v>
      </c>
      <c r="N202" s="5" t="s">
        <v>91</v>
      </c>
    </row>
    <row r="203" spans="1:15" s="5" customFormat="1" x14ac:dyDescent="0.2">
      <c r="A203" s="18" t="s">
        <v>1029</v>
      </c>
      <c r="B203" s="5">
        <v>10</v>
      </c>
      <c r="C203" s="5" t="s">
        <v>44</v>
      </c>
      <c r="D203" s="5" t="s">
        <v>1083</v>
      </c>
      <c r="N203" s="5" t="s">
        <v>91</v>
      </c>
    </row>
    <row r="204" spans="1:15" s="5" customFormat="1" x14ac:dyDescent="0.2">
      <c r="A204" s="18" t="s">
        <v>1029</v>
      </c>
      <c r="B204" s="5">
        <v>11</v>
      </c>
      <c r="C204" s="5" t="s">
        <v>46</v>
      </c>
      <c r="F204" s="5" t="s">
        <v>445</v>
      </c>
      <c r="G204" s="5" t="s">
        <v>373</v>
      </c>
      <c r="H204" s="5" t="s">
        <v>1471</v>
      </c>
      <c r="L204" s="5" t="str">
        <f t="shared" si="37"/>
        <v>01_Textgattung/03_Hymnus/06_jnD-Hr/0060_jnD-Hr_NR_01.png</v>
      </c>
      <c r="N204" s="5" t="s">
        <v>91</v>
      </c>
    </row>
    <row r="205" spans="1:15" s="5" customFormat="1" x14ac:dyDescent="0.2">
      <c r="A205" s="18" t="s">
        <v>1029</v>
      </c>
      <c r="B205" s="5">
        <v>12</v>
      </c>
      <c r="C205" s="5" t="s">
        <v>44</v>
      </c>
      <c r="D205" s="5" t="s">
        <v>1087</v>
      </c>
      <c r="N205" s="5" t="s">
        <v>91</v>
      </c>
    </row>
    <row r="206" spans="1:15" s="5" customFormat="1" x14ac:dyDescent="0.2">
      <c r="A206" s="18" t="s">
        <v>1029</v>
      </c>
      <c r="B206" s="5">
        <v>13</v>
      </c>
      <c r="C206" s="5" t="s">
        <v>46</v>
      </c>
      <c r="F206" s="5" t="s">
        <v>445</v>
      </c>
      <c r="G206" s="5" t="s">
        <v>373</v>
      </c>
      <c r="H206" s="5" t="s">
        <v>1472</v>
      </c>
      <c r="L206" s="5" t="str">
        <f t="shared" si="37"/>
        <v>01_Textgattung/03_Hymnus/06_jnD-Hr/0070_jnD-Hr_D18_01.png</v>
      </c>
      <c r="N206" s="5" t="s">
        <v>91</v>
      </c>
    </row>
    <row r="207" spans="1:15" s="5" customFormat="1" x14ac:dyDescent="0.2">
      <c r="A207" s="18" t="s">
        <v>1029</v>
      </c>
      <c r="B207" s="5">
        <v>14</v>
      </c>
      <c r="C207" s="5" t="s">
        <v>44</v>
      </c>
      <c r="D207" s="5" t="s">
        <v>1370</v>
      </c>
      <c r="N207" s="5" t="s">
        <v>91</v>
      </c>
    </row>
    <row r="208" spans="1:15" s="5" customFormat="1" x14ac:dyDescent="0.2">
      <c r="A208" s="18" t="s">
        <v>1029</v>
      </c>
      <c r="B208" s="5">
        <v>15</v>
      </c>
      <c r="C208" s="5" t="s">
        <v>46</v>
      </c>
      <c r="F208" s="5" t="s">
        <v>445</v>
      </c>
      <c r="G208" s="5" t="s">
        <v>373</v>
      </c>
      <c r="H208" s="5" t="s">
        <v>1473</v>
      </c>
      <c r="L208" s="5" t="str">
        <f t="shared" si="37"/>
        <v>01_Textgattung/03_Hymnus/06_jnD-Hr/0080_jnD-Hr_Gr_01.png</v>
      </c>
      <c r="N208" s="5" t="s">
        <v>91</v>
      </c>
    </row>
    <row r="209" spans="1:14" s="5" customFormat="1" x14ac:dyDescent="0.2">
      <c r="A209" s="18" t="s">
        <v>1029</v>
      </c>
      <c r="B209" s="5">
        <v>16</v>
      </c>
      <c r="C209" s="5" t="s">
        <v>44</v>
      </c>
      <c r="D209" s="5" t="s">
        <v>1089</v>
      </c>
      <c r="N209" s="5" t="s">
        <v>91</v>
      </c>
    </row>
    <row r="210" spans="1:14" s="5" customFormat="1" x14ac:dyDescent="0.2">
      <c r="A210" s="18" t="s">
        <v>1029</v>
      </c>
      <c r="B210" s="5">
        <v>17</v>
      </c>
      <c r="C210" s="5" t="s">
        <v>46</v>
      </c>
      <c r="F210" s="5" t="s">
        <v>445</v>
      </c>
      <c r="G210" s="5" t="s">
        <v>373</v>
      </c>
      <c r="H210" s="5" t="s">
        <v>1474</v>
      </c>
      <c r="L210" s="5" t="str">
        <f t="shared" si="37"/>
        <v>01_Textgattung/03_Hymnus/06_jnD-Hr/0090_jnD-Hr_Gr_02.png</v>
      </c>
      <c r="N210" s="5" t="s">
        <v>91</v>
      </c>
    </row>
    <row r="211" spans="1:14" s="5" customFormat="1" x14ac:dyDescent="0.2">
      <c r="A211" s="18" t="s">
        <v>1029</v>
      </c>
      <c r="B211" s="5">
        <v>18</v>
      </c>
      <c r="C211" s="5" t="s">
        <v>44</v>
      </c>
      <c r="D211" s="5" t="s">
        <v>1089</v>
      </c>
      <c r="N211" s="5" t="s">
        <v>91</v>
      </c>
    </row>
    <row r="212" spans="1:14" s="5" customFormat="1" x14ac:dyDescent="0.2">
      <c r="A212" s="18" t="s">
        <v>1029</v>
      </c>
      <c r="B212" s="5">
        <v>19</v>
      </c>
      <c r="C212" s="5" t="s">
        <v>90</v>
      </c>
      <c r="N212" s="5" t="s">
        <v>91</v>
      </c>
    </row>
    <row r="220" spans="1:14" s="6" customFormat="1" x14ac:dyDescent="0.2">
      <c r="A220" s="20" t="s">
        <v>443</v>
      </c>
      <c r="B220" s="6">
        <v>1</v>
      </c>
      <c r="C220" s="6" t="s">
        <v>45</v>
      </c>
      <c r="D220" s="6" t="s">
        <v>322</v>
      </c>
      <c r="M220" s="6" t="s">
        <v>323</v>
      </c>
      <c r="N220" s="6" t="s">
        <v>89</v>
      </c>
    </row>
    <row r="221" spans="1:14" s="6" customFormat="1" x14ac:dyDescent="0.2">
      <c r="A221" s="20" t="s">
        <v>443</v>
      </c>
      <c r="B221" s="6">
        <v>2</v>
      </c>
      <c r="C221" s="6" t="s">
        <v>45</v>
      </c>
      <c r="D221" s="6" t="s">
        <v>47</v>
      </c>
      <c r="M221" s="6" t="s">
        <v>96</v>
      </c>
      <c r="N221" s="6" t="s">
        <v>89</v>
      </c>
    </row>
    <row r="222" spans="1:14" s="6" customFormat="1" x14ac:dyDescent="0.2">
      <c r="A222" s="20" t="s">
        <v>443</v>
      </c>
      <c r="B222" s="6">
        <v>3</v>
      </c>
      <c r="C222" s="6" t="s">
        <v>46</v>
      </c>
      <c r="F222" s="6" t="s">
        <v>454</v>
      </c>
      <c r="G222" s="6" t="s">
        <v>447</v>
      </c>
      <c r="H222" s="6" t="s">
        <v>446</v>
      </c>
      <c r="I222" s="6" t="s">
        <v>111</v>
      </c>
      <c r="L222" s="6" t="str">
        <f t="shared" ref="L222" si="38">_xlfn.TEXTJOIN("", TRUE, E222:K222)</f>
        <v>01_Textgattung/04_Koenig-geliebt-von-Gottheit-Formel/01_mry/0001_mry_01.png</v>
      </c>
      <c r="N222" s="6" t="s">
        <v>89</v>
      </c>
    </row>
    <row r="223" spans="1:14" s="6" customFormat="1" x14ac:dyDescent="0.2">
      <c r="A223" s="20" t="s">
        <v>443</v>
      </c>
      <c r="B223" s="6">
        <v>4</v>
      </c>
      <c r="C223" s="6" t="s">
        <v>1666</v>
      </c>
      <c r="D223" s="6" t="s">
        <v>444</v>
      </c>
      <c r="N223" s="6" t="s">
        <v>89</v>
      </c>
    </row>
    <row r="224" spans="1:14" s="6" customFormat="1" x14ac:dyDescent="0.2">
      <c r="A224" s="20" t="s">
        <v>443</v>
      </c>
      <c r="B224" s="6">
        <v>5</v>
      </c>
      <c r="C224" s="6" t="s">
        <v>90</v>
      </c>
      <c r="N224" s="6" t="s">
        <v>89</v>
      </c>
    </row>
    <row r="225" spans="1:15" s="6" customFormat="1" x14ac:dyDescent="0.2">
      <c r="A225" s="20" t="s">
        <v>448</v>
      </c>
      <c r="B225" s="6">
        <v>6</v>
      </c>
      <c r="C225" s="6" t="s">
        <v>16</v>
      </c>
      <c r="D225" s="6" t="s">
        <v>444</v>
      </c>
      <c r="N225" s="6" t="s">
        <v>91</v>
      </c>
      <c r="O225" s="6">
        <v>72480</v>
      </c>
    </row>
    <row r="226" spans="1:15" s="6" customFormat="1" x14ac:dyDescent="0.2">
      <c r="A226" s="20" t="s">
        <v>448</v>
      </c>
      <c r="B226" s="6">
        <v>7</v>
      </c>
      <c r="C226" s="6" t="s">
        <v>46</v>
      </c>
      <c r="F226" s="6" t="s">
        <v>454</v>
      </c>
      <c r="G226" s="6" t="s">
        <v>447</v>
      </c>
      <c r="H226" s="6" t="s">
        <v>446</v>
      </c>
      <c r="I226" s="6" t="s">
        <v>111</v>
      </c>
      <c r="L226" s="6" t="str">
        <f t="shared" ref="L226" si="39">_xlfn.TEXTJOIN("", TRUE, E226:K226)</f>
        <v>01_Textgattung/04_Koenig-geliebt-von-Gottheit-Formel/01_mry/0001_mry_01.png</v>
      </c>
      <c r="N226" s="6" t="s">
        <v>91</v>
      </c>
    </row>
    <row r="227" spans="1:15" s="6" customFormat="1" x14ac:dyDescent="0.2">
      <c r="A227" s="20" t="s">
        <v>448</v>
      </c>
      <c r="B227" s="6">
        <v>8</v>
      </c>
      <c r="C227" s="6" t="s">
        <v>46</v>
      </c>
      <c r="F227" s="6" t="s">
        <v>454</v>
      </c>
      <c r="G227" s="6" t="s">
        <v>447</v>
      </c>
      <c r="H227" s="6" t="s">
        <v>449</v>
      </c>
      <c r="I227" s="6" t="s">
        <v>111</v>
      </c>
      <c r="L227" s="6" t="str">
        <f t="shared" ref="L227:L230" si="40">_xlfn.TEXTJOIN("", TRUE, E227:K227)</f>
        <v>01_Textgattung/04_Koenig-geliebt-von-Gottheit-Formel/01_mry/0010_mry_02.png</v>
      </c>
      <c r="N227" s="6" t="s">
        <v>91</v>
      </c>
    </row>
    <row r="228" spans="1:15" s="6" customFormat="1" x14ac:dyDescent="0.2">
      <c r="A228" s="20" t="s">
        <v>448</v>
      </c>
      <c r="B228" s="6">
        <v>9</v>
      </c>
      <c r="C228" s="6" t="s">
        <v>46</v>
      </c>
      <c r="F228" s="6" t="s">
        <v>454</v>
      </c>
      <c r="G228" s="6" t="s">
        <v>447</v>
      </c>
      <c r="H228" s="6" t="s">
        <v>450</v>
      </c>
      <c r="I228" s="6" t="s">
        <v>111</v>
      </c>
      <c r="L228" s="6" t="str">
        <f t="shared" si="40"/>
        <v>01_Textgattung/04_Koenig-geliebt-von-Gottheit-Formel/01_mry/0020_mry_03.png</v>
      </c>
      <c r="N228" s="6" t="s">
        <v>91</v>
      </c>
    </row>
    <row r="229" spans="1:15" s="6" customFormat="1" x14ac:dyDescent="0.2">
      <c r="A229" s="20" t="s">
        <v>448</v>
      </c>
      <c r="B229" s="6">
        <v>10</v>
      </c>
      <c r="C229" s="6" t="s">
        <v>46</v>
      </c>
      <c r="F229" s="6" t="s">
        <v>454</v>
      </c>
      <c r="G229" s="6" t="s">
        <v>447</v>
      </c>
      <c r="H229" s="6" t="s">
        <v>451</v>
      </c>
      <c r="I229" s="6" t="s">
        <v>111</v>
      </c>
      <c r="L229" s="6" t="str">
        <f t="shared" si="40"/>
        <v>01_Textgattung/04_Koenig-geliebt-von-Gottheit-Formel/01_mry/0030_mry_04.png</v>
      </c>
      <c r="N229" s="6" t="s">
        <v>91</v>
      </c>
    </row>
    <row r="230" spans="1:15" s="6" customFormat="1" x14ac:dyDescent="0.2">
      <c r="A230" s="20" t="s">
        <v>448</v>
      </c>
      <c r="B230" s="6">
        <v>11</v>
      </c>
      <c r="C230" s="6" t="s">
        <v>46</v>
      </c>
      <c r="F230" s="6" t="s">
        <v>454</v>
      </c>
      <c r="G230" s="6" t="s">
        <v>447</v>
      </c>
      <c r="H230" s="6" t="s">
        <v>452</v>
      </c>
      <c r="I230" s="6" t="s">
        <v>111</v>
      </c>
      <c r="L230" s="6" t="str">
        <f t="shared" si="40"/>
        <v>01_Textgattung/04_Koenig-geliebt-von-Gottheit-Formel/01_mry/0040_mry_05.png</v>
      </c>
      <c r="N230" s="6" t="s">
        <v>91</v>
      </c>
    </row>
    <row r="231" spans="1:15" s="6" customFormat="1" x14ac:dyDescent="0.2">
      <c r="A231" s="20" t="s">
        <v>448</v>
      </c>
      <c r="B231" s="6">
        <v>12</v>
      </c>
      <c r="C231" s="6" t="s">
        <v>46</v>
      </c>
      <c r="F231" s="6" t="s">
        <v>454</v>
      </c>
      <c r="G231" s="6" t="s">
        <v>447</v>
      </c>
      <c r="H231" s="6" t="s">
        <v>453</v>
      </c>
      <c r="I231" s="6" t="s">
        <v>111</v>
      </c>
      <c r="L231" s="6" t="str">
        <f t="shared" ref="L231" si="41">_xlfn.TEXTJOIN("", TRUE, E231:K231)</f>
        <v>01_Textgattung/04_Koenig-geliebt-von-Gottheit-Formel/01_mry/0050_mry_AR_02.png</v>
      </c>
      <c r="N231" s="6" t="s">
        <v>91</v>
      </c>
    </row>
    <row r="232" spans="1:15" s="6" customFormat="1" x14ac:dyDescent="0.2">
      <c r="A232" s="20" t="s">
        <v>448</v>
      </c>
      <c r="B232" s="6">
        <v>13</v>
      </c>
      <c r="C232" s="6" t="s">
        <v>44</v>
      </c>
      <c r="D232" s="6" t="s">
        <v>1088</v>
      </c>
      <c r="N232" s="6" t="s">
        <v>91</v>
      </c>
    </row>
    <row r="234" spans="1:15" s="7" customFormat="1" x14ac:dyDescent="0.2">
      <c r="A234" s="7" t="s">
        <v>456</v>
      </c>
      <c r="B234" s="7">
        <v>1</v>
      </c>
      <c r="C234" s="7" t="s">
        <v>45</v>
      </c>
      <c r="D234" s="7" t="s">
        <v>470</v>
      </c>
      <c r="M234" s="7" t="s">
        <v>458</v>
      </c>
      <c r="N234" s="7" t="s">
        <v>89</v>
      </c>
    </row>
    <row r="235" spans="1:15" s="7" customFormat="1" x14ac:dyDescent="0.2">
      <c r="A235" s="7" t="s">
        <v>456</v>
      </c>
      <c r="B235" s="7">
        <v>2</v>
      </c>
      <c r="C235" s="7" t="s">
        <v>46</v>
      </c>
      <c r="F235" s="7" t="s">
        <v>461</v>
      </c>
      <c r="G235" s="7" t="s">
        <v>462</v>
      </c>
      <c r="H235" s="7" t="s">
        <v>464</v>
      </c>
      <c r="I235" s="7" t="s">
        <v>111</v>
      </c>
      <c r="L235" s="7" t="str">
        <f t="shared" ref="L235" si="42">_xlfn.TEXTJOIN("", TRUE, E235:K235)</f>
        <v>01_Textgattung/05_Historische-Koenigsinschrift/01_xr-Hm-n/0001_xr Hm n_01.png</v>
      </c>
      <c r="N235" s="7" t="s">
        <v>89</v>
      </c>
    </row>
    <row r="236" spans="1:15" s="7" customFormat="1" x14ac:dyDescent="0.2">
      <c r="A236" s="7" t="s">
        <v>456</v>
      </c>
      <c r="B236" s="7">
        <v>3</v>
      </c>
      <c r="C236" s="7" t="s">
        <v>1666</v>
      </c>
      <c r="D236" s="7" t="s">
        <v>463</v>
      </c>
      <c r="N236" s="7" t="s">
        <v>89</v>
      </c>
    </row>
    <row r="237" spans="1:15" s="7" customFormat="1" x14ac:dyDescent="0.2">
      <c r="A237" s="7" t="s">
        <v>456</v>
      </c>
      <c r="B237" s="7">
        <v>4</v>
      </c>
      <c r="C237" s="7" t="s">
        <v>45</v>
      </c>
      <c r="D237" s="7" t="s">
        <v>322</v>
      </c>
      <c r="M237" s="7" t="s">
        <v>323</v>
      </c>
      <c r="N237" s="7" t="s">
        <v>89</v>
      </c>
    </row>
    <row r="238" spans="1:15" s="7" customFormat="1" x14ac:dyDescent="0.2">
      <c r="A238" s="7" t="s">
        <v>456</v>
      </c>
      <c r="B238" s="7">
        <v>5</v>
      </c>
      <c r="C238" s="7" t="s">
        <v>44</v>
      </c>
      <c r="D238" s="7" t="s">
        <v>1543</v>
      </c>
      <c r="N238" s="7" t="s">
        <v>89</v>
      </c>
    </row>
    <row r="239" spans="1:15" s="7" customFormat="1" x14ac:dyDescent="0.2">
      <c r="A239" s="7" t="s">
        <v>456</v>
      </c>
      <c r="B239" s="7">
        <v>6</v>
      </c>
      <c r="C239" s="7" t="s">
        <v>90</v>
      </c>
      <c r="N239" s="7" t="s">
        <v>89</v>
      </c>
    </row>
    <row r="240" spans="1:15" s="7" customFormat="1" x14ac:dyDescent="0.2">
      <c r="A240" s="7" t="s">
        <v>457</v>
      </c>
      <c r="B240" s="7">
        <v>7</v>
      </c>
      <c r="C240" s="7" t="s">
        <v>16</v>
      </c>
      <c r="D240" s="7" t="s">
        <v>466</v>
      </c>
      <c r="N240" s="7" t="s">
        <v>91</v>
      </c>
      <c r="O240" s="7" t="s">
        <v>1558</v>
      </c>
    </row>
    <row r="241" spans="1:15" s="7" customFormat="1" x14ac:dyDescent="0.2">
      <c r="A241" s="7" t="s">
        <v>457</v>
      </c>
      <c r="B241" s="7">
        <v>8</v>
      </c>
      <c r="C241" s="7" t="s">
        <v>46</v>
      </c>
      <c r="F241" s="7" t="s">
        <v>461</v>
      </c>
      <c r="G241" s="7" t="s">
        <v>462</v>
      </c>
      <c r="H241" s="7" t="s">
        <v>464</v>
      </c>
      <c r="I241" s="7" t="s">
        <v>111</v>
      </c>
      <c r="L241" s="7" t="str">
        <f t="shared" ref="L241" si="43">_xlfn.TEXTJOIN("", TRUE, E241:K241)</f>
        <v>01_Textgattung/05_Historische-Koenigsinschrift/01_xr-Hm-n/0001_xr Hm n_01.png</v>
      </c>
      <c r="N241" s="7" t="s">
        <v>91</v>
      </c>
    </row>
    <row r="242" spans="1:15" s="7" customFormat="1" x14ac:dyDescent="0.2">
      <c r="A242" s="7" t="s">
        <v>457</v>
      </c>
      <c r="B242" s="7">
        <v>9</v>
      </c>
      <c r="C242" s="7" t="s">
        <v>46</v>
      </c>
      <c r="F242" s="7" t="s">
        <v>461</v>
      </c>
      <c r="G242" s="7" t="s">
        <v>462</v>
      </c>
      <c r="H242" s="7" t="s">
        <v>467</v>
      </c>
      <c r="I242" s="7" t="s">
        <v>111</v>
      </c>
      <c r="L242" s="7" t="str">
        <f t="shared" ref="L242:L244" si="44">_xlfn.TEXTJOIN("", TRUE, E242:K242)</f>
        <v>01_Textgattung/05_Historische-Koenigsinschrift/01_xr-Hm-n/0010_xr Hm n_02.png</v>
      </c>
      <c r="N242" s="7" t="s">
        <v>91</v>
      </c>
    </row>
    <row r="243" spans="1:15" s="7" customFormat="1" x14ac:dyDescent="0.2">
      <c r="A243" s="7" t="s">
        <v>457</v>
      </c>
      <c r="B243" s="7">
        <v>10</v>
      </c>
      <c r="C243" s="7" t="s">
        <v>46</v>
      </c>
      <c r="F243" s="7" t="s">
        <v>461</v>
      </c>
      <c r="G243" s="7" t="s">
        <v>462</v>
      </c>
      <c r="H243" s="7" t="s">
        <v>468</v>
      </c>
      <c r="I243" s="7" t="s">
        <v>111</v>
      </c>
      <c r="L243" s="7" t="str">
        <f t="shared" si="44"/>
        <v>01_Textgattung/05_Historische-Koenigsinschrift/01_xr-Hm-n/0020_Hm n_01.png</v>
      </c>
      <c r="N243" s="7" t="s">
        <v>91</v>
      </c>
    </row>
    <row r="244" spans="1:15" s="7" customFormat="1" x14ac:dyDescent="0.2">
      <c r="A244" s="7" t="s">
        <v>457</v>
      </c>
      <c r="B244" s="7">
        <v>11</v>
      </c>
      <c r="C244" s="7" t="s">
        <v>46</v>
      </c>
      <c r="F244" s="7" t="s">
        <v>461</v>
      </c>
      <c r="G244" s="7" t="s">
        <v>462</v>
      </c>
      <c r="H244" s="7" t="s">
        <v>469</v>
      </c>
      <c r="I244" s="7" t="s">
        <v>111</v>
      </c>
      <c r="L244" s="7" t="str">
        <f t="shared" si="44"/>
        <v>01_Textgattung/05_Historische-Koenigsinschrift/01_xr-Hm-n/0030_Hm n_02.png</v>
      </c>
      <c r="N244" s="7" t="s">
        <v>91</v>
      </c>
    </row>
    <row r="245" spans="1:15" s="7" customFormat="1" x14ac:dyDescent="0.2">
      <c r="A245" s="7" t="s">
        <v>457</v>
      </c>
      <c r="B245" s="7">
        <v>12</v>
      </c>
      <c r="C245" s="7" t="s">
        <v>16</v>
      </c>
      <c r="D245" s="7" t="s">
        <v>1577</v>
      </c>
      <c r="N245" s="7" t="s">
        <v>92</v>
      </c>
      <c r="O245" s="7">
        <v>88060</v>
      </c>
    </row>
    <row r="246" spans="1:15" s="7" customFormat="1" x14ac:dyDescent="0.2">
      <c r="A246" s="7" t="s">
        <v>457</v>
      </c>
      <c r="B246" s="7">
        <v>13</v>
      </c>
      <c r="C246" s="7" t="s">
        <v>46</v>
      </c>
      <c r="F246" s="7" t="s">
        <v>1559</v>
      </c>
      <c r="H246" s="7" t="s">
        <v>1526</v>
      </c>
      <c r="L246" s="7" t="str">
        <f t="shared" ref="L246:L258" si="45">_xlfn.TEXTJOIN("", TRUE, E246:K246)</f>
        <v>02_Slots/Koenig/04_Thronname_01/0001_nsw-bit_01.png</v>
      </c>
      <c r="N246" s="7" t="s">
        <v>92</v>
      </c>
    </row>
    <row r="247" spans="1:15" s="7" customFormat="1" x14ac:dyDescent="0.2">
      <c r="A247" s="7" t="s">
        <v>457</v>
      </c>
      <c r="B247" s="7">
        <v>14</v>
      </c>
      <c r="C247" s="7" t="s">
        <v>46</v>
      </c>
      <c r="F247" s="7" t="s">
        <v>1559</v>
      </c>
      <c r="H247" s="7" t="s">
        <v>1527</v>
      </c>
      <c r="L247" s="7" t="str">
        <f t="shared" si="45"/>
        <v>02_Slots/Koenig/04_Thronname_01/0010_nsw-bit_02.png</v>
      </c>
      <c r="N247" s="7" t="s">
        <v>92</v>
      </c>
    </row>
    <row r="248" spans="1:15" s="7" customFormat="1" x14ac:dyDescent="0.2">
      <c r="A248" s="7" t="s">
        <v>457</v>
      </c>
      <c r="B248" s="7">
        <v>15</v>
      </c>
      <c r="C248" s="7" t="s">
        <v>46</v>
      </c>
      <c r="F248" s="7" t="s">
        <v>1559</v>
      </c>
      <c r="H248" s="7" t="s">
        <v>1528</v>
      </c>
      <c r="L248" s="7" t="str">
        <f t="shared" si="45"/>
        <v>02_Slots/Koenig/04_Thronname_01/0020_nsw-bit_NR_01.png</v>
      </c>
      <c r="N248" s="7" t="s">
        <v>92</v>
      </c>
    </row>
    <row r="249" spans="1:15" s="7" customFormat="1" x14ac:dyDescent="0.2">
      <c r="A249" s="7" t="s">
        <v>457</v>
      </c>
      <c r="B249" s="7">
        <v>16</v>
      </c>
      <c r="C249" s="7" t="s">
        <v>44</v>
      </c>
      <c r="D249" s="7" t="s">
        <v>1087</v>
      </c>
      <c r="N249" s="7" t="s">
        <v>92</v>
      </c>
    </row>
    <row r="250" spans="1:15" s="7" customFormat="1" x14ac:dyDescent="0.2">
      <c r="A250" s="7" t="s">
        <v>457</v>
      </c>
      <c r="B250" s="7">
        <v>17</v>
      </c>
      <c r="C250" s="7" t="s">
        <v>46</v>
      </c>
      <c r="F250" s="7" t="s">
        <v>1559</v>
      </c>
      <c r="H250" s="7" t="s">
        <v>1529</v>
      </c>
      <c r="L250" s="7" t="str">
        <f t="shared" si="45"/>
        <v>02_Slots/Koenig/04_Thronname_01/0030_nsw-bit_NR_02.png</v>
      </c>
      <c r="N250" s="7" t="s">
        <v>92</v>
      </c>
    </row>
    <row r="251" spans="1:15" s="7" customFormat="1" x14ac:dyDescent="0.2">
      <c r="A251" s="7" t="s">
        <v>457</v>
      </c>
      <c r="B251" s="7">
        <v>18</v>
      </c>
      <c r="C251" s="7" t="s">
        <v>44</v>
      </c>
      <c r="D251" s="7" t="s">
        <v>1087</v>
      </c>
      <c r="N251" s="7" t="s">
        <v>92</v>
      </c>
    </row>
    <row r="252" spans="1:15" s="7" customFormat="1" x14ac:dyDescent="0.2">
      <c r="A252" s="7" t="s">
        <v>457</v>
      </c>
      <c r="B252" s="7">
        <v>19</v>
      </c>
      <c r="C252" s="7" t="s">
        <v>46</v>
      </c>
      <c r="F252" s="7" t="s">
        <v>1559</v>
      </c>
      <c r="H252" s="7" t="s">
        <v>1530</v>
      </c>
      <c r="L252" s="7" t="str">
        <f t="shared" si="45"/>
        <v>02_Slots/Koenig/04_Thronname_01/0040_nsw-bit_NR_03.png</v>
      </c>
      <c r="N252" s="7" t="s">
        <v>92</v>
      </c>
    </row>
    <row r="253" spans="1:15" s="7" customFormat="1" x14ac:dyDescent="0.2">
      <c r="A253" s="7" t="s">
        <v>457</v>
      </c>
      <c r="B253" s="7">
        <v>20</v>
      </c>
      <c r="C253" s="7" t="s">
        <v>44</v>
      </c>
      <c r="D253" s="7" t="s">
        <v>1087</v>
      </c>
      <c r="N253" s="7" t="s">
        <v>92</v>
      </c>
    </row>
    <row r="254" spans="1:15" s="7" customFormat="1" x14ac:dyDescent="0.2">
      <c r="A254" s="7" t="s">
        <v>457</v>
      </c>
      <c r="B254" s="7">
        <v>21</v>
      </c>
      <c r="C254" s="7" t="s">
        <v>46</v>
      </c>
      <c r="F254" s="7" t="s">
        <v>1559</v>
      </c>
      <c r="H254" s="7" t="s">
        <v>1531</v>
      </c>
      <c r="L254" s="7" t="str">
        <f t="shared" si="45"/>
        <v>02_Slots/Koenig/04_Thronname_01/0050_nsw-bit_NR_04.png</v>
      </c>
      <c r="N254" s="7" t="s">
        <v>92</v>
      </c>
    </row>
    <row r="255" spans="1:15" s="7" customFormat="1" x14ac:dyDescent="0.2">
      <c r="A255" s="7" t="s">
        <v>457</v>
      </c>
      <c r="B255" s="7">
        <v>22</v>
      </c>
      <c r="C255" s="7" t="s">
        <v>44</v>
      </c>
      <c r="D255" s="7" t="s">
        <v>1087</v>
      </c>
      <c r="N255" s="7" t="s">
        <v>92</v>
      </c>
    </row>
    <row r="256" spans="1:15" s="7" customFormat="1" x14ac:dyDescent="0.2">
      <c r="A256" s="7" t="s">
        <v>457</v>
      </c>
      <c r="B256" s="7">
        <v>23</v>
      </c>
      <c r="C256" s="7" t="s">
        <v>46</v>
      </c>
      <c r="F256" s="7" t="s">
        <v>1559</v>
      </c>
      <c r="H256" s="7" t="s">
        <v>1532</v>
      </c>
      <c r="L256" s="7" t="str">
        <f t="shared" si="45"/>
        <v>02_Slots/Koenig/04_Thronname_01/0060_nsw-bit_Gr_01.png</v>
      </c>
      <c r="N256" s="7" t="s">
        <v>92</v>
      </c>
    </row>
    <row r="257" spans="1:14" s="7" customFormat="1" x14ac:dyDescent="0.2">
      <c r="A257" s="7" t="s">
        <v>457</v>
      </c>
      <c r="B257" s="7">
        <v>24</v>
      </c>
      <c r="C257" s="7" t="s">
        <v>44</v>
      </c>
      <c r="D257" s="7" t="s">
        <v>1089</v>
      </c>
      <c r="N257" s="7" t="s">
        <v>92</v>
      </c>
    </row>
    <row r="258" spans="1:14" s="7" customFormat="1" x14ac:dyDescent="0.2">
      <c r="A258" s="7" t="s">
        <v>457</v>
      </c>
      <c r="B258" s="7">
        <v>25</v>
      </c>
      <c r="C258" s="7" t="s">
        <v>46</v>
      </c>
      <c r="F258" s="7" t="s">
        <v>1559</v>
      </c>
      <c r="H258" s="7" t="s">
        <v>1533</v>
      </c>
      <c r="L258" s="7" t="str">
        <f t="shared" si="45"/>
        <v>02_Slots/Koenig/04_Thronname_01/0070_nsw-bit_Gr_02.png</v>
      </c>
      <c r="N258" s="7" t="s">
        <v>92</v>
      </c>
    </row>
    <row r="259" spans="1:14" s="7" customFormat="1" x14ac:dyDescent="0.2">
      <c r="A259" s="7" t="s">
        <v>457</v>
      </c>
      <c r="B259" s="7">
        <v>26</v>
      </c>
      <c r="C259" s="7" t="s">
        <v>44</v>
      </c>
      <c r="D259" s="7" t="s">
        <v>1089</v>
      </c>
      <c r="N259" s="7" t="s">
        <v>92</v>
      </c>
    </row>
    <row r="260" spans="1:14" s="7" customFormat="1" x14ac:dyDescent="0.2">
      <c r="A260" s="7" t="s">
        <v>457</v>
      </c>
      <c r="B260" s="7">
        <v>27</v>
      </c>
      <c r="C260" s="7" t="s">
        <v>46</v>
      </c>
      <c r="F260" s="7" t="s">
        <v>1559</v>
      </c>
      <c r="H260" s="7" t="s">
        <v>1534</v>
      </c>
      <c r="L260" s="7" t="str">
        <f t="shared" ref="L260:L262" si="46">_xlfn.TEXTJOIN("", TRUE, E260:K260)</f>
        <v>02_Slots/Koenig/04_Thronname_01/0080_nsw-bit_Gr_03.png</v>
      </c>
      <c r="N260" s="7" t="s">
        <v>92</v>
      </c>
    </row>
    <row r="261" spans="1:14" s="7" customFormat="1" x14ac:dyDescent="0.2">
      <c r="A261" s="7" t="s">
        <v>457</v>
      </c>
      <c r="B261" s="7">
        <v>28</v>
      </c>
      <c r="C261" s="7" t="s">
        <v>44</v>
      </c>
      <c r="D261" s="7" t="s">
        <v>1089</v>
      </c>
      <c r="N261" s="7" t="s">
        <v>92</v>
      </c>
    </row>
    <row r="262" spans="1:14" s="7" customFormat="1" x14ac:dyDescent="0.2">
      <c r="A262" s="7" t="s">
        <v>457</v>
      </c>
      <c r="B262" s="7">
        <v>29</v>
      </c>
      <c r="C262" s="7" t="s">
        <v>46</v>
      </c>
      <c r="F262" s="7" t="s">
        <v>1559</v>
      </c>
      <c r="H262" s="7" t="s">
        <v>1535</v>
      </c>
      <c r="L262" s="7" t="str">
        <f t="shared" si="46"/>
        <v>02_Slots/Koenig/04_Thronname_01/0090_nsw-bit_Gr_04.png</v>
      </c>
      <c r="N262" s="7" t="s">
        <v>92</v>
      </c>
    </row>
    <row r="263" spans="1:14" s="7" customFormat="1" x14ac:dyDescent="0.2">
      <c r="A263" s="7" t="s">
        <v>457</v>
      </c>
      <c r="B263" s="7">
        <v>30</v>
      </c>
      <c r="C263" s="7" t="s">
        <v>44</v>
      </c>
      <c r="D263" s="7" t="s">
        <v>1089</v>
      </c>
      <c r="N263" s="7" t="s">
        <v>92</v>
      </c>
    </row>
    <row r="265" spans="1:14" s="8" customFormat="1" x14ac:dyDescent="0.2">
      <c r="A265" s="8" t="s">
        <v>516</v>
      </c>
      <c r="B265" s="8">
        <v>1</v>
      </c>
      <c r="C265" s="8" t="s">
        <v>44</v>
      </c>
      <c r="D265" s="8" t="s">
        <v>515</v>
      </c>
      <c r="N265" s="8" t="s">
        <v>89</v>
      </c>
    </row>
    <row r="266" spans="1:14" s="8" customFormat="1" x14ac:dyDescent="0.2">
      <c r="A266" s="8" t="s">
        <v>516</v>
      </c>
      <c r="B266" s="8">
        <v>2</v>
      </c>
      <c r="C266" s="8" t="s">
        <v>44</v>
      </c>
      <c r="D266" s="8" t="s">
        <v>535</v>
      </c>
      <c r="N266" s="8" t="s">
        <v>89</v>
      </c>
    </row>
    <row r="267" spans="1:14" s="8" customFormat="1" x14ac:dyDescent="0.2">
      <c r="A267" s="8" t="s">
        <v>516</v>
      </c>
      <c r="B267" s="8">
        <v>3</v>
      </c>
      <c r="C267" s="8" t="s">
        <v>45</v>
      </c>
      <c r="D267" s="8" t="s">
        <v>517</v>
      </c>
      <c r="M267" s="8" t="s">
        <v>520</v>
      </c>
      <c r="N267" s="8" t="s">
        <v>89</v>
      </c>
    </row>
    <row r="268" spans="1:14" s="8" customFormat="1" x14ac:dyDescent="0.2">
      <c r="A268" s="8" t="s">
        <v>516</v>
      </c>
      <c r="B268" s="8">
        <v>4</v>
      </c>
      <c r="C268" s="8" t="s">
        <v>45</v>
      </c>
      <c r="D268" s="8" t="s">
        <v>521</v>
      </c>
      <c r="M268" s="8" t="s">
        <v>1333</v>
      </c>
      <c r="N268" s="8" t="s">
        <v>89</v>
      </c>
    </row>
    <row r="269" spans="1:14" s="8" customFormat="1" x14ac:dyDescent="0.2">
      <c r="A269" s="8" t="s">
        <v>516</v>
      </c>
      <c r="B269" s="8">
        <v>5</v>
      </c>
      <c r="C269" s="8" t="s">
        <v>90</v>
      </c>
      <c r="N269" s="8" t="s">
        <v>89</v>
      </c>
    </row>
    <row r="270" spans="1:14" s="8" customFormat="1" x14ac:dyDescent="0.2">
      <c r="A270" s="24" t="s">
        <v>1308</v>
      </c>
      <c r="B270" s="8">
        <v>6</v>
      </c>
      <c r="C270" s="8" t="s">
        <v>44</v>
      </c>
      <c r="D270" s="8" t="s">
        <v>522</v>
      </c>
      <c r="N270" s="8" t="s">
        <v>89</v>
      </c>
    </row>
    <row r="271" spans="1:14" s="8" customFormat="1" x14ac:dyDescent="0.2">
      <c r="A271" s="24" t="s">
        <v>1308</v>
      </c>
      <c r="B271" s="8">
        <v>7</v>
      </c>
      <c r="C271" s="8" t="s">
        <v>45</v>
      </c>
      <c r="D271" s="8" t="s">
        <v>47</v>
      </c>
      <c r="M271" s="8" t="s">
        <v>96</v>
      </c>
      <c r="N271" s="8" t="s">
        <v>89</v>
      </c>
    </row>
    <row r="272" spans="1:14" s="8" customFormat="1" x14ac:dyDescent="0.2">
      <c r="A272" s="24" t="s">
        <v>1308</v>
      </c>
      <c r="B272" s="8">
        <v>8</v>
      </c>
      <c r="C272" s="8" t="s">
        <v>44</v>
      </c>
      <c r="D272" s="8" t="s">
        <v>324</v>
      </c>
      <c r="N272" s="8" t="s">
        <v>89</v>
      </c>
    </row>
    <row r="273" spans="1:14" s="8" customFormat="1" x14ac:dyDescent="0.2">
      <c r="A273" s="24" t="s">
        <v>1308</v>
      </c>
      <c r="B273" s="8">
        <v>9</v>
      </c>
      <c r="C273" s="8" t="s">
        <v>45</v>
      </c>
      <c r="D273" s="8" t="s">
        <v>322</v>
      </c>
      <c r="M273" s="8" t="s">
        <v>323</v>
      </c>
      <c r="N273" s="8" t="s">
        <v>89</v>
      </c>
    </row>
    <row r="274" spans="1:14" s="8" customFormat="1" x14ac:dyDescent="0.2">
      <c r="A274" s="24" t="s">
        <v>1308</v>
      </c>
      <c r="B274" s="8">
        <v>10</v>
      </c>
      <c r="C274" s="8" t="s">
        <v>44</v>
      </c>
      <c r="D274" s="8" t="s">
        <v>324</v>
      </c>
      <c r="N274" s="8" t="s">
        <v>89</v>
      </c>
    </row>
    <row r="275" spans="1:14" s="8" customFormat="1" x14ac:dyDescent="0.2">
      <c r="A275" s="24" t="s">
        <v>1308</v>
      </c>
      <c r="B275" s="8">
        <v>11</v>
      </c>
      <c r="C275" s="8" t="s">
        <v>45</v>
      </c>
      <c r="D275" s="8" t="s">
        <v>49</v>
      </c>
      <c r="M275" s="8" t="s">
        <v>98</v>
      </c>
      <c r="N275" s="8" t="s">
        <v>89</v>
      </c>
    </row>
    <row r="276" spans="1:14" s="8" customFormat="1" x14ac:dyDescent="0.2">
      <c r="A276" s="24" t="s">
        <v>1308</v>
      </c>
      <c r="B276" s="8">
        <v>12</v>
      </c>
      <c r="C276" s="8" t="s">
        <v>44</v>
      </c>
      <c r="D276" s="8" t="s">
        <v>324</v>
      </c>
      <c r="N276" s="8" t="s">
        <v>89</v>
      </c>
    </row>
    <row r="277" spans="1:14" s="8" customFormat="1" x14ac:dyDescent="0.2">
      <c r="A277" s="24" t="s">
        <v>1308</v>
      </c>
      <c r="B277" s="8">
        <v>13</v>
      </c>
      <c r="C277" s="8" t="s">
        <v>44</v>
      </c>
      <c r="D277" s="8" t="s">
        <v>523</v>
      </c>
      <c r="N277" s="8" t="s">
        <v>89</v>
      </c>
    </row>
    <row r="279" spans="1:14" x14ac:dyDescent="0.2">
      <c r="A279" s="2" t="s">
        <v>1037</v>
      </c>
      <c r="B279" s="2">
        <v>1</v>
      </c>
      <c r="C279" s="2" t="s">
        <v>46</v>
      </c>
      <c r="F279" s="2" t="s">
        <v>1321</v>
      </c>
      <c r="G279" s="2" t="s">
        <v>1322</v>
      </c>
      <c r="H279" s="2" t="s">
        <v>1038</v>
      </c>
      <c r="I279" s="2" t="s">
        <v>111</v>
      </c>
      <c r="L279" s="2" t="str">
        <f t="shared" ref="L279" si="47">_xlfn.TEXTJOIN("", TRUE, E279:K279)</f>
        <v>01_Textgattung/07_Beischriften/03_Woertliche-Rede/01_Dd-mdw-jn/01_Dd-mdw/0001_Dd-mdw_01.png</v>
      </c>
      <c r="N279" s="2" t="s">
        <v>89</v>
      </c>
    </row>
    <row r="280" spans="1:14" x14ac:dyDescent="0.2">
      <c r="A280" s="2" t="s">
        <v>1037</v>
      </c>
      <c r="B280" s="2">
        <v>2</v>
      </c>
      <c r="C280" s="2" t="s">
        <v>1666</v>
      </c>
      <c r="D280" s="2" t="s">
        <v>1039</v>
      </c>
      <c r="N280" s="2" t="s">
        <v>89</v>
      </c>
    </row>
    <row r="281" spans="1:14" x14ac:dyDescent="0.2">
      <c r="A281" s="2" t="s">
        <v>1037</v>
      </c>
      <c r="B281" s="2">
        <v>3</v>
      </c>
      <c r="C281" s="2" t="s">
        <v>46</v>
      </c>
      <c r="F281" s="2" t="s">
        <v>1321</v>
      </c>
      <c r="G281" s="2" t="s">
        <v>1372</v>
      </c>
      <c r="H281" s="2" t="s">
        <v>369</v>
      </c>
      <c r="I281" s="2" t="s">
        <v>111</v>
      </c>
      <c r="L281" s="2" t="str">
        <f t="shared" ref="L281" si="48">_xlfn.TEXTJOIN("", TRUE, E281:K281)</f>
        <v>01_Textgattung/07_Beischriften/03_Woertliche-Rede/01_Dd-mdw-jn/02_jn/0001_jn_01.png</v>
      </c>
      <c r="N281" s="2" t="s">
        <v>89</v>
      </c>
    </row>
    <row r="282" spans="1:14" x14ac:dyDescent="0.2">
      <c r="A282" s="2" t="s">
        <v>1037</v>
      </c>
      <c r="B282" s="2">
        <v>4</v>
      </c>
      <c r="C282" s="2" t="s">
        <v>1666</v>
      </c>
      <c r="D282" s="2" t="s">
        <v>367</v>
      </c>
      <c r="N282" s="2" t="s">
        <v>89</v>
      </c>
    </row>
    <row r="283" spans="1:14" x14ac:dyDescent="0.2">
      <c r="A283" s="2" t="s">
        <v>1037</v>
      </c>
      <c r="B283" s="2">
        <v>5</v>
      </c>
      <c r="C283" s="2" t="s">
        <v>45</v>
      </c>
      <c r="D283" s="2" t="s">
        <v>47</v>
      </c>
      <c r="M283" s="2" t="s">
        <v>96</v>
      </c>
      <c r="N283" s="2" t="s">
        <v>89</v>
      </c>
    </row>
    <row r="284" spans="1:14" x14ac:dyDescent="0.2">
      <c r="A284" s="2" t="s">
        <v>1037</v>
      </c>
      <c r="B284" s="2">
        <v>6</v>
      </c>
      <c r="C284" s="2" t="s">
        <v>44</v>
      </c>
      <c r="D284" s="2" t="s">
        <v>324</v>
      </c>
      <c r="N284" s="2" t="s">
        <v>89</v>
      </c>
    </row>
    <row r="285" spans="1:14" x14ac:dyDescent="0.2">
      <c r="A285" s="2" t="s">
        <v>1037</v>
      </c>
      <c r="B285" s="2">
        <v>7</v>
      </c>
      <c r="C285" s="2" t="s">
        <v>45</v>
      </c>
      <c r="D285" s="2" t="s">
        <v>322</v>
      </c>
      <c r="M285" s="2" t="s">
        <v>323</v>
      </c>
      <c r="N285" s="2" t="s">
        <v>89</v>
      </c>
    </row>
    <row r="286" spans="1:14" x14ac:dyDescent="0.2">
      <c r="A286" s="2" t="s">
        <v>1037</v>
      </c>
      <c r="B286" s="2">
        <v>8</v>
      </c>
      <c r="C286" s="2" t="s">
        <v>44</v>
      </c>
      <c r="D286" s="2" t="s">
        <v>324</v>
      </c>
      <c r="N286" s="2" t="s">
        <v>89</v>
      </c>
    </row>
    <row r="287" spans="1:14" x14ac:dyDescent="0.2">
      <c r="A287" s="2" t="s">
        <v>1037</v>
      </c>
      <c r="B287" s="2">
        <v>9</v>
      </c>
      <c r="C287" s="2" t="s">
        <v>45</v>
      </c>
      <c r="D287" s="2" t="s">
        <v>49</v>
      </c>
      <c r="M287" s="2" t="s">
        <v>98</v>
      </c>
      <c r="N287" s="2" t="s">
        <v>89</v>
      </c>
    </row>
    <row r="288" spans="1:14" s="60" customFormat="1" x14ac:dyDescent="0.2">
      <c r="A288" s="2" t="s">
        <v>1037</v>
      </c>
      <c r="B288" s="60">
        <v>10</v>
      </c>
      <c r="C288" s="60" t="s">
        <v>44</v>
      </c>
      <c r="D288" s="60" t="s">
        <v>1545</v>
      </c>
      <c r="N288" s="60" t="s">
        <v>89</v>
      </c>
    </row>
    <row r="289" spans="1:15" x14ac:dyDescent="0.2">
      <c r="A289" s="2" t="s">
        <v>1037</v>
      </c>
      <c r="B289" s="2">
        <v>11</v>
      </c>
      <c r="C289" s="2" t="s">
        <v>46</v>
      </c>
      <c r="F289" s="2" t="s">
        <v>1044</v>
      </c>
      <c r="H289" s="2" t="s">
        <v>1045</v>
      </c>
      <c r="I289" s="2" t="s">
        <v>111</v>
      </c>
      <c r="L289" s="2" t="str">
        <f t="shared" ref="L289" si="49">_xlfn.TEXTJOIN("", TRUE, E289:K289)</f>
        <v>01_Textgattung/07_Beischriften/03_Woertliche-Rede/02_dj.n(=j)-n=k/0001_dj.n(=j)-n=k_01.png</v>
      </c>
      <c r="N289" s="2" t="s">
        <v>89</v>
      </c>
    </row>
    <row r="290" spans="1:15" x14ac:dyDescent="0.2">
      <c r="A290" s="2" t="s">
        <v>1037</v>
      </c>
      <c r="B290" s="2">
        <v>12</v>
      </c>
      <c r="C290" s="2" t="s">
        <v>1666</v>
      </c>
      <c r="D290" s="2" t="s">
        <v>1043</v>
      </c>
      <c r="N290" s="2" t="s">
        <v>89</v>
      </c>
    </row>
    <row r="291" spans="1:15" x14ac:dyDescent="0.2">
      <c r="A291" s="2" t="s">
        <v>1037</v>
      </c>
      <c r="B291" s="2">
        <v>13</v>
      </c>
      <c r="C291" s="2" t="s">
        <v>45</v>
      </c>
      <c r="D291" s="2" t="s">
        <v>48</v>
      </c>
      <c r="M291" s="2" t="s">
        <v>97</v>
      </c>
      <c r="N291" s="2" t="s">
        <v>89</v>
      </c>
    </row>
    <row r="292" spans="1:15" x14ac:dyDescent="0.2">
      <c r="A292" s="2" t="s">
        <v>1037</v>
      </c>
      <c r="B292" s="2">
        <v>14</v>
      </c>
      <c r="C292" s="2" t="s">
        <v>46</v>
      </c>
      <c r="F292" s="2" t="s">
        <v>1040</v>
      </c>
      <c r="H292" s="2" t="s">
        <v>1041</v>
      </c>
      <c r="I292" s="2" t="s">
        <v>111</v>
      </c>
      <c r="L292" s="2" t="str">
        <f t="shared" ref="L292" si="50">_xlfn.TEXTJOIN("", TRUE, E292:K292)</f>
        <v>01_Textgattung/07_Beischriften/03_Woertliche-Rede/03_xrj/04_xrj_01.png</v>
      </c>
      <c r="N292" s="2" t="s">
        <v>89</v>
      </c>
    </row>
    <row r="293" spans="1:15" x14ac:dyDescent="0.2">
      <c r="A293" s="2" t="s">
        <v>1037</v>
      </c>
      <c r="B293" s="2">
        <v>15</v>
      </c>
      <c r="C293" s="2" t="s">
        <v>1666</v>
      </c>
      <c r="D293" s="2" t="s">
        <v>1079</v>
      </c>
      <c r="N293" s="2" t="s">
        <v>89</v>
      </c>
    </row>
    <row r="294" spans="1:15" x14ac:dyDescent="0.2">
      <c r="A294" s="2" t="s">
        <v>1042</v>
      </c>
      <c r="B294" s="2">
        <v>1</v>
      </c>
      <c r="C294" s="2" t="s">
        <v>16</v>
      </c>
      <c r="D294" s="2" t="s">
        <v>1039</v>
      </c>
      <c r="N294" s="2" t="s">
        <v>91</v>
      </c>
      <c r="O294" s="2">
        <v>186050</v>
      </c>
    </row>
    <row r="295" spans="1:15" x14ac:dyDescent="0.2">
      <c r="A295" s="2" t="s">
        <v>1042</v>
      </c>
      <c r="B295" s="2">
        <v>2</v>
      </c>
      <c r="C295" s="2" t="s">
        <v>46</v>
      </c>
      <c r="F295" s="2" t="s">
        <v>1321</v>
      </c>
      <c r="G295" s="2" t="s">
        <v>1322</v>
      </c>
      <c r="H295" s="2" t="s">
        <v>1046</v>
      </c>
      <c r="L295" s="2" t="str">
        <f t="shared" ref="L295:L297" si="51">_xlfn.TEXTJOIN("", TRUE, E295:K295)</f>
        <v>01_Textgattung/07_Beischriften/03_Woertliche-Rede/01_Dd-mdw-jn/01_Dd-mdw/0001_Dd-mdw_01.png</v>
      </c>
      <c r="N295" s="2" t="s">
        <v>91</v>
      </c>
    </row>
    <row r="296" spans="1:15" x14ac:dyDescent="0.2">
      <c r="A296" s="2" t="s">
        <v>1042</v>
      </c>
      <c r="B296" s="2">
        <v>3</v>
      </c>
      <c r="C296" s="2" t="s">
        <v>46</v>
      </c>
      <c r="F296" s="2" t="s">
        <v>1321</v>
      </c>
      <c r="G296" s="2" t="s">
        <v>1322</v>
      </c>
      <c r="H296" s="2" t="s">
        <v>1047</v>
      </c>
      <c r="L296" s="2" t="str">
        <f t="shared" si="51"/>
        <v>01_Textgattung/07_Beischriften/03_Woertliche-Rede/01_Dd-mdw-jn/01_Dd-mdw/0010_Dd-mdw_02.png</v>
      </c>
      <c r="N296" s="2" t="s">
        <v>91</v>
      </c>
    </row>
    <row r="297" spans="1:15" x14ac:dyDescent="0.2">
      <c r="A297" s="2" t="s">
        <v>1042</v>
      </c>
      <c r="B297" s="2">
        <v>4</v>
      </c>
      <c r="C297" s="2" t="s">
        <v>46</v>
      </c>
      <c r="F297" s="2" t="s">
        <v>1321</v>
      </c>
      <c r="G297" s="2" t="s">
        <v>1322</v>
      </c>
      <c r="H297" s="2" t="s">
        <v>1048</v>
      </c>
      <c r="L297" s="2" t="str">
        <f t="shared" si="51"/>
        <v>01_Textgattung/07_Beischriften/03_Woertliche-Rede/01_Dd-mdw-jn/01_Dd-mdw/0020_Dd-mdw_NR_01.png</v>
      </c>
      <c r="N297" s="2" t="s">
        <v>91</v>
      </c>
    </row>
    <row r="298" spans="1:15" x14ac:dyDescent="0.2">
      <c r="A298" s="2" t="s">
        <v>1042</v>
      </c>
      <c r="B298" s="2">
        <v>5</v>
      </c>
      <c r="C298" s="2" t="s">
        <v>44</v>
      </c>
      <c r="D298" s="2" t="s">
        <v>1087</v>
      </c>
      <c r="N298" s="2" t="s">
        <v>91</v>
      </c>
    </row>
    <row r="299" spans="1:15" x14ac:dyDescent="0.2">
      <c r="A299" s="2" t="s">
        <v>1042</v>
      </c>
      <c r="B299" s="2">
        <v>6</v>
      </c>
      <c r="C299" s="2" t="s">
        <v>16</v>
      </c>
      <c r="D299" s="2" t="s">
        <v>367</v>
      </c>
      <c r="N299" s="2" t="s">
        <v>92</v>
      </c>
      <c r="O299" s="2">
        <v>26660</v>
      </c>
    </row>
    <row r="300" spans="1:15" x14ac:dyDescent="0.2">
      <c r="A300" s="2" t="s">
        <v>1042</v>
      </c>
      <c r="B300" s="2">
        <v>7</v>
      </c>
      <c r="C300" s="2" t="s">
        <v>46</v>
      </c>
      <c r="F300" s="2" t="s">
        <v>1321</v>
      </c>
      <c r="G300" s="2" t="s">
        <v>1372</v>
      </c>
      <c r="H300" s="2" t="s">
        <v>369</v>
      </c>
      <c r="I300" s="2" t="s">
        <v>111</v>
      </c>
      <c r="L300" s="2" t="str">
        <f t="shared" ref="L300" si="52">_xlfn.TEXTJOIN("", TRUE, E300:K300)</f>
        <v>01_Textgattung/07_Beischriften/03_Woertliche-Rede/01_Dd-mdw-jn/02_jn/0001_jn_01.png</v>
      </c>
      <c r="N300" s="2" t="s">
        <v>92</v>
      </c>
    </row>
    <row r="301" spans="1:15" x14ac:dyDescent="0.2">
      <c r="A301" s="2" t="s">
        <v>1042</v>
      </c>
      <c r="B301" s="2">
        <v>8</v>
      </c>
      <c r="C301" s="2" t="s">
        <v>46</v>
      </c>
      <c r="F301" s="2" t="s">
        <v>1321</v>
      </c>
      <c r="G301" s="2" t="s">
        <v>1372</v>
      </c>
      <c r="H301" s="2" t="s">
        <v>1373</v>
      </c>
      <c r="I301" s="2" t="s">
        <v>111</v>
      </c>
      <c r="L301" s="2" t="str">
        <f t="shared" ref="L301" si="53">_xlfn.TEXTJOIN("", TRUE, E301:K301)</f>
        <v>01_Textgattung/07_Beischriften/03_Woertliche-Rede/01_Dd-mdw-jn/02_jn/0010_jn_02.png</v>
      </c>
      <c r="N301" s="2" t="s">
        <v>92</v>
      </c>
    </row>
    <row r="302" spans="1:15" x14ac:dyDescent="0.2">
      <c r="A302" s="2" t="s">
        <v>1042</v>
      </c>
      <c r="B302" s="2">
        <v>9</v>
      </c>
      <c r="C302" s="2" t="s">
        <v>44</v>
      </c>
      <c r="D302" s="2" t="s">
        <v>1087</v>
      </c>
      <c r="N302" s="2" t="s">
        <v>92</v>
      </c>
    </row>
    <row r="303" spans="1:15" x14ac:dyDescent="0.2">
      <c r="A303" s="2" t="s">
        <v>1042</v>
      </c>
      <c r="B303" s="2">
        <v>10</v>
      </c>
      <c r="C303" s="2" t="s">
        <v>16</v>
      </c>
      <c r="D303" s="2" t="s">
        <v>1043</v>
      </c>
      <c r="N303" s="2" t="s">
        <v>94</v>
      </c>
      <c r="O303" s="2">
        <v>96700</v>
      </c>
    </row>
    <row r="304" spans="1:15" x14ac:dyDescent="0.2">
      <c r="A304" s="2" t="s">
        <v>1042</v>
      </c>
      <c r="B304" s="2">
        <v>11</v>
      </c>
      <c r="C304" s="2" t="s">
        <v>46</v>
      </c>
      <c r="F304" s="2" t="s">
        <v>1319</v>
      </c>
      <c r="G304" s="2" t="s">
        <v>1320</v>
      </c>
      <c r="H304" s="2" t="s">
        <v>1050</v>
      </c>
      <c r="L304" s="2" t="str">
        <f t="shared" ref="L304:L308" si="54">_xlfn.TEXTJOIN("", TRUE, E304:K304)</f>
        <v>01_Textgattung/07_Beischriften/03_Woertliche-Rede/02_dj.n(=j)-n=k/0001_dj.n(=j)-n=k_01.png</v>
      </c>
      <c r="N304" s="2" t="s">
        <v>94</v>
      </c>
    </row>
    <row r="305" spans="1:14" x14ac:dyDescent="0.2">
      <c r="A305" s="2" t="s">
        <v>1042</v>
      </c>
      <c r="B305" s="2">
        <v>12</v>
      </c>
      <c r="C305" s="2" t="s">
        <v>46</v>
      </c>
      <c r="F305" s="2" t="s">
        <v>1319</v>
      </c>
      <c r="G305" s="2" t="s">
        <v>1320</v>
      </c>
      <c r="H305" s="2" t="s">
        <v>1051</v>
      </c>
      <c r="L305" s="2" t="str">
        <f t="shared" si="54"/>
        <v>01_Textgattung/07_Beischriften/03_Woertliche-Rede/02_dj.n(=j)-n=k/0010_dj.n(=j)-n=k_02.png</v>
      </c>
      <c r="N305" s="2" t="s">
        <v>94</v>
      </c>
    </row>
    <row r="306" spans="1:14" x14ac:dyDescent="0.2">
      <c r="A306" s="2" t="s">
        <v>1042</v>
      </c>
      <c r="B306" s="2">
        <v>13</v>
      </c>
      <c r="C306" s="2" t="s">
        <v>46</v>
      </c>
      <c r="F306" s="2" t="s">
        <v>1319</v>
      </c>
      <c r="G306" s="2" t="s">
        <v>1320</v>
      </c>
      <c r="H306" s="2" t="s">
        <v>1052</v>
      </c>
      <c r="L306" s="2" t="str">
        <f t="shared" si="54"/>
        <v>01_Textgattung/07_Beischriften/03_Woertliche-Rede/02_dj.n(=j)-n=k/0020_dj.n(=j)-n=k_03.png</v>
      </c>
      <c r="N306" s="2" t="s">
        <v>94</v>
      </c>
    </row>
    <row r="307" spans="1:14" x14ac:dyDescent="0.2">
      <c r="A307" s="2" t="s">
        <v>1042</v>
      </c>
      <c r="B307" s="2">
        <v>14</v>
      </c>
      <c r="C307" s="2" t="s">
        <v>46</v>
      </c>
      <c r="F307" s="2" t="s">
        <v>1319</v>
      </c>
      <c r="G307" s="2" t="s">
        <v>1320</v>
      </c>
      <c r="H307" s="2" t="s">
        <v>1053</v>
      </c>
      <c r="L307" s="2" t="str">
        <f t="shared" si="54"/>
        <v>01_Textgattung/07_Beischriften/03_Woertliche-Rede/02_dj.n(=j)-n=k/0030_dj.n(=j)-n=k_04.png</v>
      </c>
      <c r="N307" s="2" t="s">
        <v>94</v>
      </c>
    </row>
    <row r="308" spans="1:14" x14ac:dyDescent="0.2">
      <c r="A308" s="2" t="s">
        <v>1042</v>
      </c>
      <c r="B308" s="2">
        <v>15</v>
      </c>
      <c r="C308" s="2" t="s">
        <v>46</v>
      </c>
      <c r="F308" s="2" t="s">
        <v>1319</v>
      </c>
      <c r="G308" s="2" t="s">
        <v>1320</v>
      </c>
      <c r="H308" s="2" t="s">
        <v>1054</v>
      </c>
      <c r="L308" s="2" t="str">
        <f t="shared" si="54"/>
        <v>01_Textgattung/07_Beischriften/03_Woertliche-Rede/02_dj.n(=j)-n=k/0040_dj.n(=j)-n=T_01.png</v>
      </c>
      <c r="N308" s="2" t="s">
        <v>94</v>
      </c>
    </row>
    <row r="310" spans="1:14" x14ac:dyDescent="0.2">
      <c r="A310" s="2" t="s">
        <v>1313</v>
      </c>
      <c r="B310" s="2">
        <v>1</v>
      </c>
      <c r="C310" s="2" t="s">
        <v>46</v>
      </c>
      <c r="F310" s="2" t="s">
        <v>1317</v>
      </c>
      <c r="G310" s="2" t="s">
        <v>1318</v>
      </c>
      <c r="H310" s="2" t="s">
        <v>1323</v>
      </c>
      <c r="I310" s="2" t="s">
        <v>111</v>
      </c>
      <c r="L310" s="2" t="str">
        <f>_xlfn.TEXTJOIN("", TRUE, E310:K310)</f>
        <v>01_Textgattung/07_Beischriften/04_Rueckenschutzformel/01_sA/0010_sA_seit-MR_02.png</v>
      </c>
      <c r="N310" s="2" t="s">
        <v>89</v>
      </c>
    </row>
    <row r="311" spans="1:14" x14ac:dyDescent="0.2">
      <c r="A311" s="2" t="s">
        <v>1313</v>
      </c>
      <c r="B311" s="2">
        <v>2</v>
      </c>
      <c r="C311" s="2" t="s">
        <v>1666</v>
      </c>
      <c r="D311" s="2" t="s">
        <v>1172</v>
      </c>
      <c r="N311" s="2" t="s">
        <v>89</v>
      </c>
    </row>
    <row r="312" spans="1:14" x14ac:dyDescent="0.2">
      <c r="A312" s="2" t="s">
        <v>1313</v>
      </c>
      <c r="B312" s="2">
        <v>3</v>
      </c>
      <c r="C312" s="2" t="s">
        <v>46</v>
      </c>
      <c r="F312" s="2" t="s">
        <v>1317</v>
      </c>
      <c r="G312" s="2" t="s">
        <v>1325</v>
      </c>
      <c r="H312" s="2" t="s">
        <v>1328</v>
      </c>
      <c r="I312" s="2" t="s">
        <v>111</v>
      </c>
      <c r="L312" s="2" t="str">
        <f>_xlfn.TEXTJOIN("", TRUE, E312:K312)</f>
        <v>01_Textgattung/07_Beischriften/04_Rueckenschutzformel/02_anx/0001_anx_01.png</v>
      </c>
      <c r="N312" s="2" t="s">
        <v>89</v>
      </c>
    </row>
    <row r="313" spans="1:14" x14ac:dyDescent="0.2">
      <c r="A313" s="2" t="s">
        <v>1313</v>
      </c>
      <c r="B313" s="2">
        <v>4</v>
      </c>
      <c r="C313" s="2" t="s">
        <v>1666</v>
      </c>
      <c r="D313" s="2" t="s">
        <v>617</v>
      </c>
      <c r="N313" s="2" t="s">
        <v>89</v>
      </c>
    </row>
    <row r="314" spans="1:14" x14ac:dyDescent="0.2">
      <c r="A314" s="2" t="s">
        <v>1313</v>
      </c>
      <c r="B314" s="2">
        <v>5</v>
      </c>
      <c r="C314" s="2" t="s">
        <v>46</v>
      </c>
      <c r="F314" s="2" t="s">
        <v>1317</v>
      </c>
      <c r="G314" s="2" t="s">
        <v>1326</v>
      </c>
      <c r="H314" s="2" t="s">
        <v>1330</v>
      </c>
      <c r="I314" s="2" t="s">
        <v>111</v>
      </c>
      <c r="L314" s="2" t="str">
        <f>_xlfn.TEXTJOIN("", TRUE, E314:K314)</f>
        <v>01_Textgattung/07_Beischriften/04_Rueckenschutzformel/03_HA/0010_HA_02.png</v>
      </c>
      <c r="N314" s="2" t="s">
        <v>89</v>
      </c>
    </row>
    <row r="315" spans="1:14" x14ac:dyDescent="0.2">
      <c r="A315" s="2" t="s">
        <v>1313</v>
      </c>
      <c r="B315" s="2">
        <v>5</v>
      </c>
      <c r="C315" s="2" t="s">
        <v>46</v>
      </c>
      <c r="F315" s="2" t="s">
        <v>1317</v>
      </c>
      <c r="G315" s="2" t="s">
        <v>1327</v>
      </c>
      <c r="H315" s="2" t="s">
        <v>1329</v>
      </c>
      <c r="I315" s="2" t="s">
        <v>111</v>
      </c>
      <c r="L315" s="2" t="str">
        <f>_xlfn.TEXTJOIN("", TRUE, E315:K315)</f>
        <v>01_Textgattung/07_Beischriften/04_Rueckenschutzformel/04_=f-nb/0001_=f-nb_01.png</v>
      </c>
      <c r="N315" s="2" t="s">
        <v>89</v>
      </c>
    </row>
    <row r="316" spans="1:14" x14ac:dyDescent="0.2">
      <c r="A316" s="2" t="s">
        <v>1313</v>
      </c>
      <c r="B316" s="2">
        <v>6</v>
      </c>
      <c r="C316" s="2" t="s">
        <v>1666</v>
      </c>
      <c r="D316" s="2" t="s">
        <v>1324</v>
      </c>
      <c r="N316" s="2" t="s">
        <v>89</v>
      </c>
    </row>
    <row r="319" spans="1:14" x14ac:dyDescent="0.2">
      <c r="A319" s="13" t="s">
        <v>1362</v>
      </c>
      <c r="B319" s="2">
        <v>1</v>
      </c>
      <c r="C319" s="2" t="s">
        <v>16</v>
      </c>
      <c r="D319" s="2" t="s">
        <v>1364</v>
      </c>
      <c r="N319" s="2" t="s">
        <v>91</v>
      </c>
    </row>
    <row r="320" spans="1:14" x14ac:dyDescent="0.2">
      <c r="A320" s="13" t="s">
        <v>1362</v>
      </c>
      <c r="B320" s="2">
        <v>2</v>
      </c>
      <c r="C320" s="2" t="s">
        <v>46</v>
      </c>
      <c r="F320" s="2" t="s">
        <v>1317</v>
      </c>
      <c r="G320" s="2" t="s">
        <v>1353</v>
      </c>
      <c r="H320" s="2" t="s">
        <v>1354</v>
      </c>
      <c r="L320" s="2" t="str">
        <f t="shared" ref="L320:L335" si="55">_xlfn.TEXTJOIN("", TRUE, E320:K320)</f>
        <v>01_Textgattung/07_Beischriften/04_Rueckenschutzformel/formel-gesamt/0001_sA-anx-HA=f-nb_MR_01.png</v>
      </c>
      <c r="N320" s="2" t="s">
        <v>91</v>
      </c>
    </row>
    <row r="321" spans="1:14" x14ac:dyDescent="0.2">
      <c r="A321" s="13" t="s">
        <v>1362</v>
      </c>
      <c r="B321" s="2">
        <v>3</v>
      </c>
      <c r="C321" s="2" t="s">
        <v>44</v>
      </c>
      <c r="D321" s="2" t="s">
        <v>1350</v>
      </c>
      <c r="N321" s="2" t="s">
        <v>91</v>
      </c>
    </row>
    <row r="322" spans="1:14" x14ac:dyDescent="0.2">
      <c r="A322" s="13" t="s">
        <v>1362</v>
      </c>
      <c r="B322" s="2">
        <v>4</v>
      </c>
      <c r="C322" s="2" t="s">
        <v>46</v>
      </c>
      <c r="F322" s="2" t="s">
        <v>1317</v>
      </c>
      <c r="G322" s="2" t="s">
        <v>1353</v>
      </c>
      <c r="H322" s="2" t="s">
        <v>1355</v>
      </c>
      <c r="L322" s="2" t="str">
        <f t="shared" si="55"/>
        <v>01_Textgattung/07_Beischriften/04_Rueckenschutzformel/formel-gesamt/0010_sA-anx-HA=f-nb-NR_01.png</v>
      </c>
      <c r="N322" s="2" t="s">
        <v>91</v>
      </c>
    </row>
    <row r="323" spans="1:14" x14ac:dyDescent="0.2">
      <c r="A323" s="13" t="s">
        <v>1362</v>
      </c>
      <c r="B323" s="2">
        <v>5</v>
      </c>
      <c r="C323" s="2" t="s">
        <v>44</v>
      </c>
      <c r="D323" s="2" t="s">
        <v>1087</v>
      </c>
      <c r="N323" s="2" t="s">
        <v>91</v>
      </c>
    </row>
    <row r="324" spans="1:14" x14ac:dyDescent="0.2">
      <c r="A324" s="13" t="s">
        <v>1362</v>
      </c>
      <c r="B324" s="2">
        <v>6</v>
      </c>
      <c r="C324" s="2" t="s">
        <v>16</v>
      </c>
      <c r="D324" s="2" t="s">
        <v>1365</v>
      </c>
      <c r="N324" s="2" t="s">
        <v>92</v>
      </c>
    </row>
    <row r="325" spans="1:14" x14ac:dyDescent="0.2">
      <c r="A325" s="13" t="s">
        <v>1362</v>
      </c>
      <c r="B325" s="2">
        <v>7</v>
      </c>
      <c r="C325" s="2" t="s">
        <v>46</v>
      </c>
      <c r="F325" s="2" t="s">
        <v>1317</v>
      </c>
      <c r="G325" s="2" t="s">
        <v>1353</v>
      </c>
      <c r="H325" s="2" t="s">
        <v>1356</v>
      </c>
      <c r="L325" s="2" t="str">
        <f t="shared" si="55"/>
        <v>01_Textgattung/07_Beischriften/04_Rueckenschutzformel/formel-gesamt/0020_sA-anx-HA=f_01.png</v>
      </c>
      <c r="N325" s="2" t="s">
        <v>92</v>
      </c>
    </row>
    <row r="326" spans="1:14" x14ac:dyDescent="0.2">
      <c r="A326" s="13" t="s">
        <v>1362</v>
      </c>
      <c r="B326" s="2">
        <v>8</v>
      </c>
      <c r="C326" s="2" t="s">
        <v>46</v>
      </c>
      <c r="F326" s="2" t="s">
        <v>1317</v>
      </c>
      <c r="G326" s="2" t="s">
        <v>1353</v>
      </c>
      <c r="H326" s="2" t="s">
        <v>1357</v>
      </c>
      <c r="L326" s="2" t="str">
        <f t="shared" si="55"/>
        <v>01_Textgattung/07_Beischriften/04_Rueckenschutzformel/formel-gesamt/0030_sA-anx-HA=f_02.png</v>
      </c>
      <c r="N326" s="2" t="s">
        <v>92</v>
      </c>
    </row>
    <row r="327" spans="1:14" x14ac:dyDescent="0.2">
      <c r="A327" s="13" t="s">
        <v>1362</v>
      </c>
      <c r="B327" s="2">
        <v>9</v>
      </c>
      <c r="C327" s="2" t="s">
        <v>16</v>
      </c>
      <c r="D327" s="2" t="s">
        <v>1366</v>
      </c>
      <c r="N327" s="2" t="s">
        <v>94</v>
      </c>
    </row>
    <row r="328" spans="1:14" x14ac:dyDescent="0.2">
      <c r="A328" s="13" t="s">
        <v>1362</v>
      </c>
      <c r="B328" s="2">
        <v>10</v>
      </c>
      <c r="C328" s="2" t="s">
        <v>46</v>
      </c>
      <c r="F328" s="2" t="s">
        <v>1317</v>
      </c>
      <c r="G328" s="2" t="s">
        <v>1353</v>
      </c>
      <c r="H328" s="2" t="s">
        <v>1358</v>
      </c>
      <c r="L328" s="2" t="str">
        <f t="shared" si="55"/>
        <v>01_Textgattung/07_Beischriften/04_Rueckenschutzformel/formel-gesamt/0040_sA-anx-wAs-HA=f_01.png</v>
      </c>
      <c r="N328" s="2" t="s">
        <v>94</v>
      </c>
    </row>
    <row r="329" spans="1:14" x14ac:dyDescent="0.2">
      <c r="A329" s="13" t="s">
        <v>1362</v>
      </c>
      <c r="B329" s="2">
        <v>11</v>
      </c>
      <c r="C329" s="2" t="s">
        <v>46</v>
      </c>
      <c r="F329" s="2" t="s">
        <v>1317</v>
      </c>
      <c r="G329" s="2" t="s">
        <v>1353</v>
      </c>
      <c r="H329" s="2" t="s">
        <v>1359</v>
      </c>
      <c r="L329" s="2" t="str">
        <f t="shared" si="55"/>
        <v>01_Textgattung/07_Beischriften/04_Rueckenschutzformel/formel-gesamt/0050_sA-anx-wAs-HA=f_NR-selten-Gr-oft_01.png</v>
      </c>
      <c r="N329" s="2" t="s">
        <v>94</v>
      </c>
    </row>
    <row r="330" spans="1:14" x14ac:dyDescent="0.2">
      <c r="A330" s="13" t="s">
        <v>1362</v>
      </c>
      <c r="B330" s="2">
        <v>12</v>
      </c>
      <c r="C330" s="2" t="s">
        <v>44</v>
      </c>
      <c r="D330" s="2" t="s">
        <v>1369</v>
      </c>
      <c r="N330" s="2" t="s">
        <v>94</v>
      </c>
    </row>
    <row r="331" spans="1:14" x14ac:dyDescent="0.2">
      <c r="A331" s="13" t="s">
        <v>1362</v>
      </c>
      <c r="B331" s="2">
        <v>13</v>
      </c>
      <c r="C331" s="2" t="s">
        <v>16</v>
      </c>
      <c r="D331" s="2" t="s">
        <v>1367</v>
      </c>
      <c r="N331" s="2" t="s">
        <v>1352</v>
      </c>
    </row>
    <row r="332" spans="1:14" x14ac:dyDescent="0.2">
      <c r="A332" s="13" t="s">
        <v>1362</v>
      </c>
      <c r="B332" s="2">
        <v>14</v>
      </c>
      <c r="C332" s="2" t="s">
        <v>46</v>
      </c>
      <c r="F332" s="2" t="s">
        <v>1317</v>
      </c>
      <c r="G332" s="2" t="s">
        <v>1353</v>
      </c>
      <c r="H332" s="2" t="s">
        <v>1360</v>
      </c>
      <c r="L332" s="2" t="str">
        <f t="shared" si="55"/>
        <v>01_Textgattung/07_Beischriften/04_Rueckenschutzformel/formel-gesamt/0060_sA-anx-Dd-wAs-HA=f_D.18_01.png</v>
      </c>
      <c r="N332" s="2" t="s">
        <v>1352</v>
      </c>
    </row>
    <row r="333" spans="1:14" x14ac:dyDescent="0.2">
      <c r="A333" s="13" t="s">
        <v>1362</v>
      </c>
      <c r="B333" s="2">
        <v>15</v>
      </c>
      <c r="C333" s="2" t="s">
        <v>44</v>
      </c>
      <c r="D333" s="2" t="s">
        <v>1370</v>
      </c>
      <c r="N333" s="2" t="s">
        <v>1352</v>
      </c>
    </row>
    <row r="334" spans="1:14" x14ac:dyDescent="0.2">
      <c r="A334" s="13" t="s">
        <v>1362</v>
      </c>
      <c r="B334" s="2">
        <v>16</v>
      </c>
      <c r="C334" s="2" t="s">
        <v>16</v>
      </c>
      <c r="D334" s="2" t="s">
        <v>1368</v>
      </c>
      <c r="N334" s="2" t="s">
        <v>1371</v>
      </c>
    </row>
    <row r="335" spans="1:14" x14ac:dyDescent="0.2">
      <c r="A335" s="13" t="s">
        <v>1362</v>
      </c>
      <c r="B335" s="2">
        <v>17</v>
      </c>
      <c r="C335" s="2" t="s">
        <v>46</v>
      </c>
      <c r="F335" s="2" t="s">
        <v>1317</v>
      </c>
      <c r="G335" s="2" t="s">
        <v>1353</v>
      </c>
      <c r="H335" s="2" t="s">
        <v>1361</v>
      </c>
      <c r="L335" s="2" t="str">
        <f t="shared" si="55"/>
        <v>01_Textgattung/07_Beischriften/04_Rueckenschutzformel/formel-gesamt/0070_sA-anx-Dd-wAs-snb-HA=f_D.18_01.png</v>
      </c>
      <c r="N335" s="2" t="s">
        <v>1371</v>
      </c>
    </row>
    <row r="336" spans="1:14" x14ac:dyDescent="0.2">
      <c r="A336" s="13" t="s">
        <v>1362</v>
      </c>
      <c r="B336" s="2">
        <v>18</v>
      </c>
      <c r="C336" s="2" t="s">
        <v>44</v>
      </c>
      <c r="D336" s="2" t="s">
        <v>1370</v>
      </c>
      <c r="N336" s="2" t="s">
        <v>1371</v>
      </c>
    </row>
    <row r="341" spans="1:15" x14ac:dyDescent="0.2">
      <c r="A341" s="13" t="s">
        <v>1335</v>
      </c>
      <c r="B341" s="2">
        <v>1</v>
      </c>
      <c r="C341" s="2" t="s">
        <v>16</v>
      </c>
      <c r="D341" s="2" t="s">
        <v>1172</v>
      </c>
      <c r="N341" s="2" t="s">
        <v>92</v>
      </c>
      <c r="O341" s="2">
        <v>125600</v>
      </c>
    </row>
    <row r="342" spans="1:15" x14ac:dyDescent="0.2">
      <c r="A342" s="13" t="s">
        <v>1335</v>
      </c>
      <c r="B342" s="2">
        <v>2</v>
      </c>
      <c r="C342" s="2" t="s">
        <v>46</v>
      </c>
      <c r="F342" s="2" t="s">
        <v>1317</v>
      </c>
      <c r="G342" s="2" t="s">
        <v>1318</v>
      </c>
      <c r="H342" s="2" t="s">
        <v>1336</v>
      </c>
      <c r="L342" s="2" t="str">
        <f t="shared" ref="L342:L353" si="56">_xlfn.TEXTJOIN("", TRUE, E342:K342)</f>
        <v>01_Textgattung/07_Beischriften/04_Rueckenschutzformel/01_sA/0001_sA_01.png</v>
      </c>
      <c r="N342" s="2" t="s">
        <v>92</v>
      </c>
    </row>
    <row r="343" spans="1:15" x14ac:dyDescent="0.2">
      <c r="A343" s="13" t="s">
        <v>1335</v>
      </c>
      <c r="B343" s="2">
        <v>3</v>
      </c>
      <c r="C343" s="2" t="s">
        <v>46</v>
      </c>
      <c r="F343" s="2" t="s">
        <v>1317</v>
      </c>
      <c r="G343" s="2" t="s">
        <v>1318</v>
      </c>
      <c r="H343" s="2" t="s">
        <v>1337</v>
      </c>
      <c r="L343" s="2" t="str">
        <f t="shared" si="56"/>
        <v>01_Textgattung/07_Beischriften/04_Rueckenschutzformel/01_sA/0010_sA_seit-MR_02.png</v>
      </c>
      <c r="N343" s="2" t="s">
        <v>92</v>
      </c>
    </row>
    <row r="344" spans="1:15" x14ac:dyDescent="0.2">
      <c r="A344" s="13" t="s">
        <v>1335</v>
      </c>
      <c r="B344" s="2">
        <v>4</v>
      </c>
      <c r="C344" s="2" t="s">
        <v>44</v>
      </c>
      <c r="D344" s="2" t="s">
        <v>1086</v>
      </c>
      <c r="N344" s="2" t="s">
        <v>92</v>
      </c>
    </row>
    <row r="345" spans="1:15" x14ac:dyDescent="0.2">
      <c r="A345" s="13" t="s">
        <v>1335</v>
      </c>
      <c r="B345" s="2">
        <v>5</v>
      </c>
      <c r="C345" s="2" t="s">
        <v>46</v>
      </c>
      <c r="F345" s="2" t="s">
        <v>1317</v>
      </c>
      <c r="G345" s="2" t="s">
        <v>1318</v>
      </c>
      <c r="H345" s="2" t="s">
        <v>1338</v>
      </c>
      <c r="L345" s="2" t="str">
        <f t="shared" si="56"/>
        <v>01_Textgattung/07_Beischriften/04_Rueckenschutzformel/01_sA/0020_sA_MR_01.png</v>
      </c>
      <c r="N345" s="2" t="s">
        <v>92</v>
      </c>
    </row>
    <row r="346" spans="1:15" x14ac:dyDescent="0.2">
      <c r="A346" s="13" t="s">
        <v>1335</v>
      </c>
      <c r="B346" s="2">
        <v>6</v>
      </c>
      <c r="C346" s="2" t="s">
        <v>44</v>
      </c>
      <c r="D346" s="2" t="s">
        <v>1350</v>
      </c>
      <c r="N346" s="2" t="s">
        <v>92</v>
      </c>
    </row>
    <row r="347" spans="1:15" x14ac:dyDescent="0.2">
      <c r="A347" s="13" t="s">
        <v>1335</v>
      </c>
      <c r="B347" s="2">
        <v>7</v>
      </c>
      <c r="C347" s="2" t="s">
        <v>46</v>
      </c>
      <c r="F347" s="2" t="s">
        <v>1317</v>
      </c>
      <c r="G347" s="2" t="s">
        <v>1318</v>
      </c>
      <c r="H347" s="2" t="s">
        <v>1339</v>
      </c>
      <c r="L347" s="2" t="str">
        <f t="shared" si="56"/>
        <v>01_Textgattung/07_Beischriften/04_Rueckenschutzformel/01_sA/0030_sA_NR_01.png</v>
      </c>
      <c r="N347" s="2" t="s">
        <v>92</v>
      </c>
    </row>
    <row r="348" spans="1:15" x14ac:dyDescent="0.2">
      <c r="A348" s="13" t="s">
        <v>1335</v>
      </c>
      <c r="B348" s="2">
        <v>8</v>
      </c>
      <c r="C348" s="2" t="s">
        <v>44</v>
      </c>
      <c r="D348" s="2" t="s">
        <v>1087</v>
      </c>
      <c r="N348" s="2" t="s">
        <v>92</v>
      </c>
    </row>
    <row r="349" spans="1:15" x14ac:dyDescent="0.2">
      <c r="A349" s="13" t="s">
        <v>1335</v>
      </c>
      <c r="B349" s="2">
        <v>9</v>
      </c>
      <c r="C349" s="2" t="s">
        <v>46</v>
      </c>
      <c r="F349" s="2" t="s">
        <v>1317</v>
      </c>
      <c r="G349" s="2" t="s">
        <v>1318</v>
      </c>
      <c r="H349" s="2" t="s">
        <v>1340</v>
      </c>
      <c r="L349" s="2" t="str">
        <f t="shared" si="56"/>
        <v>01_Textgattung/07_Beischriften/04_Rueckenschutzformel/01_sA/0040_sA_NR_02.png</v>
      </c>
      <c r="N349" s="2" t="s">
        <v>92</v>
      </c>
    </row>
    <row r="350" spans="1:15" x14ac:dyDescent="0.2">
      <c r="A350" s="13" t="s">
        <v>1335</v>
      </c>
      <c r="B350" s="2">
        <v>10</v>
      </c>
      <c r="C350" s="2" t="s">
        <v>44</v>
      </c>
      <c r="D350" s="2" t="s">
        <v>1087</v>
      </c>
      <c r="N350" s="2" t="s">
        <v>92</v>
      </c>
    </row>
    <row r="351" spans="1:15" x14ac:dyDescent="0.2">
      <c r="A351" s="13" t="s">
        <v>1335</v>
      </c>
      <c r="B351" s="2">
        <v>11</v>
      </c>
      <c r="C351" s="2" t="s">
        <v>46</v>
      </c>
      <c r="F351" s="2" t="s">
        <v>1317</v>
      </c>
      <c r="G351" s="2" t="s">
        <v>1318</v>
      </c>
      <c r="H351" s="2" t="s">
        <v>1341</v>
      </c>
      <c r="L351" s="2" t="str">
        <f t="shared" si="56"/>
        <v>01_Textgattung/07_Beischriften/04_Rueckenschutzformel/01_sA/0050_sA_GR_01.png</v>
      </c>
      <c r="N351" s="2" t="s">
        <v>92</v>
      </c>
    </row>
    <row r="352" spans="1:15" x14ac:dyDescent="0.2">
      <c r="A352" s="13" t="s">
        <v>1335</v>
      </c>
      <c r="B352" s="2">
        <v>12</v>
      </c>
      <c r="C352" s="2" t="s">
        <v>44</v>
      </c>
      <c r="D352" s="2" t="s">
        <v>1089</v>
      </c>
      <c r="N352" s="2" t="s">
        <v>92</v>
      </c>
    </row>
    <row r="353" spans="1:15" x14ac:dyDescent="0.2">
      <c r="A353" s="13" t="s">
        <v>1335</v>
      </c>
      <c r="B353" s="2">
        <v>13</v>
      </c>
      <c r="C353" s="2" t="s">
        <v>46</v>
      </c>
      <c r="F353" s="2" t="s">
        <v>1317</v>
      </c>
      <c r="G353" s="2" t="s">
        <v>1318</v>
      </c>
      <c r="H353" s="2" t="s">
        <v>1342</v>
      </c>
      <c r="L353" s="2" t="str">
        <f t="shared" si="56"/>
        <v>01_Textgattung/07_Beischriften/04_Rueckenschutzformel/01_sA/0060_sA_GR_02.png</v>
      </c>
      <c r="N353" s="2" t="s">
        <v>92</v>
      </c>
    </row>
    <row r="354" spans="1:15" x14ac:dyDescent="0.2">
      <c r="A354" s="13" t="s">
        <v>1335</v>
      </c>
      <c r="B354" s="2">
        <v>14</v>
      </c>
      <c r="C354" s="2" t="s">
        <v>44</v>
      </c>
      <c r="D354" s="2" t="s">
        <v>1089</v>
      </c>
      <c r="N354" s="2" t="s">
        <v>92</v>
      </c>
    </row>
    <row r="355" spans="1:15" x14ac:dyDescent="0.2">
      <c r="A355" s="13" t="s">
        <v>1335</v>
      </c>
      <c r="B355" s="2">
        <v>15</v>
      </c>
      <c r="C355" s="2" t="s">
        <v>16</v>
      </c>
      <c r="D355" s="2" t="s">
        <v>617</v>
      </c>
      <c r="N355" s="2" t="s">
        <v>94</v>
      </c>
      <c r="O355" s="2">
        <v>38540</v>
      </c>
    </row>
    <row r="356" spans="1:15" x14ac:dyDescent="0.2">
      <c r="A356" s="13" t="s">
        <v>1335</v>
      </c>
      <c r="B356" s="2">
        <v>16</v>
      </c>
      <c r="C356" s="2" t="s">
        <v>46</v>
      </c>
      <c r="F356" s="2" t="s">
        <v>1317</v>
      </c>
      <c r="G356" s="2" t="s">
        <v>1325</v>
      </c>
      <c r="H356" s="2" t="s">
        <v>1328</v>
      </c>
      <c r="I356" s="2" t="s">
        <v>111</v>
      </c>
      <c r="L356" s="2" t="str">
        <f t="shared" ref="L356" si="57">_xlfn.TEXTJOIN("", TRUE, E356:K356)</f>
        <v>01_Textgattung/07_Beischriften/04_Rueckenschutzformel/02_anx/0001_anx_01.png</v>
      </c>
      <c r="N356" s="2" t="s">
        <v>94</v>
      </c>
    </row>
    <row r="357" spans="1:15" x14ac:dyDescent="0.2">
      <c r="A357" s="13" t="s">
        <v>1335</v>
      </c>
      <c r="B357" s="2">
        <v>17</v>
      </c>
      <c r="C357" s="2" t="s">
        <v>16</v>
      </c>
      <c r="D357" s="2" t="s">
        <v>1343</v>
      </c>
      <c r="N357" s="2" t="s">
        <v>1352</v>
      </c>
      <c r="O357" s="2">
        <v>100130</v>
      </c>
    </row>
    <row r="358" spans="1:15" x14ac:dyDescent="0.2">
      <c r="A358" s="13" t="s">
        <v>1335</v>
      </c>
      <c r="B358" s="2">
        <v>18</v>
      </c>
      <c r="C358" s="2" t="s">
        <v>46</v>
      </c>
      <c r="F358" s="2" t="s">
        <v>1317</v>
      </c>
      <c r="G358" s="2" t="s">
        <v>1326</v>
      </c>
      <c r="H358" s="2" t="s">
        <v>1344</v>
      </c>
      <c r="L358" s="2" t="str">
        <f t="shared" ref="L358:L366" si="58">_xlfn.TEXTJOIN("", TRUE, E358:K358)</f>
        <v>01_Textgattung/07_Beischriften/04_Rueckenschutzformel/03_HA/0001_HA_01.png</v>
      </c>
      <c r="N358" s="2" t="s">
        <v>1352</v>
      </c>
    </row>
    <row r="359" spans="1:15" x14ac:dyDescent="0.2">
      <c r="A359" s="13" t="s">
        <v>1335</v>
      </c>
      <c r="B359" s="2">
        <v>19</v>
      </c>
      <c r="C359" s="2" t="s">
        <v>46</v>
      </c>
      <c r="F359" s="2" t="s">
        <v>1317</v>
      </c>
      <c r="G359" s="2" t="s">
        <v>1326</v>
      </c>
      <c r="H359" s="2" t="s">
        <v>1345</v>
      </c>
      <c r="L359" s="2" t="str">
        <f t="shared" si="58"/>
        <v>01_Textgattung/07_Beischriften/04_Rueckenschutzformel/03_HA/0010_HA_02.png</v>
      </c>
      <c r="N359" s="2" t="s">
        <v>1352</v>
      </c>
    </row>
    <row r="360" spans="1:15" x14ac:dyDescent="0.2">
      <c r="A360" s="13" t="s">
        <v>1335</v>
      </c>
      <c r="B360" s="2">
        <v>20</v>
      </c>
      <c r="C360" s="2" t="s">
        <v>46</v>
      </c>
      <c r="F360" s="2" t="s">
        <v>1317</v>
      </c>
      <c r="G360" s="2" t="s">
        <v>1326</v>
      </c>
      <c r="H360" s="2" t="s">
        <v>1346</v>
      </c>
      <c r="L360" s="2" t="str">
        <f t="shared" si="58"/>
        <v>01_Textgattung/07_Beischriften/04_Rueckenschutzformel/03_HA/0020_HA_MR_01.png</v>
      </c>
      <c r="N360" s="2" t="s">
        <v>1352</v>
      </c>
    </row>
    <row r="361" spans="1:15" x14ac:dyDescent="0.2">
      <c r="A361" s="13" t="s">
        <v>1335</v>
      </c>
      <c r="B361" s="2">
        <v>21</v>
      </c>
      <c r="C361" s="2" t="s">
        <v>44</v>
      </c>
      <c r="D361" s="2" t="s">
        <v>1350</v>
      </c>
      <c r="N361" s="2" t="s">
        <v>1352</v>
      </c>
    </row>
    <row r="362" spans="1:15" x14ac:dyDescent="0.2">
      <c r="A362" s="13" t="s">
        <v>1335</v>
      </c>
      <c r="B362" s="2">
        <v>22</v>
      </c>
      <c r="C362" s="2" t="s">
        <v>46</v>
      </c>
      <c r="F362" s="2" t="s">
        <v>1317</v>
      </c>
      <c r="G362" s="2" t="s">
        <v>1326</v>
      </c>
      <c r="H362" s="2" t="s">
        <v>1347</v>
      </c>
      <c r="L362" s="2" t="str">
        <f t="shared" si="58"/>
        <v>01_Textgattung/07_Beischriften/04_Rueckenschutzformel/03_HA/0030_HA_MR_02.png</v>
      </c>
      <c r="N362" s="2" t="s">
        <v>1352</v>
      </c>
    </row>
    <row r="363" spans="1:15" x14ac:dyDescent="0.2">
      <c r="A363" s="13" t="s">
        <v>1335</v>
      </c>
      <c r="B363" s="2">
        <v>23</v>
      </c>
      <c r="C363" s="2" t="s">
        <v>44</v>
      </c>
      <c r="D363" s="2" t="s">
        <v>1350</v>
      </c>
      <c r="N363" s="2" t="s">
        <v>1352</v>
      </c>
    </row>
    <row r="364" spans="1:15" x14ac:dyDescent="0.2">
      <c r="A364" s="13" t="s">
        <v>1335</v>
      </c>
      <c r="B364" s="2">
        <v>24</v>
      </c>
      <c r="C364" s="2" t="s">
        <v>46</v>
      </c>
      <c r="F364" s="2" t="s">
        <v>1317</v>
      </c>
      <c r="G364" s="2" t="s">
        <v>1326</v>
      </c>
      <c r="H364" s="2" t="s">
        <v>1348</v>
      </c>
      <c r="L364" s="2" t="str">
        <f t="shared" si="58"/>
        <v>01_Textgattung/07_Beischriften/04_Rueckenschutzformel/03_HA/0040_HA_NR_01.png</v>
      </c>
      <c r="N364" s="2" t="s">
        <v>1352</v>
      </c>
    </row>
    <row r="365" spans="1:15" x14ac:dyDescent="0.2">
      <c r="A365" s="13" t="s">
        <v>1335</v>
      </c>
      <c r="B365" s="2">
        <v>25</v>
      </c>
      <c r="C365" s="2" t="s">
        <v>44</v>
      </c>
      <c r="D365" s="2" t="s">
        <v>1087</v>
      </c>
      <c r="N365" s="2" t="s">
        <v>1352</v>
      </c>
    </row>
    <row r="366" spans="1:15" x14ac:dyDescent="0.2">
      <c r="A366" s="13" t="s">
        <v>1335</v>
      </c>
      <c r="B366" s="2">
        <v>26</v>
      </c>
      <c r="C366" s="2" t="s">
        <v>46</v>
      </c>
      <c r="F366" s="2" t="s">
        <v>1317</v>
      </c>
      <c r="G366" s="2" t="s">
        <v>1326</v>
      </c>
      <c r="H366" s="2" t="s">
        <v>1349</v>
      </c>
      <c r="L366" s="2" t="str">
        <f t="shared" si="58"/>
        <v>01_Textgattung/07_Beischriften/04_Rueckenschutzformel/03_HA/0050_HA_Sp_01.png</v>
      </c>
      <c r="N366" s="2" t="s">
        <v>1352</v>
      </c>
    </row>
    <row r="367" spans="1:15" x14ac:dyDescent="0.2">
      <c r="A367" s="13" t="s">
        <v>1335</v>
      </c>
      <c r="B367" s="2">
        <v>27</v>
      </c>
      <c r="C367" s="2" t="s">
        <v>44</v>
      </c>
      <c r="D367" s="2" t="s">
        <v>1351</v>
      </c>
    </row>
    <row r="381" spans="1:14" x14ac:dyDescent="0.2">
      <c r="A381" s="2" t="s">
        <v>1011</v>
      </c>
      <c r="B381" s="2">
        <v>1</v>
      </c>
      <c r="C381" s="2" t="s">
        <v>44</v>
      </c>
      <c r="D381" s="2" t="s">
        <v>1016</v>
      </c>
      <c r="N381" s="2" t="s">
        <v>89</v>
      </c>
    </row>
    <row r="382" spans="1:14" x14ac:dyDescent="0.2">
      <c r="A382" s="2" t="s">
        <v>1011</v>
      </c>
      <c r="B382" s="36">
        <v>2</v>
      </c>
      <c r="C382" s="2" t="s">
        <v>44</v>
      </c>
      <c r="D382" s="2" t="s">
        <v>1022</v>
      </c>
      <c r="N382" s="2" t="s">
        <v>89</v>
      </c>
    </row>
    <row r="383" spans="1:14" x14ac:dyDescent="0.2">
      <c r="A383" s="2" t="s">
        <v>1011</v>
      </c>
      <c r="B383" s="2">
        <v>3</v>
      </c>
      <c r="C383" s="2" t="s">
        <v>46</v>
      </c>
      <c r="F383" s="2" t="s">
        <v>415</v>
      </c>
      <c r="G383" s="2" t="s">
        <v>416</v>
      </c>
      <c r="H383" s="2" t="s">
        <v>417</v>
      </c>
      <c r="I383" s="2" t="s">
        <v>111</v>
      </c>
      <c r="L383" s="2" t="str">
        <f t="shared" ref="L383:L384" si="59">_xlfn.TEXTJOIN("", TRUE, E383:K383)</f>
        <v>02_Slots/Personennamen/Namen/f/01_tA-dj-Gottheit/01_tA-dj_01.png</v>
      </c>
      <c r="N383" s="2" t="s">
        <v>89</v>
      </c>
    </row>
    <row r="384" spans="1:14" x14ac:dyDescent="0.2">
      <c r="A384" s="2" t="s">
        <v>1011</v>
      </c>
      <c r="B384" s="36">
        <v>4</v>
      </c>
      <c r="C384" s="2" t="s">
        <v>46</v>
      </c>
      <c r="F384" s="2" t="s">
        <v>415</v>
      </c>
      <c r="G384" s="2" t="s">
        <v>416</v>
      </c>
      <c r="H384" s="2" t="s">
        <v>418</v>
      </c>
      <c r="I384" s="2" t="s">
        <v>111</v>
      </c>
      <c r="L384" s="2" t="str">
        <f t="shared" si="59"/>
        <v>02_Slots/Personennamen/Namen/f/01_tA-dj-Gottheit/01_tA-dj_02.png</v>
      </c>
      <c r="N384" s="2" t="s">
        <v>89</v>
      </c>
    </row>
    <row r="385" spans="1:14" x14ac:dyDescent="0.2">
      <c r="A385" s="2" t="s">
        <v>1011</v>
      </c>
      <c r="B385" s="2">
        <v>5</v>
      </c>
      <c r="C385" s="2" t="s">
        <v>44</v>
      </c>
      <c r="D385" s="2" t="s">
        <v>1013</v>
      </c>
      <c r="N385" s="2" t="s">
        <v>89</v>
      </c>
    </row>
    <row r="386" spans="1:14" x14ac:dyDescent="0.2">
      <c r="A386" s="2" t="s">
        <v>1011</v>
      </c>
      <c r="B386" s="36">
        <v>6</v>
      </c>
      <c r="C386" s="2" t="s">
        <v>45</v>
      </c>
      <c r="D386" s="2" t="s">
        <v>47</v>
      </c>
      <c r="M386" s="2" t="s">
        <v>96</v>
      </c>
      <c r="N386" s="2" t="s">
        <v>89</v>
      </c>
    </row>
    <row r="387" spans="1:14" x14ac:dyDescent="0.2">
      <c r="B387" s="36"/>
    </row>
    <row r="388" spans="1:14" x14ac:dyDescent="0.2">
      <c r="A388" s="2" t="s">
        <v>1012</v>
      </c>
      <c r="B388" s="2">
        <v>1</v>
      </c>
      <c r="C388" s="2" t="s">
        <v>44</v>
      </c>
      <c r="D388" s="2" t="s">
        <v>1016</v>
      </c>
      <c r="N388" s="2" t="s">
        <v>89</v>
      </c>
    </row>
    <row r="389" spans="1:14" x14ac:dyDescent="0.2">
      <c r="A389" s="2" t="s">
        <v>1012</v>
      </c>
      <c r="B389" s="36">
        <v>2</v>
      </c>
      <c r="C389" s="2" t="s">
        <v>44</v>
      </c>
      <c r="D389" s="2" t="s">
        <v>1023</v>
      </c>
      <c r="N389" s="2" t="s">
        <v>89</v>
      </c>
    </row>
    <row r="390" spans="1:14" x14ac:dyDescent="0.2">
      <c r="A390" s="2" t="s">
        <v>1012</v>
      </c>
      <c r="B390" s="2">
        <v>3</v>
      </c>
      <c r="C390" s="2" t="s">
        <v>46</v>
      </c>
      <c r="F390" s="2" t="s">
        <v>420</v>
      </c>
      <c r="G390" s="2" t="s">
        <v>441</v>
      </c>
      <c r="H390" s="2" t="s">
        <v>421</v>
      </c>
      <c r="I390" s="2" t="s">
        <v>111</v>
      </c>
      <c r="L390" s="2" t="str">
        <f t="shared" ref="L390:L391" si="60">_xlfn.TEXTJOIN("", TRUE, E390:K390)</f>
        <v>02_Slots/Personennamen/Namen/m/01_pA-dj-Gottheit/01_pA-dj_01.png</v>
      </c>
      <c r="N390" s="2" t="s">
        <v>89</v>
      </c>
    </row>
    <row r="391" spans="1:14" x14ac:dyDescent="0.2">
      <c r="A391" s="2" t="s">
        <v>1012</v>
      </c>
      <c r="B391" s="36">
        <v>4</v>
      </c>
      <c r="C391" s="2" t="s">
        <v>46</v>
      </c>
      <c r="F391" s="2" t="s">
        <v>420</v>
      </c>
      <c r="G391" s="2" t="s">
        <v>441</v>
      </c>
      <c r="H391" s="2" t="s">
        <v>422</v>
      </c>
      <c r="I391" s="2" t="s">
        <v>111</v>
      </c>
      <c r="L391" s="2" t="str">
        <f t="shared" si="60"/>
        <v>02_Slots/Personennamen/Namen/m/01_pA-dj-Gottheit/01_pA-dj_02.png</v>
      </c>
      <c r="N391" s="2" t="s">
        <v>89</v>
      </c>
    </row>
    <row r="392" spans="1:14" x14ac:dyDescent="0.2">
      <c r="A392" s="2" t="s">
        <v>1012</v>
      </c>
      <c r="B392" s="2">
        <v>5</v>
      </c>
      <c r="C392" s="2" t="s">
        <v>44</v>
      </c>
      <c r="D392" s="2" t="s">
        <v>1013</v>
      </c>
      <c r="N392" s="2" t="s">
        <v>89</v>
      </c>
    </row>
    <row r="393" spans="1:14" x14ac:dyDescent="0.2">
      <c r="A393" s="2" t="s">
        <v>1012</v>
      </c>
      <c r="B393" s="36">
        <v>6</v>
      </c>
      <c r="C393" s="2" t="s">
        <v>45</v>
      </c>
      <c r="D393" s="2" t="s">
        <v>47</v>
      </c>
      <c r="M393" s="2" t="s">
        <v>96</v>
      </c>
      <c r="N393" s="2" t="s">
        <v>89</v>
      </c>
    </row>
    <row r="397" spans="1:14" x14ac:dyDescent="0.2">
      <c r="A397" s="2" t="s">
        <v>1166</v>
      </c>
      <c r="B397" s="2">
        <v>1</v>
      </c>
      <c r="C397" s="2" t="s">
        <v>44</v>
      </c>
      <c r="D397" s="2" t="s">
        <v>1016</v>
      </c>
      <c r="N397" s="2" t="s">
        <v>89</v>
      </c>
    </row>
    <row r="398" spans="1:14" x14ac:dyDescent="0.2">
      <c r="A398" s="2" t="s">
        <v>1166</v>
      </c>
      <c r="B398" s="2">
        <v>2</v>
      </c>
      <c r="C398" s="2" t="s">
        <v>45</v>
      </c>
      <c r="D398" s="2" t="s">
        <v>49</v>
      </c>
      <c r="M398" s="2" t="s">
        <v>98</v>
      </c>
      <c r="N398" s="2" t="s">
        <v>89</v>
      </c>
    </row>
    <row r="399" spans="1:14" x14ac:dyDescent="0.2">
      <c r="A399" s="2" t="s">
        <v>1166</v>
      </c>
      <c r="B399" s="2">
        <v>3</v>
      </c>
      <c r="C399" s="2" t="s">
        <v>44</v>
      </c>
      <c r="D399" s="2" t="s">
        <v>1169</v>
      </c>
      <c r="N399" s="2" t="s">
        <v>89</v>
      </c>
    </row>
    <row r="400" spans="1:14" x14ac:dyDescent="0.2">
      <c r="A400" s="2" t="s">
        <v>1166</v>
      </c>
      <c r="B400" s="2">
        <v>4</v>
      </c>
      <c r="C400" s="2" t="s">
        <v>44</v>
      </c>
      <c r="D400" s="2" t="s">
        <v>1170</v>
      </c>
      <c r="N400" s="2" t="s">
        <v>89</v>
      </c>
    </row>
    <row r="401" spans="1:14" x14ac:dyDescent="0.2">
      <c r="A401" s="2" t="s">
        <v>1166</v>
      </c>
      <c r="B401" s="2">
        <v>5</v>
      </c>
      <c r="C401" s="2" t="s">
        <v>45</v>
      </c>
      <c r="D401" s="2" t="s">
        <v>49</v>
      </c>
      <c r="M401" s="2" t="s">
        <v>98</v>
      </c>
      <c r="N401" s="2" t="s">
        <v>89</v>
      </c>
    </row>
    <row r="402" spans="1:14" x14ac:dyDescent="0.2">
      <c r="A402" s="2" t="s">
        <v>1166</v>
      </c>
      <c r="B402" s="2">
        <v>6</v>
      </c>
      <c r="C402" s="2" t="s">
        <v>44</v>
      </c>
      <c r="D402" s="2" t="s">
        <v>1171</v>
      </c>
      <c r="N402" s="2" t="s">
        <v>89</v>
      </c>
    </row>
    <row r="404" spans="1:14" x14ac:dyDescent="0.2">
      <c r="A404" s="2" t="s">
        <v>1167</v>
      </c>
      <c r="B404" s="2">
        <v>1</v>
      </c>
      <c r="C404" s="2" t="s">
        <v>44</v>
      </c>
      <c r="D404" s="2" t="s">
        <v>1016</v>
      </c>
      <c r="N404" s="2" t="s">
        <v>89</v>
      </c>
    </row>
    <row r="405" spans="1:14" x14ac:dyDescent="0.2">
      <c r="A405" s="2" t="s">
        <v>1167</v>
      </c>
      <c r="B405" s="2">
        <v>2</v>
      </c>
      <c r="C405" s="2" t="s">
        <v>45</v>
      </c>
      <c r="D405" s="2" t="s">
        <v>49</v>
      </c>
      <c r="M405" s="2" t="s">
        <v>98</v>
      </c>
      <c r="N405" s="2" t="s">
        <v>89</v>
      </c>
    </row>
    <row r="406" spans="1:14" x14ac:dyDescent="0.2">
      <c r="A406" s="2" t="s">
        <v>1167</v>
      </c>
      <c r="B406" s="2">
        <v>3</v>
      </c>
      <c r="C406" s="2" t="s">
        <v>44</v>
      </c>
      <c r="D406" s="2" t="s">
        <v>1169</v>
      </c>
      <c r="N406" s="2" t="s">
        <v>89</v>
      </c>
    </row>
    <row r="407" spans="1:14" x14ac:dyDescent="0.2">
      <c r="A407" s="2" t="s">
        <v>1167</v>
      </c>
      <c r="B407" s="2">
        <v>4</v>
      </c>
      <c r="C407" s="2" t="s">
        <v>44</v>
      </c>
      <c r="D407" s="2" t="s">
        <v>1172</v>
      </c>
      <c r="N407" s="2" t="s">
        <v>89</v>
      </c>
    </row>
    <row r="408" spans="1:14" x14ac:dyDescent="0.2">
      <c r="A408" s="2" t="s">
        <v>1167</v>
      </c>
      <c r="B408" s="2">
        <v>5</v>
      </c>
      <c r="C408" s="2" t="s">
        <v>45</v>
      </c>
      <c r="D408" s="2" t="s">
        <v>49</v>
      </c>
      <c r="M408" s="2" t="s">
        <v>98</v>
      </c>
      <c r="N408" s="2" t="s">
        <v>89</v>
      </c>
    </row>
    <row r="409" spans="1:14" x14ac:dyDescent="0.2">
      <c r="A409" s="2" t="s">
        <v>1167</v>
      </c>
      <c r="B409" s="2">
        <v>6</v>
      </c>
      <c r="C409" s="2" t="s">
        <v>44</v>
      </c>
      <c r="D409" s="2" t="s">
        <v>1171</v>
      </c>
      <c r="N409" s="2" t="s">
        <v>89</v>
      </c>
    </row>
    <row r="411" spans="1:14" x14ac:dyDescent="0.2">
      <c r="A411" s="2" t="s">
        <v>1168</v>
      </c>
      <c r="B411" s="2">
        <v>1</v>
      </c>
      <c r="C411" s="2" t="s">
        <v>44</v>
      </c>
      <c r="D411" s="2" t="s">
        <v>1016</v>
      </c>
      <c r="N411" s="2" t="s">
        <v>89</v>
      </c>
    </row>
    <row r="412" spans="1:14" x14ac:dyDescent="0.2">
      <c r="A412" s="2" t="s">
        <v>1168</v>
      </c>
      <c r="B412" s="2">
        <v>2</v>
      </c>
      <c r="C412" s="2" t="s">
        <v>45</v>
      </c>
      <c r="D412" s="2" t="s">
        <v>49</v>
      </c>
      <c r="M412" s="2" t="s">
        <v>98</v>
      </c>
      <c r="N412" s="2" t="s">
        <v>89</v>
      </c>
    </row>
    <row r="413" spans="1:14" x14ac:dyDescent="0.2">
      <c r="A413" s="2" t="s">
        <v>1168</v>
      </c>
      <c r="B413" s="2">
        <v>3</v>
      </c>
      <c r="C413" s="2" t="s">
        <v>44</v>
      </c>
      <c r="D413" s="2" t="s">
        <v>1171</v>
      </c>
      <c r="N413" s="2" t="s">
        <v>89</v>
      </c>
    </row>
    <row r="414" spans="1:14" x14ac:dyDescent="0.2">
      <c r="A414" s="2" t="s">
        <v>1168</v>
      </c>
      <c r="B414" s="2">
        <v>4</v>
      </c>
      <c r="C414" s="2" t="s">
        <v>44</v>
      </c>
      <c r="D414" s="2" t="s">
        <v>1172</v>
      </c>
      <c r="N414" s="2" t="s">
        <v>89</v>
      </c>
    </row>
    <row r="415" spans="1:14" x14ac:dyDescent="0.2">
      <c r="A415" s="2" t="s">
        <v>1168</v>
      </c>
      <c r="B415" s="2">
        <v>5</v>
      </c>
      <c r="C415" s="2" t="s">
        <v>45</v>
      </c>
      <c r="D415" s="2" t="s">
        <v>49</v>
      </c>
      <c r="M415" s="2" t="s">
        <v>98</v>
      </c>
      <c r="N415" s="2" t="s">
        <v>89</v>
      </c>
    </row>
    <row r="416" spans="1:14" x14ac:dyDescent="0.2">
      <c r="A416" s="2" t="s">
        <v>1168</v>
      </c>
      <c r="B416" s="2">
        <v>6</v>
      </c>
      <c r="C416" s="2" t="s">
        <v>44</v>
      </c>
      <c r="D416" s="2" t="s">
        <v>1169</v>
      </c>
      <c r="N416" s="2" t="s">
        <v>89</v>
      </c>
    </row>
    <row r="420" spans="1:14" x14ac:dyDescent="0.2">
      <c r="A420" s="2" t="s">
        <v>1637</v>
      </c>
      <c r="B420" s="2">
        <v>1</v>
      </c>
      <c r="C420" s="2" t="s">
        <v>44</v>
      </c>
      <c r="D420" s="55" t="s">
        <v>1016</v>
      </c>
      <c r="N420" s="2" t="s">
        <v>89</v>
      </c>
    </row>
    <row r="421" spans="1:14" x14ac:dyDescent="0.2">
      <c r="A421" s="2" t="s">
        <v>1637</v>
      </c>
      <c r="B421" s="2">
        <v>2</v>
      </c>
      <c r="C421" s="2" t="s">
        <v>46</v>
      </c>
      <c r="F421" s="2" t="s">
        <v>472</v>
      </c>
      <c r="G421" s="2" t="s">
        <v>1622</v>
      </c>
      <c r="H421" s="2" t="s">
        <v>1624</v>
      </c>
      <c r="I421" s="2" t="s">
        <v>111</v>
      </c>
      <c r="L421" s="2" t="str">
        <f t="shared" ref="L421" si="61">_xlfn.TEXTJOIN("", TRUE, E421:K421)</f>
        <v>02_Slots/Datum/05_Zahlen/01_Eins/0020_eins_03.png</v>
      </c>
      <c r="N421" s="2" t="s">
        <v>89</v>
      </c>
    </row>
    <row r="423" spans="1:14" x14ac:dyDescent="0.2">
      <c r="A423" s="2" t="s">
        <v>1638</v>
      </c>
      <c r="B423" s="2">
        <v>1</v>
      </c>
      <c r="C423" s="2" t="s">
        <v>44</v>
      </c>
      <c r="D423" s="55" t="s">
        <v>1016</v>
      </c>
      <c r="N423" s="2" t="s">
        <v>89</v>
      </c>
    </row>
    <row r="424" spans="1:14" x14ac:dyDescent="0.2">
      <c r="A424" s="2" t="s">
        <v>1638</v>
      </c>
      <c r="B424" s="2">
        <v>2</v>
      </c>
      <c r="C424" s="2" t="s">
        <v>46</v>
      </c>
      <c r="F424" s="2" t="s">
        <v>472</v>
      </c>
      <c r="G424" s="2" t="s">
        <v>1633</v>
      </c>
      <c r="H424" s="2" t="s">
        <v>1634</v>
      </c>
      <c r="I424" s="2" t="s">
        <v>111</v>
      </c>
      <c r="L424" s="2" t="str">
        <f t="shared" ref="L424" si="62">_xlfn.TEXTJOIN("", TRUE, E424:K424)</f>
        <v>02_Slots/Datum/05_Zahlen/10_Zehn/0020_zehn_03.png</v>
      </c>
      <c r="N424" s="2" t="s">
        <v>89</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D4F70-2351-5545-A291-11D662F747FD}">
  <dimension ref="A1:L1353"/>
  <sheetViews>
    <sheetView zoomScaleNormal="100" workbookViewId="0">
      <pane ySplit="1" topLeftCell="A275" activePane="bottomLeft" state="frozen"/>
      <selection pane="bottomLeft" activeCell="L292" sqref="L292"/>
    </sheetView>
  </sheetViews>
  <sheetFormatPr baseColWidth="10" defaultColWidth="16.6640625" defaultRowHeight="16" x14ac:dyDescent="0.2"/>
  <cols>
    <col min="1" max="1" width="25.83203125" style="2" bestFit="1" customWidth="1"/>
    <col min="2" max="2" width="6.6640625" style="36" bestFit="1" customWidth="1"/>
    <col min="3" max="3" width="22.6640625" style="2" bestFit="1" customWidth="1"/>
    <col min="4" max="4" width="3.5" style="2" bestFit="1" customWidth="1"/>
    <col min="5" max="5" width="19.83203125" style="2" customWidth="1"/>
    <col min="6" max="6" width="22.5" style="2" customWidth="1"/>
    <col min="7" max="7" width="30" style="2" customWidth="1"/>
    <col min="8" max="8" width="4.5" style="2" bestFit="1" customWidth="1"/>
    <col min="9" max="9" width="6.33203125" style="2" bestFit="1" customWidth="1"/>
    <col min="10" max="10" width="12.33203125" style="2" bestFit="1" customWidth="1"/>
    <col min="11" max="11" width="6.6640625" style="2" bestFit="1" customWidth="1"/>
    <col min="12" max="12" width="59.6640625" style="48" bestFit="1" customWidth="1"/>
    <col min="13" max="16384" width="16.6640625" style="2"/>
  </cols>
  <sheetData>
    <row r="1" spans="1:12" x14ac:dyDescent="0.2">
      <c r="A1" s="1" t="s">
        <v>22</v>
      </c>
      <c r="B1" s="37" t="s">
        <v>35</v>
      </c>
      <c r="C1" s="1" t="s">
        <v>36</v>
      </c>
      <c r="D1" s="1"/>
      <c r="E1" s="1"/>
      <c r="F1" s="1"/>
      <c r="G1" s="1"/>
      <c r="H1" s="1"/>
      <c r="I1" s="1"/>
      <c r="J1" s="1"/>
      <c r="K1" s="1"/>
      <c r="L1" s="49" t="s">
        <v>37</v>
      </c>
    </row>
    <row r="2" spans="1:12" s="3" customFormat="1" x14ac:dyDescent="0.2">
      <c r="A2" s="3" t="s">
        <v>29</v>
      </c>
      <c r="B2" s="38">
        <v>1</v>
      </c>
      <c r="C2" s="3" t="s">
        <v>38</v>
      </c>
      <c r="L2" s="50" t="s">
        <v>175</v>
      </c>
    </row>
    <row r="3" spans="1:12" s="3" customFormat="1" x14ac:dyDescent="0.2">
      <c r="A3" s="3" t="s">
        <v>29</v>
      </c>
      <c r="B3" s="38">
        <v>1</v>
      </c>
      <c r="C3" s="3" t="s">
        <v>26</v>
      </c>
      <c r="L3" s="50" t="s">
        <v>82</v>
      </c>
    </row>
    <row r="4" spans="1:12" s="3" customFormat="1" x14ac:dyDescent="0.2">
      <c r="A4" s="3" t="s">
        <v>29</v>
      </c>
      <c r="B4" s="38">
        <v>1</v>
      </c>
      <c r="C4" s="3" t="s">
        <v>39</v>
      </c>
      <c r="L4" s="50" t="s">
        <v>181</v>
      </c>
    </row>
    <row r="5" spans="1:12" s="3" customFormat="1" x14ac:dyDescent="0.2">
      <c r="A5" s="3" t="s">
        <v>29</v>
      </c>
      <c r="B5" s="38">
        <v>1</v>
      </c>
      <c r="C5" s="3" t="s">
        <v>40</v>
      </c>
      <c r="L5" s="50" t="s">
        <v>83</v>
      </c>
    </row>
    <row r="6" spans="1:12" s="3" customFormat="1" x14ac:dyDescent="0.2">
      <c r="A6" s="3" t="s">
        <v>29</v>
      </c>
      <c r="B6" s="38">
        <v>2</v>
      </c>
      <c r="C6" s="3" t="s">
        <v>38</v>
      </c>
      <c r="L6" s="50" t="s">
        <v>176</v>
      </c>
    </row>
    <row r="7" spans="1:12" s="3" customFormat="1" x14ac:dyDescent="0.2">
      <c r="A7" s="3" t="s">
        <v>29</v>
      </c>
      <c r="B7" s="38">
        <v>2</v>
      </c>
      <c r="C7" s="3" t="s">
        <v>26</v>
      </c>
      <c r="L7" s="50" t="s">
        <v>84</v>
      </c>
    </row>
    <row r="8" spans="1:12" s="3" customFormat="1" x14ac:dyDescent="0.2">
      <c r="A8" s="3" t="s">
        <v>29</v>
      </c>
      <c r="B8" s="38">
        <v>2</v>
      </c>
      <c r="C8" s="3" t="s">
        <v>39</v>
      </c>
      <c r="L8" s="50" t="s">
        <v>181</v>
      </c>
    </row>
    <row r="9" spans="1:12" s="3" customFormat="1" x14ac:dyDescent="0.2">
      <c r="A9" s="3" t="s">
        <v>29</v>
      </c>
      <c r="B9" s="38">
        <v>2</v>
      </c>
      <c r="C9" s="3" t="s">
        <v>40</v>
      </c>
      <c r="L9" s="50"/>
    </row>
    <row r="10" spans="1:12" s="3" customFormat="1" x14ac:dyDescent="0.2">
      <c r="A10" s="3" t="s">
        <v>29</v>
      </c>
      <c r="B10" s="38">
        <v>3</v>
      </c>
      <c r="C10" s="3" t="s">
        <v>38</v>
      </c>
      <c r="L10" s="50" t="s">
        <v>85</v>
      </c>
    </row>
    <row r="11" spans="1:12" s="3" customFormat="1" x14ac:dyDescent="0.2">
      <c r="A11" s="3" t="s">
        <v>29</v>
      </c>
      <c r="B11" s="38">
        <v>3</v>
      </c>
      <c r="C11" s="3" t="s">
        <v>26</v>
      </c>
      <c r="L11" s="50" t="s">
        <v>86</v>
      </c>
    </row>
    <row r="12" spans="1:12" s="3" customFormat="1" x14ac:dyDescent="0.2">
      <c r="A12" s="3" t="s">
        <v>29</v>
      </c>
      <c r="B12" s="38">
        <v>3</v>
      </c>
      <c r="C12" s="3" t="s">
        <v>39</v>
      </c>
      <c r="L12" s="50" t="s">
        <v>182</v>
      </c>
    </row>
    <row r="13" spans="1:12" s="3" customFormat="1" x14ac:dyDescent="0.2">
      <c r="A13" s="3" t="s">
        <v>29</v>
      </c>
      <c r="B13" s="38">
        <v>3</v>
      </c>
      <c r="C13" s="3" t="s">
        <v>40</v>
      </c>
      <c r="L13" s="50"/>
    </row>
    <row r="15" spans="1:12" s="4" customFormat="1" x14ac:dyDescent="0.2">
      <c r="A15" s="16" t="s">
        <v>345</v>
      </c>
      <c r="B15" s="39">
        <v>1</v>
      </c>
      <c r="C15" s="4" t="s">
        <v>38</v>
      </c>
      <c r="L15" s="51" t="s">
        <v>325</v>
      </c>
    </row>
    <row r="16" spans="1:12" s="4" customFormat="1" x14ac:dyDescent="0.2">
      <c r="A16" s="16" t="s">
        <v>345</v>
      </c>
      <c r="B16" s="39">
        <v>1</v>
      </c>
      <c r="C16" s="4" t="s">
        <v>26</v>
      </c>
      <c r="L16" s="51" t="s">
        <v>1428</v>
      </c>
    </row>
    <row r="17" spans="1:12" s="4" customFormat="1" x14ac:dyDescent="0.2">
      <c r="A17" s="16" t="s">
        <v>345</v>
      </c>
      <c r="B17" s="39">
        <v>1</v>
      </c>
      <c r="C17" s="4" t="s">
        <v>39</v>
      </c>
      <c r="L17" s="51" t="s">
        <v>346</v>
      </c>
    </row>
    <row r="18" spans="1:12" s="4" customFormat="1" x14ac:dyDescent="0.2">
      <c r="A18" s="16" t="s">
        <v>345</v>
      </c>
      <c r="B18" s="39">
        <v>1</v>
      </c>
      <c r="C18" s="4" t="s">
        <v>40</v>
      </c>
      <c r="L18" s="51" t="s">
        <v>1423</v>
      </c>
    </row>
    <row r="19" spans="1:12" s="4" customFormat="1" x14ac:dyDescent="0.2">
      <c r="A19" s="16" t="s">
        <v>345</v>
      </c>
      <c r="B19" s="39">
        <v>2</v>
      </c>
      <c r="C19" s="4" t="s">
        <v>38</v>
      </c>
      <c r="L19" s="51" t="s">
        <v>1419</v>
      </c>
    </row>
    <row r="20" spans="1:12" s="4" customFormat="1" x14ac:dyDescent="0.2">
      <c r="A20" s="16" t="s">
        <v>345</v>
      </c>
      <c r="B20" s="39">
        <v>2</v>
      </c>
      <c r="C20" s="4" t="s">
        <v>26</v>
      </c>
      <c r="L20" s="51" t="s">
        <v>1421</v>
      </c>
    </row>
    <row r="21" spans="1:12" s="4" customFormat="1" x14ac:dyDescent="0.2">
      <c r="A21" s="16" t="s">
        <v>345</v>
      </c>
      <c r="B21" s="39">
        <v>2</v>
      </c>
      <c r="C21" s="4" t="s">
        <v>39</v>
      </c>
      <c r="L21" s="51" t="s">
        <v>1422</v>
      </c>
    </row>
    <row r="22" spans="1:12" s="4" customFormat="1" x14ac:dyDescent="0.2">
      <c r="A22" s="16" t="s">
        <v>345</v>
      </c>
      <c r="B22" s="39">
        <v>2</v>
      </c>
      <c r="C22" s="4" t="s">
        <v>40</v>
      </c>
      <c r="L22" s="51"/>
    </row>
    <row r="24" spans="1:12" s="41" customFormat="1" x14ac:dyDescent="0.2">
      <c r="A24" s="18" t="s">
        <v>507</v>
      </c>
      <c r="B24" s="40">
        <v>1</v>
      </c>
      <c r="C24" s="41" t="s">
        <v>38</v>
      </c>
      <c r="L24" s="52" t="s">
        <v>367</v>
      </c>
    </row>
    <row r="25" spans="1:12" s="41" customFormat="1" x14ac:dyDescent="0.2">
      <c r="A25" s="18" t="s">
        <v>507</v>
      </c>
      <c r="B25" s="40">
        <v>1</v>
      </c>
      <c r="C25" s="41" t="s">
        <v>26</v>
      </c>
      <c r="L25" s="52" t="s">
        <v>508</v>
      </c>
    </row>
    <row r="26" spans="1:12" s="41" customFormat="1" x14ac:dyDescent="0.2">
      <c r="A26" s="18" t="s">
        <v>507</v>
      </c>
      <c r="B26" s="40">
        <v>2</v>
      </c>
      <c r="C26" s="41" t="s">
        <v>38</v>
      </c>
      <c r="L26" s="52" t="s">
        <v>370</v>
      </c>
    </row>
    <row r="27" spans="1:12" s="41" customFormat="1" x14ac:dyDescent="0.2">
      <c r="A27" s="18" t="s">
        <v>507</v>
      </c>
      <c r="B27" s="40">
        <v>2</v>
      </c>
      <c r="C27" s="41" t="s">
        <v>26</v>
      </c>
      <c r="L27" s="52" t="s">
        <v>509</v>
      </c>
    </row>
    <row r="28" spans="1:12" x14ac:dyDescent="0.2">
      <c r="A28" s="13"/>
    </row>
    <row r="29" spans="1:12" s="41" customFormat="1" x14ac:dyDescent="0.2">
      <c r="A29" s="18" t="s">
        <v>511</v>
      </c>
      <c r="B29" s="40">
        <v>1</v>
      </c>
      <c r="C29" s="41" t="s">
        <v>38</v>
      </c>
      <c r="L29" s="53" t="s">
        <v>513</v>
      </c>
    </row>
    <row r="30" spans="1:12" s="41" customFormat="1" x14ac:dyDescent="0.2">
      <c r="A30" s="18" t="s">
        <v>511</v>
      </c>
      <c r="B30" s="40">
        <v>1</v>
      </c>
      <c r="C30" s="41" t="s">
        <v>26</v>
      </c>
      <c r="L30" s="52" t="s">
        <v>512</v>
      </c>
    </row>
    <row r="34" spans="1:12" x14ac:dyDescent="0.2">
      <c r="A34" s="2" t="s">
        <v>195</v>
      </c>
      <c r="B34" s="36">
        <v>1</v>
      </c>
      <c r="C34" s="2" t="s">
        <v>38</v>
      </c>
      <c r="L34" s="48" t="s">
        <v>185</v>
      </c>
    </row>
    <row r="35" spans="1:12" x14ac:dyDescent="0.2">
      <c r="A35" s="2" t="s">
        <v>195</v>
      </c>
      <c r="B35" s="36">
        <v>1</v>
      </c>
      <c r="C35" s="2" t="s">
        <v>104</v>
      </c>
      <c r="E35" s="2" t="s">
        <v>251</v>
      </c>
      <c r="G35" s="2" t="s">
        <v>187</v>
      </c>
      <c r="H35" s="2" t="s">
        <v>111</v>
      </c>
      <c r="L35" s="48" t="str">
        <f t="shared" ref="L35:L36" si="0">_xlfn.TEXTJOIN("", TRUE, D35:J35)</f>
        <v>02_Slots/Gaben/0001_Anrufungsopfer-Totenopfer/0001_pr.t-xrw_01.png</v>
      </c>
    </row>
    <row r="36" spans="1:12" x14ac:dyDescent="0.2">
      <c r="A36" s="2" t="s">
        <v>195</v>
      </c>
      <c r="B36" s="36">
        <v>1</v>
      </c>
      <c r="C36" s="2" t="s">
        <v>104</v>
      </c>
      <c r="E36" s="2" t="s">
        <v>251</v>
      </c>
      <c r="G36" s="2" t="s">
        <v>189</v>
      </c>
      <c r="H36" s="2" t="s">
        <v>111</v>
      </c>
      <c r="L36" s="48" t="str">
        <f t="shared" si="0"/>
        <v>02_Slots/Gaben/0001_Anrufungsopfer-Totenopfer/0010_pr.t-xrw_02.png</v>
      </c>
    </row>
    <row r="37" spans="1:12" x14ac:dyDescent="0.2">
      <c r="A37" s="2" t="s">
        <v>195</v>
      </c>
      <c r="B37" s="36">
        <v>1</v>
      </c>
      <c r="C37" s="2" t="s">
        <v>104</v>
      </c>
      <c r="E37" s="2" t="s">
        <v>251</v>
      </c>
      <c r="G37" s="2" t="s">
        <v>190</v>
      </c>
      <c r="H37" s="2" t="s">
        <v>111</v>
      </c>
      <c r="I37" s="2" t="s">
        <v>1090</v>
      </c>
      <c r="J37" s="2" t="s">
        <v>1091</v>
      </c>
      <c r="K37" s="2" t="s">
        <v>1092</v>
      </c>
      <c r="L37" s="48" t="str">
        <f>_xlfn.TEXTJOIN("", TRUE, D37:K37)</f>
        <v>02_Slots/Gaben/0001_Anrufungsopfer-Totenopfer/0020_pr.t-xrw_AR_01.png &lt;sup&gt;(AR)&lt;/sup&gt;</v>
      </c>
    </row>
    <row r="38" spans="1:12" x14ac:dyDescent="0.2">
      <c r="A38" s="2" t="s">
        <v>195</v>
      </c>
      <c r="B38" s="36">
        <v>1</v>
      </c>
      <c r="C38" s="2" t="s">
        <v>188</v>
      </c>
      <c r="E38" s="2" t="s">
        <v>251</v>
      </c>
      <c r="F38" s="2" t="s">
        <v>109</v>
      </c>
      <c r="G38" s="2" t="s">
        <v>191</v>
      </c>
      <c r="H38" s="2" t="s">
        <v>111</v>
      </c>
      <c r="L38" s="48" t="str">
        <f t="shared" ref="L38" si="1">_xlfn.TEXTJOIN("", TRUE, D38:J38)</f>
        <v>02_Slots/Gaben/0001_Anrufungsopfer-Totenopfer/det/0001_pr.t-xrw_det_01.png</v>
      </c>
    </row>
    <row r="39" spans="1:12" x14ac:dyDescent="0.2">
      <c r="A39" s="2" t="s">
        <v>195</v>
      </c>
      <c r="B39" s="36">
        <v>1</v>
      </c>
      <c r="C39" s="2" t="s">
        <v>26</v>
      </c>
      <c r="L39" s="48" t="s">
        <v>186</v>
      </c>
    </row>
    <row r="40" spans="1:12" x14ac:dyDescent="0.2">
      <c r="A40" s="2" t="s">
        <v>195</v>
      </c>
      <c r="B40" s="36">
        <v>1</v>
      </c>
      <c r="C40" s="2" t="s">
        <v>1561</v>
      </c>
      <c r="L40" s="48">
        <v>850238</v>
      </c>
    </row>
    <row r="42" spans="1:12" x14ac:dyDescent="0.2">
      <c r="A42" s="2" t="s">
        <v>192</v>
      </c>
      <c r="B42" s="36">
        <v>2</v>
      </c>
      <c r="C42" s="2" t="s">
        <v>38</v>
      </c>
      <c r="L42" s="48" t="s">
        <v>196</v>
      </c>
    </row>
    <row r="43" spans="1:12" x14ac:dyDescent="0.2">
      <c r="A43" s="2" t="s">
        <v>192</v>
      </c>
      <c r="B43" s="36">
        <v>2</v>
      </c>
      <c r="C43" s="2" t="s">
        <v>104</v>
      </c>
      <c r="E43" s="2" t="s">
        <v>252</v>
      </c>
      <c r="G43" s="2" t="s">
        <v>198</v>
      </c>
      <c r="H43" s="2" t="s">
        <v>111</v>
      </c>
      <c r="L43" s="48" t="str">
        <f t="shared" ref="L43" si="2">_xlfn.TEXTJOIN("", TRUE, D43:J43)</f>
        <v>02_Slots/Gaben/0010_Bier/0001_Hnq.t_01.png</v>
      </c>
    </row>
    <row r="44" spans="1:12" x14ac:dyDescent="0.2">
      <c r="A44" s="2" t="s">
        <v>192</v>
      </c>
      <c r="B44" s="36">
        <v>2</v>
      </c>
      <c r="C44" s="2" t="s">
        <v>104</v>
      </c>
      <c r="E44" s="2" t="s">
        <v>252</v>
      </c>
      <c r="G44" s="2" t="s">
        <v>199</v>
      </c>
      <c r="H44" s="2" t="s">
        <v>111</v>
      </c>
      <c r="I44" s="2" t="s">
        <v>1090</v>
      </c>
      <c r="J44" s="2" t="s">
        <v>1093</v>
      </c>
      <c r="K44" s="2" t="s">
        <v>1092</v>
      </c>
      <c r="L44" s="48" t="str">
        <f>_xlfn.TEXTJOIN("", TRUE, D44:K44)</f>
        <v>02_Slots/Gaben/0010_Bier/0010_Hnq.t_GR_01.png &lt;sup&gt;(Gr.)&lt;/sup&gt;</v>
      </c>
    </row>
    <row r="45" spans="1:12" x14ac:dyDescent="0.2">
      <c r="A45" s="2" t="s">
        <v>192</v>
      </c>
      <c r="B45" s="36">
        <v>2</v>
      </c>
      <c r="C45" s="2" t="s">
        <v>272</v>
      </c>
      <c r="E45" s="2" t="s">
        <v>252</v>
      </c>
      <c r="G45" s="2" t="s">
        <v>200</v>
      </c>
      <c r="H45" s="2" t="s">
        <v>111</v>
      </c>
      <c r="L45" s="48" t="str">
        <f t="shared" ref="L45" si="3">_xlfn.TEXTJOIN("", TRUE, D45:J45)</f>
        <v>02_Slots/Gaben/0010_Bier/0020_Hnq.t_Abk_01.png</v>
      </c>
    </row>
    <row r="46" spans="1:12" x14ac:dyDescent="0.2">
      <c r="A46" s="2" t="s">
        <v>192</v>
      </c>
      <c r="B46" s="36">
        <v>2</v>
      </c>
      <c r="C46" s="2" t="s">
        <v>188</v>
      </c>
      <c r="E46" s="2" t="s">
        <v>252</v>
      </c>
      <c r="F46" s="2" t="s">
        <v>109</v>
      </c>
      <c r="G46" s="2" t="s">
        <v>201</v>
      </c>
      <c r="H46" s="2" t="s">
        <v>111</v>
      </c>
      <c r="L46" s="48" t="str">
        <f t="shared" ref="L46" si="4">_xlfn.TEXTJOIN("", TRUE, D46:J46)</f>
        <v>02_Slots/Gaben/0010_Bier/det/0001_Hnq.t_det_01.png</v>
      </c>
    </row>
    <row r="47" spans="1:12" x14ac:dyDescent="0.2">
      <c r="A47" s="2" t="s">
        <v>192</v>
      </c>
      <c r="B47" s="36">
        <v>2</v>
      </c>
      <c r="C47" s="2" t="s">
        <v>188</v>
      </c>
      <c r="E47" s="2" t="s">
        <v>252</v>
      </c>
      <c r="F47" s="2" t="s">
        <v>109</v>
      </c>
      <c r="G47" s="2" t="s">
        <v>202</v>
      </c>
      <c r="H47" s="2" t="s">
        <v>111</v>
      </c>
      <c r="L47" s="48" t="str">
        <f t="shared" ref="L47" si="5">_xlfn.TEXTJOIN("", TRUE, D47:J47)</f>
        <v>02_Slots/Gaben/0010_Bier/det/0010_Hnq.t_det_02.png</v>
      </c>
    </row>
    <row r="48" spans="1:12" x14ac:dyDescent="0.2">
      <c r="A48" s="2" t="s">
        <v>192</v>
      </c>
      <c r="B48" s="36">
        <v>2</v>
      </c>
      <c r="C48" s="2" t="s">
        <v>26</v>
      </c>
      <c r="L48" s="48" t="s">
        <v>197</v>
      </c>
    </row>
    <row r="49" spans="1:12" x14ac:dyDescent="0.2">
      <c r="A49" s="2" t="s">
        <v>192</v>
      </c>
      <c r="B49" s="36">
        <v>2</v>
      </c>
      <c r="C49" s="2" t="s">
        <v>1561</v>
      </c>
      <c r="L49" s="48">
        <v>110300</v>
      </c>
    </row>
    <row r="51" spans="1:12" x14ac:dyDescent="0.2">
      <c r="A51" s="2" t="s">
        <v>192</v>
      </c>
      <c r="B51" s="36">
        <v>1</v>
      </c>
      <c r="C51" s="2" t="s">
        <v>38</v>
      </c>
      <c r="L51" s="48" t="s">
        <v>209</v>
      </c>
    </row>
    <row r="52" spans="1:12" x14ac:dyDescent="0.2">
      <c r="A52" s="2" t="s">
        <v>192</v>
      </c>
      <c r="B52" s="36">
        <v>1</v>
      </c>
      <c r="C52" s="2" t="s">
        <v>104</v>
      </c>
      <c r="E52" s="2" t="s">
        <v>253</v>
      </c>
      <c r="G52" s="2" t="s">
        <v>203</v>
      </c>
      <c r="H52" s="2" t="s">
        <v>111</v>
      </c>
      <c r="L52" s="48" t="str">
        <f t="shared" ref="L52:L57" si="6">_xlfn.TEXTJOIN("", TRUE, D52:J52)</f>
        <v>02_Slots/Gaben/0020_Brot/0001_t_01.png</v>
      </c>
    </row>
    <row r="53" spans="1:12" x14ac:dyDescent="0.2">
      <c r="A53" s="2" t="s">
        <v>192</v>
      </c>
      <c r="B53" s="36">
        <v>1</v>
      </c>
      <c r="C53" s="2" t="s">
        <v>272</v>
      </c>
      <c r="E53" s="2" t="s">
        <v>253</v>
      </c>
      <c r="G53" s="2" t="s">
        <v>204</v>
      </c>
      <c r="H53" s="2" t="s">
        <v>111</v>
      </c>
      <c r="L53" s="48" t="str">
        <f t="shared" si="6"/>
        <v>02_Slots/Gaben/0020_Brot/0010_t_Abk_01.png</v>
      </c>
    </row>
    <row r="54" spans="1:12" x14ac:dyDescent="0.2">
      <c r="A54" s="2" t="s">
        <v>192</v>
      </c>
      <c r="B54" s="36">
        <v>1</v>
      </c>
      <c r="C54" s="2" t="s">
        <v>188</v>
      </c>
      <c r="E54" s="2" t="s">
        <v>253</v>
      </c>
      <c r="F54" s="2" t="s">
        <v>109</v>
      </c>
      <c r="G54" s="2" t="s">
        <v>205</v>
      </c>
      <c r="H54" s="2" t="s">
        <v>111</v>
      </c>
      <c r="L54" s="48" t="str">
        <f t="shared" si="6"/>
        <v>02_Slots/Gaben/0020_Brot/det/0001_t_det_01.png</v>
      </c>
    </row>
    <row r="55" spans="1:12" x14ac:dyDescent="0.2">
      <c r="A55" s="2" t="s">
        <v>192</v>
      </c>
      <c r="B55" s="36">
        <v>1</v>
      </c>
      <c r="C55" s="2" t="s">
        <v>188</v>
      </c>
      <c r="E55" s="2" t="s">
        <v>253</v>
      </c>
      <c r="F55" s="2" t="s">
        <v>109</v>
      </c>
      <c r="G55" s="2" t="s">
        <v>206</v>
      </c>
      <c r="H55" s="2" t="s">
        <v>111</v>
      </c>
      <c r="L55" s="48" t="str">
        <f t="shared" si="6"/>
        <v>02_Slots/Gaben/0020_Brot/det/0010_t_det_02.png</v>
      </c>
    </row>
    <row r="56" spans="1:12" x14ac:dyDescent="0.2">
      <c r="A56" s="2" t="s">
        <v>192</v>
      </c>
      <c r="B56" s="36">
        <v>1</v>
      </c>
      <c r="C56" s="2" t="s">
        <v>188</v>
      </c>
      <c r="E56" s="2" t="s">
        <v>253</v>
      </c>
      <c r="F56" s="2" t="s">
        <v>109</v>
      </c>
      <c r="G56" s="2" t="s">
        <v>207</v>
      </c>
      <c r="H56" s="2" t="s">
        <v>111</v>
      </c>
      <c r="L56" s="48" t="str">
        <f t="shared" ref="L56" si="7">_xlfn.TEXTJOIN("", TRUE, D56:J56)</f>
        <v>02_Slots/Gaben/0020_Brot/det/0020_t_det_03.png</v>
      </c>
    </row>
    <row r="57" spans="1:12" x14ac:dyDescent="0.2">
      <c r="A57" s="2" t="s">
        <v>192</v>
      </c>
      <c r="B57" s="36">
        <v>1</v>
      </c>
      <c r="C57" s="2" t="s">
        <v>188</v>
      </c>
      <c r="E57" s="2" t="s">
        <v>253</v>
      </c>
      <c r="F57" s="2" t="s">
        <v>109</v>
      </c>
      <c r="G57" s="2" t="s">
        <v>208</v>
      </c>
      <c r="H57" s="2" t="s">
        <v>111</v>
      </c>
      <c r="L57" s="48" t="str">
        <f t="shared" si="6"/>
        <v>02_Slots/Gaben/0020_Brot/det/0030_t_det_04.png</v>
      </c>
    </row>
    <row r="58" spans="1:12" x14ac:dyDescent="0.2">
      <c r="A58" s="2" t="s">
        <v>192</v>
      </c>
      <c r="B58" s="36">
        <v>1</v>
      </c>
      <c r="C58" s="2" t="s">
        <v>26</v>
      </c>
      <c r="L58" s="48" t="s">
        <v>210</v>
      </c>
    </row>
    <row r="59" spans="1:12" x14ac:dyDescent="0.2">
      <c r="A59" s="2" t="s">
        <v>192</v>
      </c>
      <c r="B59" s="36">
        <v>1</v>
      </c>
      <c r="C59" s="2" t="s">
        <v>1561</v>
      </c>
      <c r="L59" s="48">
        <v>168810</v>
      </c>
    </row>
    <row r="61" spans="1:12" x14ac:dyDescent="0.2">
      <c r="A61" s="2" t="s">
        <v>192</v>
      </c>
      <c r="B61" s="36">
        <v>4</v>
      </c>
      <c r="C61" s="2" t="s">
        <v>38</v>
      </c>
      <c r="L61" s="48" t="s">
        <v>215</v>
      </c>
    </row>
    <row r="62" spans="1:12" x14ac:dyDescent="0.2">
      <c r="A62" s="2" t="s">
        <v>192</v>
      </c>
      <c r="B62" s="36">
        <v>4</v>
      </c>
      <c r="C62" s="2" t="s">
        <v>104</v>
      </c>
      <c r="E62" s="2" t="s">
        <v>254</v>
      </c>
      <c r="G62" s="2" t="s">
        <v>211</v>
      </c>
      <c r="H62" s="2" t="s">
        <v>111</v>
      </c>
      <c r="L62" s="48" t="str">
        <f>_xlfn.TEXTJOIN("", TRUE, D62:H62)</f>
        <v>02_Slots/Gaben/0030_Gefluegel/0001_Apd_01.png</v>
      </c>
    </row>
    <row r="63" spans="1:12" x14ac:dyDescent="0.2">
      <c r="A63" s="2" t="s">
        <v>192</v>
      </c>
      <c r="B63" s="36">
        <v>4</v>
      </c>
      <c r="C63" s="2" t="s">
        <v>272</v>
      </c>
      <c r="E63" s="2" t="s">
        <v>254</v>
      </c>
      <c r="G63" s="2" t="s">
        <v>212</v>
      </c>
      <c r="H63" s="2" t="s">
        <v>111</v>
      </c>
      <c r="L63" s="48" t="str">
        <f>_xlfn.TEXTJOIN("", TRUE, D63:K63)</f>
        <v>02_Slots/Gaben/0030_Gefluegel/0010_Apd_Abk_01.png</v>
      </c>
    </row>
    <row r="64" spans="1:12" x14ac:dyDescent="0.2">
      <c r="A64" s="2" t="s">
        <v>192</v>
      </c>
      <c r="B64" s="36">
        <v>4</v>
      </c>
      <c r="C64" s="2" t="s">
        <v>272</v>
      </c>
      <c r="E64" s="2" t="s">
        <v>254</v>
      </c>
      <c r="G64" s="2" t="s">
        <v>213</v>
      </c>
      <c r="H64" s="2" t="s">
        <v>111</v>
      </c>
      <c r="L64" s="48" t="str">
        <f t="shared" ref="L64:L65" si="8">_xlfn.TEXTJOIN("", TRUE, D64:J64)</f>
        <v>02_Slots/Gaben/0030_Gefluegel/0020_Apd_Abk_02.png</v>
      </c>
    </row>
    <row r="65" spans="1:12" x14ac:dyDescent="0.2">
      <c r="A65" s="2" t="s">
        <v>192</v>
      </c>
      <c r="B65" s="36">
        <v>4</v>
      </c>
      <c r="C65" s="2" t="s">
        <v>188</v>
      </c>
      <c r="E65" s="2" t="s">
        <v>254</v>
      </c>
      <c r="F65" s="2" t="s">
        <v>109</v>
      </c>
      <c r="G65" s="2" t="s">
        <v>214</v>
      </c>
      <c r="H65" s="2" t="s">
        <v>111</v>
      </c>
      <c r="L65" s="48" t="str">
        <f t="shared" si="8"/>
        <v>02_Slots/Gaben/0030_Gefluegel/det/0001_Apd_det_01.png</v>
      </c>
    </row>
    <row r="66" spans="1:12" x14ac:dyDescent="0.2">
      <c r="A66" s="2" t="s">
        <v>192</v>
      </c>
      <c r="B66" s="36">
        <v>4</v>
      </c>
      <c r="C66" s="2" t="s">
        <v>26</v>
      </c>
      <c r="L66" s="48" t="s">
        <v>216</v>
      </c>
    </row>
    <row r="67" spans="1:12" x14ac:dyDescent="0.2">
      <c r="A67" s="2" t="s">
        <v>192</v>
      </c>
      <c r="B67" s="36">
        <v>4</v>
      </c>
      <c r="C67" s="2" t="s">
        <v>1561</v>
      </c>
      <c r="L67" s="48">
        <v>107</v>
      </c>
    </row>
    <row r="69" spans="1:12" x14ac:dyDescent="0.2">
      <c r="A69" s="2" t="s">
        <v>192</v>
      </c>
      <c r="B69" s="36">
        <v>3</v>
      </c>
      <c r="C69" s="2" t="s">
        <v>38</v>
      </c>
      <c r="L69" s="48" t="s">
        <v>218</v>
      </c>
    </row>
    <row r="70" spans="1:12" x14ac:dyDescent="0.2">
      <c r="A70" s="2" t="s">
        <v>192</v>
      </c>
      <c r="B70" s="36">
        <v>3</v>
      </c>
      <c r="C70" s="2" t="s">
        <v>104</v>
      </c>
      <c r="E70" s="2" t="s">
        <v>255</v>
      </c>
      <c r="G70" s="2" t="s">
        <v>219</v>
      </c>
      <c r="H70" s="2" t="s">
        <v>111</v>
      </c>
      <c r="L70" s="48" t="str">
        <f t="shared" ref="L70" si="9">_xlfn.TEXTJOIN("", TRUE, D70:J70)</f>
        <v>02_Slots/Gaben/0040_Rinder/0001_kA_01.png</v>
      </c>
    </row>
    <row r="71" spans="1:12" x14ac:dyDescent="0.2">
      <c r="A71" s="2" t="s">
        <v>192</v>
      </c>
      <c r="B71" s="36">
        <v>3</v>
      </c>
      <c r="C71" s="2" t="s">
        <v>104</v>
      </c>
      <c r="E71" s="2" t="s">
        <v>255</v>
      </c>
      <c r="G71" s="2" t="s">
        <v>220</v>
      </c>
      <c r="H71" s="2" t="s">
        <v>111</v>
      </c>
      <c r="I71" s="2" t="s">
        <v>1090</v>
      </c>
      <c r="J71" s="2" t="s">
        <v>1094</v>
      </c>
      <c r="K71" s="2" t="s">
        <v>1092</v>
      </c>
      <c r="L71" s="48" t="str">
        <f t="shared" ref="L71:L73" si="10">_xlfn.TEXTJOIN("", TRUE, D71:K71)</f>
        <v>02_Slots/Gaben/0040_Rinder/0010_kA_MR_03.png &lt;sup&gt;(MR)&lt;/sup&gt;</v>
      </c>
    </row>
    <row r="72" spans="1:12" x14ac:dyDescent="0.2">
      <c r="A72" s="2" t="s">
        <v>192</v>
      </c>
      <c r="B72" s="36">
        <v>3</v>
      </c>
      <c r="C72" s="2" t="s">
        <v>104</v>
      </c>
      <c r="E72" s="2" t="s">
        <v>255</v>
      </c>
      <c r="G72" s="2" t="s">
        <v>221</v>
      </c>
      <c r="H72" s="2" t="s">
        <v>111</v>
      </c>
      <c r="I72" s="2" t="s">
        <v>1090</v>
      </c>
      <c r="J72" s="2" t="s">
        <v>1049</v>
      </c>
      <c r="K72" s="2" t="s">
        <v>1092</v>
      </c>
      <c r="L72" s="48" t="str">
        <f t="shared" si="10"/>
        <v>02_Slots/Gaben/0040_Rinder/0020_kA_NR_01.png &lt;sup&gt;(NR)&lt;/sup&gt;</v>
      </c>
    </row>
    <row r="73" spans="1:12" x14ac:dyDescent="0.2">
      <c r="A73" s="2" t="s">
        <v>192</v>
      </c>
      <c r="B73" s="36">
        <v>3</v>
      </c>
      <c r="C73" s="2" t="s">
        <v>104</v>
      </c>
      <c r="E73" s="2" t="s">
        <v>255</v>
      </c>
      <c r="G73" s="2" t="s">
        <v>222</v>
      </c>
      <c r="H73" s="2" t="s">
        <v>111</v>
      </c>
      <c r="I73" s="2" t="s">
        <v>1090</v>
      </c>
      <c r="J73" s="2" t="s">
        <v>1049</v>
      </c>
      <c r="K73" s="2" t="s">
        <v>1092</v>
      </c>
      <c r="L73" s="48" t="str">
        <f t="shared" si="10"/>
        <v>02_Slots/Gaben/0040_Rinder/0030_kA_NR_02.png &lt;sup&gt;(NR)&lt;/sup&gt;</v>
      </c>
    </row>
    <row r="74" spans="1:12" x14ac:dyDescent="0.2">
      <c r="A74" s="2" t="s">
        <v>192</v>
      </c>
      <c r="B74" s="36">
        <v>3</v>
      </c>
      <c r="C74" s="2" t="s">
        <v>272</v>
      </c>
      <c r="E74" s="2" t="s">
        <v>255</v>
      </c>
      <c r="G74" s="2" t="s">
        <v>223</v>
      </c>
      <c r="H74" s="2" t="s">
        <v>111</v>
      </c>
      <c r="L74" s="48" t="str">
        <f t="shared" ref="L74:L75" si="11">_xlfn.TEXTJOIN("", TRUE, D74:J74)</f>
        <v>02_Slots/Gaben/0040_Rinder/0040_kA_Abk_01.png</v>
      </c>
    </row>
    <row r="75" spans="1:12" x14ac:dyDescent="0.2">
      <c r="A75" s="2" t="s">
        <v>192</v>
      </c>
      <c r="B75" s="36">
        <v>3</v>
      </c>
      <c r="C75" s="2" t="s">
        <v>188</v>
      </c>
      <c r="E75" s="2" t="s">
        <v>255</v>
      </c>
      <c r="F75" s="2" t="s">
        <v>109</v>
      </c>
      <c r="G75" s="2" t="s">
        <v>224</v>
      </c>
      <c r="H75" s="2" t="s">
        <v>111</v>
      </c>
      <c r="L75" s="48" t="str">
        <f t="shared" si="11"/>
        <v>02_Slots/Gaben/0040_Rinder/det/0001_kA_det_01.png</v>
      </c>
    </row>
    <row r="76" spans="1:12" x14ac:dyDescent="0.2">
      <c r="A76" s="2" t="s">
        <v>192</v>
      </c>
      <c r="B76" s="36">
        <v>3</v>
      </c>
      <c r="C76" s="2" t="s">
        <v>26</v>
      </c>
      <c r="L76" s="48" t="s">
        <v>217</v>
      </c>
    </row>
    <row r="77" spans="1:12" x14ac:dyDescent="0.2">
      <c r="A77" s="2" t="s">
        <v>192</v>
      </c>
      <c r="B77" s="36">
        <v>3</v>
      </c>
      <c r="C77" s="2" t="s">
        <v>1561</v>
      </c>
      <c r="L77" s="48">
        <v>162930</v>
      </c>
    </row>
    <row r="79" spans="1:12" x14ac:dyDescent="0.2">
      <c r="A79" s="2" t="s">
        <v>192</v>
      </c>
      <c r="B79" s="36">
        <v>5</v>
      </c>
      <c r="C79" s="2" t="s">
        <v>38</v>
      </c>
      <c r="L79" s="48" t="s">
        <v>225</v>
      </c>
    </row>
    <row r="80" spans="1:12" x14ac:dyDescent="0.2">
      <c r="A80" s="2" t="s">
        <v>192</v>
      </c>
      <c r="B80" s="36">
        <v>5</v>
      </c>
      <c r="C80" s="2" t="s">
        <v>104</v>
      </c>
      <c r="E80" s="2" t="s">
        <v>256</v>
      </c>
      <c r="G80" s="2" t="s">
        <v>230</v>
      </c>
      <c r="H80" s="2" t="s">
        <v>111</v>
      </c>
      <c r="I80" s="2" t="s">
        <v>1090</v>
      </c>
      <c r="J80" s="2" t="s">
        <v>1081</v>
      </c>
      <c r="K80" s="2" t="s">
        <v>1092</v>
      </c>
      <c r="L80" s="48" t="str">
        <f>_xlfn.TEXTJOIN("", TRUE, D80:K80)</f>
        <v>02_Slots/Gaben/0050_Alabaster/0001_Ss_AR-MR_01.png &lt;sup&gt;(AR; MR)&lt;/sup&gt;</v>
      </c>
    </row>
    <row r="81" spans="1:12" x14ac:dyDescent="0.2">
      <c r="A81" s="2" t="s">
        <v>192</v>
      </c>
      <c r="B81" s="36">
        <v>5</v>
      </c>
      <c r="C81" s="2" t="s">
        <v>272</v>
      </c>
      <c r="E81" s="2" t="s">
        <v>256</v>
      </c>
      <c r="G81" s="2" t="s">
        <v>227</v>
      </c>
      <c r="H81" s="2" t="s">
        <v>111</v>
      </c>
      <c r="L81" s="48" t="str">
        <f t="shared" ref="L81:L83" si="12">_xlfn.TEXTJOIN("", TRUE, D81:J81)</f>
        <v>02_Slots/Gaben/0050_Alabaster/0010_Ss_Abk_01.png</v>
      </c>
    </row>
    <row r="82" spans="1:12" x14ac:dyDescent="0.2">
      <c r="A82" s="2" t="s">
        <v>192</v>
      </c>
      <c r="B82" s="36">
        <v>5</v>
      </c>
      <c r="C82" s="2" t="s">
        <v>272</v>
      </c>
      <c r="E82" s="2" t="s">
        <v>256</v>
      </c>
      <c r="G82" s="2" t="s">
        <v>228</v>
      </c>
      <c r="H82" s="2" t="s">
        <v>111</v>
      </c>
      <c r="I82" s="2" t="s">
        <v>1090</v>
      </c>
      <c r="J82" s="2" t="s">
        <v>1094</v>
      </c>
      <c r="K82" s="2" t="s">
        <v>1092</v>
      </c>
      <c r="L82" s="48" t="str">
        <f>_xlfn.TEXTJOIN("", TRUE, D82:K82)</f>
        <v>02_Slots/Gaben/0050_Alabaster/0020_Ss_Abk_MR_01.png &lt;sup&gt;(MR)&lt;/sup&gt;</v>
      </c>
    </row>
    <row r="83" spans="1:12" x14ac:dyDescent="0.2">
      <c r="A83" s="2" t="s">
        <v>192</v>
      </c>
      <c r="B83" s="36">
        <v>5</v>
      </c>
      <c r="C83" s="2" t="s">
        <v>188</v>
      </c>
      <c r="E83" s="2" t="s">
        <v>256</v>
      </c>
      <c r="F83" s="2" t="s">
        <v>109</v>
      </c>
      <c r="G83" s="2" t="s">
        <v>229</v>
      </c>
      <c r="H83" s="2" t="s">
        <v>111</v>
      </c>
      <c r="L83" s="48" t="str">
        <f t="shared" si="12"/>
        <v>02_Slots/Gaben/0050_Alabaster/det/0001_Ss_det_01.png</v>
      </c>
    </row>
    <row r="84" spans="1:12" x14ac:dyDescent="0.2">
      <c r="A84" s="2" t="s">
        <v>192</v>
      </c>
      <c r="B84" s="36">
        <v>5</v>
      </c>
      <c r="C84" s="2" t="s">
        <v>26</v>
      </c>
      <c r="L84" s="48" t="s">
        <v>226</v>
      </c>
    </row>
    <row r="85" spans="1:12" x14ac:dyDescent="0.2">
      <c r="A85" s="2" t="s">
        <v>192</v>
      </c>
      <c r="B85" s="36">
        <v>5</v>
      </c>
      <c r="C85" s="2" t="s">
        <v>1561</v>
      </c>
      <c r="L85" s="48">
        <v>156950</v>
      </c>
    </row>
    <row r="87" spans="1:12" x14ac:dyDescent="0.2">
      <c r="A87" s="2" t="s">
        <v>192</v>
      </c>
      <c r="B87" s="36">
        <v>6</v>
      </c>
      <c r="C87" s="2" t="s">
        <v>38</v>
      </c>
      <c r="L87" s="48" t="s">
        <v>231</v>
      </c>
    </row>
    <row r="88" spans="1:12" x14ac:dyDescent="0.2">
      <c r="A88" s="2" t="s">
        <v>192</v>
      </c>
      <c r="B88" s="36">
        <v>6</v>
      </c>
      <c r="C88" s="2" t="s">
        <v>104</v>
      </c>
      <c r="E88" s="2" t="s">
        <v>257</v>
      </c>
      <c r="G88" s="2" t="s">
        <v>233</v>
      </c>
      <c r="H88" s="2" t="s">
        <v>111</v>
      </c>
      <c r="L88" s="48" t="str">
        <f t="shared" ref="L88:L94" si="13">_xlfn.TEXTJOIN("", TRUE, D88:J88)</f>
        <v>02_Slots/Gaben/0060_Leinen/0001_mnx.t_01.png</v>
      </c>
    </row>
    <row r="89" spans="1:12" x14ac:dyDescent="0.2">
      <c r="A89" s="2" t="s">
        <v>192</v>
      </c>
      <c r="B89" s="36">
        <v>6</v>
      </c>
      <c r="C89" s="2" t="s">
        <v>104</v>
      </c>
      <c r="E89" s="2" t="s">
        <v>257</v>
      </c>
      <c r="G89" s="2" t="s">
        <v>234</v>
      </c>
      <c r="H89" s="2" t="s">
        <v>111</v>
      </c>
      <c r="I89" s="2" t="s">
        <v>1090</v>
      </c>
      <c r="J89" s="2" t="s">
        <v>1049</v>
      </c>
      <c r="K89" s="2" t="s">
        <v>1092</v>
      </c>
      <c r="L89" s="48" t="str">
        <f>_xlfn.TEXTJOIN("", TRUE, D89:K89)</f>
        <v>02_Slots/Gaben/0060_Leinen/0010_mnx.t_NR_01.png &lt;sup&gt;(NR)&lt;/sup&gt;</v>
      </c>
    </row>
    <row r="90" spans="1:12" x14ac:dyDescent="0.2">
      <c r="A90" s="2" t="s">
        <v>192</v>
      </c>
      <c r="B90" s="36">
        <v>6</v>
      </c>
      <c r="C90" s="2" t="s">
        <v>272</v>
      </c>
      <c r="E90" s="2" t="s">
        <v>257</v>
      </c>
      <c r="G90" s="2" t="s">
        <v>235</v>
      </c>
      <c r="H90" s="2" t="s">
        <v>111</v>
      </c>
      <c r="L90" s="48" t="str">
        <f t="shared" si="13"/>
        <v>02_Slots/Gaben/0060_Leinen/0030_mnx.t_Abk_01.png</v>
      </c>
    </row>
    <row r="91" spans="1:12" x14ac:dyDescent="0.2">
      <c r="A91" s="2" t="s">
        <v>192</v>
      </c>
      <c r="B91" s="36">
        <v>6</v>
      </c>
      <c r="C91" s="2" t="s">
        <v>272</v>
      </c>
      <c r="E91" s="2" t="s">
        <v>257</v>
      </c>
      <c r="G91" s="2" t="s">
        <v>236</v>
      </c>
      <c r="H91" s="2" t="s">
        <v>111</v>
      </c>
      <c r="I91" s="2" t="s">
        <v>1090</v>
      </c>
      <c r="J91" s="2" t="s">
        <v>1049</v>
      </c>
      <c r="K91" s="2" t="s">
        <v>1092</v>
      </c>
      <c r="L91" s="48" t="str">
        <f t="shared" ref="L91:L93" si="14">_xlfn.TEXTJOIN("", TRUE, D91:K91)</f>
        <v>02_Slots/Gaben/0060_Leinen/0040_mnx.t_Abk_NR_02.png &lt;sup&gt;(NR)&lt;/sup&gt;</v>
      </c>
    </row>
    <row r="92" spans="1:12" x14ac:dyDescent="0.2">
      <c r="A92" s="2" t="s">
        <v>192</v>
      </c>
      <c r="B92" s="36">
        <v>6</v>
      </c>
      <c r="C92" s="2" t="s">
        <v>272</v>
      </c>
      <c r="E92" s="2" t="s">
        <v>257</v>
      </c>
      <c r="G92" s="2" t="s">
        <v>237</v>
      </c>
      <c r="H92" s="2" t="s">
        <v>111</v>
      </c>
      <c r="I92" s="2" t="s">
        <v>1090</v>
      </c>
      <c r="J92" s="2" t="s">
        <v>1093</v>
      </c>
      <c r="K92" s="2" t="s">
        <v>1092</v>
      </c>
      <c r="L92" s="48" t="str">
        <f t="shared" si="14"/>
        <v>02_Slots/Gaben/0060_Leinen/0050_mnx.t_Abk_GR_01.png &lt;sup&gt;(Gr.)&lt;/sup&gt;</v>
      </c>
    </row>
    <row r="93" spans="1:12" x14ac:dyDescent="0.2">
      <c r="A93" s="2" t="s">
        <v>192</v>
      </c>
      <c r="B93" s="36">
        <v>6</v>
      </c>
      <c r="C93" s="2" t="s">
        <v>272</v>
      </c>
      <c r="E93" s="2" t="s">
        <v>257</v>
      </c>
      <c r="G93" s="2" t="s">
        <v>238</v>
      </c>
      <c r="H93" s="2" t="s">
        <v>111</v>
      </c>
      <c r="I93" s="2" t="s">
        <v>1090</v>
      </c>
      <c r="J93" s="2" t="s">
        <v>1093</v>
      </c>
      <c r="K93" s="2" t="s">
        <v>1092</v>
      </c>
      <c r="L93" s="48" t="str">
        <f t="shared" si="14"/>
        <v>02_Slots/Gaben/0060_Leinen/0060_mnx.t_Abk_GR_02.png &lt;sup&gt;(Gr.)&lt;/sup&gt;</v>
      </c>
    </row>
    <row r="94" spans="1:12" x14ac:dyDescent="0.2">
      <c r="A94" s="2" t="s">
        <v>192</v>
      </c>
      <c r="B94" s="36">
        <v>6</v>
      </c>
      <c r="C94" s="2" t="s">
        <v>188</v>
      </c>
      <c r="E94" s="2" t="s">
        <v>257</v>
      </c>
      <c r="F94" s="2" t="s">
        <v>109</v>
      </c>
      <c r="G94" s="2" t="s">
        <v>239</v>
      </c>
      <c r="H94" s="2" t="s">
        <v>111</v>
      </c>
      <c r="L94" s="48" t="str">
        <f t="shared" si="13"/>
        <v>02_Slots/Gaben/0060_Leinen/det/0001_mnx.t_det_01.png</v>
      </c>
    </row>
    <row r="95" spans="1:12" x14ac:dyDescent="0.2">
      <c r="A95" s="2" t="s">
        <v>192</v>
      </c>
      <c r="B95" s="36">
        <v>6</v>
      </c>
      <c r="C95" s="2" t="s">
        <v>188</v>
      </c>
      <c r="E95" s="2" t="s">
        <v>257</v>
      </c>
      <c r="F95" s="2" t="s">
        <v>109</v>
      </c>
      <c r="G95" s="2" t="s">
        <v>240</v>
      </c>
      <c r="H95" s="2" t="s">
        <v>111</v>
      </c>
      <c r="L95" s="48" t="str">
        <f t="shared" ref="L95" si="15">_xlfn.TEXTJOIN("", TRUE, D95:J95)</f>
        <v>02_Slots/Gaben/0060_Leinen/det/0010_mnx.t_det_02.png</v>
      </c>
    </row>
    <row r="96" spans="1:12" x14ac:dyDescent="0.2">
      <c r="A96" s="2" t="s">
        <v>192</v>
      </c>
      <c r="B96" s="36">
        <v>6</v>
      </c>
      <c r="C96" s="2" t="s">
        <v>188</v>
      </c>
      <c r="E96" s="2" t="s">
        <v>257</v>
      </c>
      <c r="F96" s="2" t="s">
        <v>109</v>
      </c>
      <c r="G96" s="2" t="s">
        <v>241</v>
      </c>
      <c r="H96" s="2" t="s">
        <v>111</v>
      </c>
      <c r="I96" s="2" t="s">
        <v>1090</v>
      </c>
      <c r="J96" s="2" t="s">
        <v>1049</v>
      </c>
      <c r="K96" s="2" t="s">
        <v>1092</v>
      </c>
      <c r="L96" s="48" t="str">
        <f t="shared" ref="L96:L97" si="16">_xlfn.TEXTJOIN("", TRUE, D96:K96)</f>
        <v>02_Slots/Gaben/0060_Leinen/det/0020_mnx.t_det_NR_01.png &lt;sup&gt;(NR)&lt;/sup&gt;</v>
      </c>
    </row>
    <row r="97" spans="1:12" x14ac:dyDescent="0.2">
      <c r="A97" s="2" t="s">
        <v>192</v>
      </c>
      <c r="B97" s="36">
        <v>6</v>
      </c>
      <c r="C97" s="2" t="s">
        <v>188</v>
      </c>
      <c r="E97" s="2" t="s">
        <v>257</v>
      </c>
      <c r="F97" s="2" t="s">
        <v>109</v>
      </c>
      <c r="G97" s="2" t="s">
        <v>242</v>
      </c>
      <c r="H97" s="2" t="s">
        <v>111</v>
      </c>
      <c r="I97" s="2" t="s">
        <v>1090</v>
      </c>
      <c r="J97" s="2" t="s">
        <v>1049</v>
      </c>
      <c r="K97" s="2" t="s">
        <v>1092</v>
      </c>
      <c r="L97" s="48" t="str">
        <f t="shared" si="16"/>
        <v>02_Slots/Gaben/0060_Leinen/det/0030_mnx.t_det_NR_02.png &lt;sup&gt;(NR)&lt;/sup&gt;</v>
      </c>
    </row>
    <row r="98" spans="1:12" x14ac:dyDescent="0.2">
      <c r="A98" s="2" t="s">
        <v>192</v>
      </c>
      <c r="B98" s="36">
        <v>6</v>
      </c>
      <c r="C98" s="2" t="s">
        <v>26</v>
      </c>
      <c r="L98" s="48" t="s">
        <v>232</v>
      </c>
    </row>
    <row r="99" spans="1:12" x14ac:dyDescent="0.2">
      <c r="A99" s="2" t="s">
        <v>192</v>
      </c>
      <c r="B99" s="36">
        <v>6</v>
      </c>
      <c r="C99" s="2" t="s">
        <v>1561</v>
      </c>
      <c r="L99" s="48">
        <v>71170</v>
      </c>
    </row>
    <row r="101" spans="1:12" x14ac:dyDescent="0.2">
      <c r="A101" s="2" t="s">
        <v>192</v>
      </c>
      <c r="B101" s="36">
        <v>7</v>
      </c>
      <c r="C101" s="2" t="s">
        <v>38</v>
      </c>
      <c r="L101" s="48" t="s">
        <v>249</v>
      </c>
    </row>
    <row r="102" spans="1:12" x14ac:dyDescent="0.2">
      <c r="A102" s="2" t="s">
        <v>192</v>
      </c>
      <c r="B102" s="36">
        <v>7</v>
      </c>
      <c r="C102" s="2" t="s">
        <v>104</v>
      </c>
      <c r="E102" s="2" t="s">
        <v>258</v>
      </c>
      <c r="G102" s="2" t="s">
        <v>243</v>
      </c>
      <c r="H102" s="2" t="s">
        <v>111</v>
      </c>
      <c r="L102" s="48" t="str">
        <f t="shared" ref="L102:L107" si="17">_xlfn.TEXTJOIN("", TRUE, D102:J102)</f>
        <v>02_Slots/Gaben/0070_Salboel/0001_mrH.t_01.png</v>
      </c>
    </row>
    <row r="103" spans="1:12" x14ac:dyDescent="0.2">
      <c r="A103" s="2" t="s">
        <v>192</v>
      </c>
      <c r="B103" s="36">
        <v>7</v>
      </c>
      <c r="C103" s="2" t="s">
        <v>272</v>
      </c>
      <c r="E103" s="2" t="s">
        <v>258</v>
      </c>
      <c r="G103" s="2" t="s">
        <v>244</v>
      </c>
      <c r="H103" s="2" t="s">
        <v>111</v>
      </c>
      <c r="L103" s="48" t="str">
        <f t="shared" si="17"/>
        <v>02_Slots/Gaben/0070_Salboel/0010_mrH.t_Abk_01.png</v>
      </c>
    </row>
    <row r="104" spans="1:12" x14ac:dyDescent="0.2">
      <c r="A104" s="2" t="s">
        <v>192</v>
      </c>
      <c r="B104" s="36">
        <v>7</v>
      </c>
      <c r="C104" s="2" t="s">
        <v>272</v>
      </c>
      <c r="E104" s="2" t="s">
        <v>258</v>
      </c>
      <c r="G104" s="2" t="s">
        <v>245</v>
      </c>
      <c r="H104" s="2" t="s">
        <v>111</v>
      </c>
      <c r="L104" s="48" t="str">
        <f t="shared" ref="L104:L106" si="18">_xlfn.TEXTJOIN("", TRUE, D104:J104)</f>
        <v>02_Slots/Gaben/0070_Salboel/0020_mrH.t_Abk_02.png</v>
      </c>
    </row>
    <row r="105" spans="1:12" x14ac:dyDescent="0.2">
      <c r="A105" s="2" t="s">
        <v>192</v>
      </c>
      <c r="B105" s="36">
        <v>7</v>
      </c>
      <c r="C105" s="2" t="s">
        <v>188</v>
      </c>
      <c r="E105" s="2" t="s">
        <v>258</v>
      </c>
      <c r="F105" s="2" t="s">
        <v>109</v>
      </c>
      <c r="G105" s="2" t="s">
        <v>246</v>
      </c>
      <c r="H105" s="2" t="s">
        <v>111</v>
      </c>
      <c r="L105" s="48" t="str">
        <f t="shared" ref="L105" si="19">_xlfn.TEXTJOIN("", TRUE, D105:J105)</f>
        <v>02_Slots/Gaben/0070_Salboel/det/0001_mrH.t_det_01.png</v>
      </c>
    </row>
    <row r="106" spans="1:12" x14ac:dyDescent="0.2">
      <c r="A106" s="2" t="s">
        <v>192</v>
      </c>
      <c r="B106" s="36">
        <v>7</v>
      </c>
      <c r="C106" s="2" t="s">
        <v>188</v>
      </c>
      <c r="E106" s="2" t="s">
        <v>258</v>
      </c>
      <c r="F106" s="2" t="s">
        <v>109</v>
      </c>
      <c r="G106" s="2" t="s">
        <v>247</v>
      </c>
      <c r="H106" s="2" t="s">
        <v>111</v>
      </c>
      <c r="L106" s="48" t="str">
        <f t="shared" si="18"/>
        <v>02_Slots/Gaben/0070_Salboel/det/0010_mrH.t_det_02.png</v>
      </c>
    </row>
    <row r="107" spans="1:12" x14ac:dyDescent="0.2">
      <c r="A107" s="2" t="s">
        <v>192</v>
      </c>
      <c r="B107" s="36">
        <v>7</v>
      </c>
      <c r="C107" s="2" t="s">
        <v>188</v>
      </c>
      <c r="E107" s="2" t="s">
        <v>258</v>
      </c>
      <c r="F107" s="2" t="s">
        <v>109</v>
      </c>
      <c r="G107" s="2" t="s">
        <v>248</v>
      </c>
      <c r="H107" s="2" t="s">
        <v>111</v>
      </c>
      <c r="L107" s="48" t="str">
        <f t="shared" si="17"/>
        <v>02_Slots/Gaben/0070_Salboel/det/0020_mrH.t_det_03.png</v>
      </c>
    </row>
    <row r="108" spans="1:12" x14ac:dyDescent="0.2">
      <c r="A108" s="2" t="s">
        <v>192</v>
      </c>
      <c r="B108" s="36">
        <v>7</v>
      </c>
      <c r="C108" s="2" t="s">
        <v>26</v>
      </c>
      <c r="L108" s="48" t="s">
        <v>250</v>
      </c>
    </row>
    <row r="109" spans="1:12" x14ac:dyDescent="0.2">
      <c r="A109" s="2" t="s">
        <v>192</v>
      </c>
      <c r="B109" s="36">
        <v>7</v>
      </c>
      <c r="C109" s="2" t="s">
        <v>1561</v>
      </c>
      <c r="L109" s="48">
        <v>72840</v>
      </c>
    </row>
    <row r="111" spans="1:12" x14ac:dyDescent="0.2">
      <c r="A111" s="2" t="s">
        <v>192</v>
      </c>
      <c r="B111" s="36">
        <v>8</v>
      </c>
      <c r="C111" s="2" t="s">
        <v>38</v>
      </c>
      <c r="L111" s="48" t="s">
        <v>259</v>
      </c>
    </row>
    <row r="112" spans="1:12" x14ac:dyDescent="0.2">
      <c r="A112" s="2" t="s">
        <v>192</v>
      </c>
      <c r="B112" s="36">
        <v>8</v>
      </c>
      <c r="C112" s="2" t="s">
        <v>104</v>
      </c>
      <c r="E112" s="2" t="s">
        <v>260</v>
      </c>
      <c r="G112" s="2" t="s">
        <v>261</v>
      </c>
      <c r="H112" s="2" t="s">
        <v>111</v>
      </c>
      <c r="L112" s="48" t="str">
        <f t="shared" ref="L112" si="20">_xlfn.TEXTJOIN("", TRUE, D112:J112)</f>
        <v>02_Slots/Gaben/0080_Weihrauch/0001_snTr_01.png</v>
      </c>
    </row>
    <row r="113" spans="1:12" x14ac:dyDescent="0.2">
      <c r="A113" s="2" t="s">
        <v>192</v>
      </c>
      <c r="B113" s="36">
        <v>8</v>
      </c>
      <c r="C113" s="2" t="s">
        <v>104</v>
      </c>
      <c r="E113" s="2" t="s">
        <v>260</v>
      </c>
      <c r="G113" s="2" t="s">
        <v>262</v>
      </c>
      <c r="H113" s="2" t="s">
        <v>111</v>
      </c>
      <c r="I113" s="2" t="s">
        <v>1090</v>
      </c>
      <c r="J113" s="2" t="s">
        <v>1091</v>
      </c>
      <c r="K113" s="2" t="s">
        <v>1092</v>
      </c>
      <c r="L113" s="48" t="str">
        <f t="shared" ref="L113:L121" si="21">_xlfn.TEXTJOIN("", TRUE, D113:K113)</f>
        <v>02_Slots/Gaben/0080_Weihrauch/0010_snTr_AR_01.png &lt;sup&gt;(AR)&lt;/sup&gt;</v>
      </c>
    </row>
    <row r="114" spans="1:12" x14ac:dyDescent="0.2">
      <c r="A114" s="2" t="s">
        <v>192</v>
      </c>
      <c r="B114" s="36">
        <v>8</v>
      </c>
      <c r="C114" s="2" t="s">
        <v>104</v>
      </c>
      <c r="E114" s="2" t="s">
        <v>260</v>
      </c>
      <c r="G114" s="2" t="s">
        <v>263</v>
      </c>
      <c r="H114" s="2" t="s">
        <v>111</v>
      </c>
      <c r="I114" s="2" t="s">
        <v>1090</v>
      </c>
      <c r="J114" s="2" t="s">
        <v>1091</v>
      </c>
      <c r="K114" s="2" t="s">
        <v>1092</v>
      </c>
      <c r="L114" s="48" t="str">
        <f t="shared" si="21"/>
        <v>02_Slots/Gaben/0080_Weihrauch/0020_snTr_AR_02.png &lt;sup&gt;(AR)&lt;/sup&gt;</v>
      </c>
    </row>
    <row r="115" spans="1:12" x14ac:dyDescent="0.2">
      <c r="A115" s="2" t="s">
        <v>192</v>
      </c>
      <c r="B115" s="36">
        <v>8</v>
      </c>
      <c r="C115" s="2" t="s">
        <v>104</v>
      </c>
      <c r="E115" s="2" t="s">
        <v>260</v>
      </c>
      <c r="G115" s="2" t="s">
        <v>264</v>
      </c>
      <c r="H115" s="2" t="s">
        <v>111</v>
      </c>
      <c r="I115" s="2" t="s">
        <v>1090</v>
      </c>
      <c r="J115" s="2" t="s">
        <v>1091</v>
      </c>
      <c r="K115" s="2" t="s">
        <v>1092</v>
      </c>
      <c r="L115" s="48" t="str">
        <f t="shared" si="21"/>
        <v>02_Slots/Gaben/0080_Weihrauch/0030_snTr_AR_03.png &lt;sup&gt;(AR)&lt;/sup&gt;</v>
      </c>
    </row>
    <row r="116" spans="1:12" x14ac:dyDescent="0.2">
      <c r="A116" s="2" t="s">
        <v>192</v>
      </c>
      <c r="B116" s="36">
        <v>8</v>
      </c>
      <c r="C116" s="2" t="s">
        <v>104</v>
      </c>
      <c r="E116" s="2" t="s">
        <v>260</v>
      </c>
      <c r="G116" s="2" t="s">
        <v>277</v>
      </c>
      <c r="H116" s="2" t="s">
        <v>111</v>
      </c>
      <c r="I116" s="2" t="s">
        <v>1090</v>
      </c>
      <c r="J116" s="2" t="s">
        <v>1104</v>
      </c>
      <c r="K116" s="2" t="s">
        <v>1092</v>
      </c>
      <c r="L116" s="48" t="str">
        <f t="shared" si="21"/>
        <v>02_Slots/Gaben/0080_Weihrauch/0040_snTr_Ende-AR_01.png &lt;sup&gt;(Ende AR)&lt;/sup&gt;</v>
      </c>
    </row>
    <row r="117" spans="1:12" x14ac:dyDescent="0.2">
      <c r="A117" s="2" t="s">
        <v>192</v>
      </c>
      <c r="B117" s="36">
        <v>8</v>
      </c>
      <c r="C117" s="2" t="s">
        <v>104</v>
      </c>
      <c r="E117" s="2" t="s">
        <v>260</v>
      </c>
      <c r="G117" s="2" t="s">
        <v>265</v>
      </c>
      <c r="H117" s="2" t="s">
        <v>111</v>
      </c>
      <c r="I117" s="2" t="s">
        <v>1090</v>
      </c>
      <c r="J117" s="2" t="s">
        <v>1094</v>
      </c>
      <c r="K117" s="2" t="s">
        <v>1092</v>
      </c>
      <c r="L117" s="48" t="str">
        <f t="shared" si="21"/>
        <v>02_Slots/Gaben/0080_Weihrauch/0050_snTr_MR_01.png &lt;sup&gt;(MR)&lt;/sup&gt;</v>
      </c>
    </row>
    <row r="118" spans="1:12" x14ac:dyDescent="0.2">
      <c r="A118" s="2" t="s">
        <v>192</v>
      </c>
      <c r="B118" s="36">
        <v>8</v>
      </c>
      <c r="C118" s="2" t="s">
        <v>104</v>
      </c>
      <c r="E118" s="2" t="s">
        <v>260</v>
      </c>
      <c r="G118" s="2" t="s">
        <v>266</v>
      </c>
      <c r="H118" s="2" t="s">
        <v>111</v>
      </c>
      <c r="I118" s="2" t="s">
        <v>1090</v>
      </c>
      <c r="J118" s="2" t="s">
        <v>1094</v>
      </c>
      <c r="K118" s="2" t="s">
        <v>1092</v>
      </c>
      <c r="L118" s="48" t="str">
        <f t="shared" si="21"/>
        <v>02_Slots/Gaben/0080_Weihrauch/0060_snTr_MR_02.png &lt;sup&gt;(MR)&lt;/sup&gt;</v>
      </c>
    </row>
    <row r="119" spans="1:12" x14ac:dyDescent="0.2">
      <c r="A119" s="2" t="s">
        <v>192</v>
      </c>
      <c r="B119" s="36">
        <v>8</v>
      </c>
      <c r="C119" s="2" t="s">
        <v>104</v>
      </c>
      <c r="E119" s="2" t="s">
        <v>260</v>
      </c>
      <c r="G119" s="2" t="s">
        <v>267</v>
      </c>
      <c r="H119" s="2" t="s">
        <v>111</v>
      </c>
      <c r="I119" s="2" t="s">
        <v>1090</v>
      </c>
      <c r="J119" s="2" t="s">
        <v>1094</v>
      </c>
      <c r="K119" s="2" t="s">
        <v>1092</v>
      </c>
      <c r="L119" s="48" t="str">
        <f t="shared" si="21"/>
        <v>02_Slots/Gaben/0080_Weihrauch/0070_snTr_MR_03.png &lt;sup&gt;(MR)&lt;/sup&gt;</v>
      </c>
    </row>
    <row r="120" spans="1:12" x14ac:dyDescent="0.2">
      <c r="A120" s="2" t="s">
        <v>192</v>
      </c>
      <c r="B120" s="36">
        <v>8</v>
      </c>
      <c r="C120" s="2" t="s">
        <v>104</v>
      </c>
      <c r="E120" s="2" t="s">
        <v>260</v>
      </c>
      <c r="G120" s="2" t="s">
        <v>268</v>
      </c>
      <c r="H120" s="2" t="s">
        <v>111</v>
      </c>
      <c r="I120" s="2" t="s">
        <v>1090</v>
      </c>
      <c r="J120" s="2" t="s">
        <v>1095</v>
      </c>
      <c r="K120" s="2" t="s">
        <v>1092</v>
      </c>
      <c r="L120" s="48" t="str">
        <f t="shared" si="21"/>
        <v>02_Slots/Gaben/0080_Weihrauch/0080_snTr_D.18_01.png &lt;sup&gt;(Dyn.18)&lt;/sup&gt;</v>
      </c>
    </row>
    <row r="121" spans="1:12" x14ac:dyDescent="0.2">
      <c r="A121" s="2" t="s">
        <v>192</v>
      </c>
      <c r="B121" s="36">
        <v>8</v>
      </c>
      <c r="C121" s="2" t="s">
        <v>104</v>
      </c>
      <c r="E121" s="2" t="s">
        <v>260</v>
      </c>
      <c r="G121" s="2" t="s">
        <v>269</v>
      </c>
      <c r="H121" s="2" t="s">
        <v>111</v>
      </c>
      <c r="I121" s="2" t="s">
        <v>1090</v>
      </c>
      <c r="J121" s="2" t="s">
        <v>1096</v>
      </c>
      <c r="K121" s="2" t="s">
        <v>1092</v>
      </c>
      <c r="L121" s="48" t="str">
        <f t="shared" si="21"/>
        <v>02_Slots/Gaben/0080_Weihrauch/0090_snTr_D.19_01.png &lt;sup&gt;(Dyn.19)&lt;/sup&gt;</v>
      </c>
    </row>
    <row r="122" spans="1:12" x14ac:dyDescent="0.2">
      <c r="A122" s="2" t="s">
        <v>192</v>
      </c>
      <c r="B122" s="36">
        <v>8</v>
      </c>
      <c r="C122" s="2" t="s">
        <v>272</v>
      </c>
      <c r="E122" s="2" t="s">
        <v>260</v>
      </c>
      <c r="G122" s="2" t="s">
        <v>270</v>
      </c>
      <c r="H122" s="2" t="s">
        <v>111</v>
      </c>
      <c r="L122" s="48" t="str">
        <f t="shared" ref="L122" si="22">_xlfn.TEXTJOIN("", TRUE, D122:J122)</f>
        <v>02_Slots/Gaben/0080_Weihrauch/0100_snTr_Abk_01.png</v>
      </c>
    </row>
    <row r="123" spans="1:12" x14ac:dyDescent="0.2">
      <c r="A123" s="2" t="s">
        <v>192</v>
      </c>
      <c r="B123" s="36">
        <v>8</v>
      </c>
      <c r="C123" s="2" t="s">
        <v>272</v>
      </c>
      <c r="E123" s="2" t="s">
        <v>260</v>
      </c>
      <c r="G123" s="2" t="s">
        <v>270</v>
      </c>
      <c r="H123" s="2" t="s">
        <v>111</v>
      </c>
      <c r="L123" s="48" t="str">
        <f t="shared" ref="L123:L124" si="23">_xlfn.TEXTJOIN("", TRUE, D123:J123)</f>
        <v>02_Slots/Gaben/0080_Weihrauch/0100_snTr_Abk_01.png</v>
      </c>
    </row>
    <row r="124" spans="1:12" x14ac:dyDescent="0.2">
      <c r="A124" s="2" t="s">
        <v>192</v>
      </c>
      <c r="B124" s="36">
        <v>8</v>
      </c>
      <c r="C124" s="2" t="s">
        <v>272</v>
      </c>
      <c r="E124" s="2" t="s">
        <v>260</v>
      </c>
      <c r="G124" s="2" t="s">
        <v>271</v>
      </c>
      <c r="H124" s="2" t="s">
        <v>111</v>
      </c>
      <c r="L124" s="48" t="str">
        <f t="shared" si="23"/>
        <v>02_Slots/Gaben/0080_Weihrauch/0120_snTr_Abk_03.png</v>
      </c>
    </row>
    <row r="125" spans="1:12" x14ac:dyDescent="0.2">
      <c r="A125" s="2" t="s">
        <v>192</v>
      </c>
      <c r="B125" s="36">
        <v>8</v>
      </c>
      <c r="C125" s="2" t="s">
        <v>188</v>
      </c>
      <c r="E125" s="2" t="s">
        <v>260</v>
      </c>
      <c r="F125" s="2" t="s">
        <v>109</v>
      </c>
      <c r="G125" s="2" t="s">
        <v>273</v>
      </c>
      <c r="H125" s="2" t="s">
        <v>111</v>
      </c>
      <c r="L125" s="48" t="str">
        <f t="shared" ref="L125" si="24">_xlfn.TEXTJOIN("", TRUE, D125:J125)</f>
        <v>02_Slots/Gaben/0080_Weihrauch/det/0001_snTr_det_01.png</v>
      </c>
    </row>
    <row r="126" spans="1:12" x14ac:dyDescent="0.2">
      <c r="A126" s="2" t="s">
        <v>192</v>
      </c>
      <c r="B126" s="36">
        <v>8</v>
      </c>
      <c r="C126" s="2" t="s">
        <v>188</v>
      </c>
      <c r="E126" s="2" t="s">
        <v>260</v>
      </c>
      <c r="F126" s="2" t="s">
        <v>109</v>
      </c>
      <c r="G126" s="2" t="s">
        <v>274</v>
      </c>
      <c r="H126" s="2" t="s">
        <v>111</v>
      </c>
      <c r="L126" s="48" t="str">
        <f t="shared" ref="L126:L127" si="25">_xlfn.TEXTJOIN("", TRUE, D126:J126)</f>
        <v>02_Slots/Gaben/0080_Weihrauch/det/0010_snTr_det_02.png</v>
      </c>
    </row>
    <row r="127" spans="1:12" x14ac:dyDescent="0.2">
      <c r="A127" s="2" t="s">
        <v>192</v>
      </c>
      <c r="B127" s="36">
        <v>8</v>
      </c>
      <c r="C127" s="2" t="s">
        <v>188</v>
      </c>
      <c r="E127" s="2" t="s">
        <v>260</v>
      </c>
      <c r="F127" s="2" t="s">
        <v>109</v>
      </c>
      <c r="G127" s="2" t="s">
        <v>275</v>
      </c>
      <c r="H127" s="2" t="s">
        <v>111</v>
      </c>
      <c r="L127" s="48" t="str">
        <f t="shared" si="25"/>
        <v>02_Slots/Gaben/0080_Weihrauch/det/0020_snTr_det_03.png</v>
      </c>
    </row>
    <row r="128" spans="1:12" x14ac:dyDescent="0.2">
      <c r="A128" s="2" t="s">
        <v>192</v>
      </c>
      <c r="B128" s="36">
        <v>8</v>
      </c>
      <c r="C128" s="2" t="s">
        <v>188</v>
      </c>
      <c r="E128" s="2" t="s">
        <v>260</v>
      </c>
      <c r="F128" s="2" t="s">
        <v>109</v>
      </c>
      <c r="G128" s="2" t="s">
        <v>276</v>
      </c>
      <c r="H128" s="2" t="s">
        <v>111</v>
      </c>
      <c r="I128" s="2" t="s">
        <v>1090</v>
      </c>
      <c r="J128" s="2" t="s">
        <v>1094</v>
      </c>
      <c r="K128" s="2" t="s">
        <v>1092</v>
      </c>
      <c r="L128" s="48" t="str">
        <f>_xlfn.TEXTJOIN("", TRUE, D128:K128)</f>
        <v>02_Slots/Gaben/0080_Weihrauch/det/0030_snTr_det_MR_01.png &lt;sup&gt;(MR)&lt;/sup&gt;</v>
      </c>
    </row>
    <row r="129" spans="1:12" x14ac:dyDescent="0.2">
      <c r="A129" s="2" t="s">
        <v>192</v>
      </c>
      <c r="B129" s="36">
        <v>8</v>
      </c>
      <c r="C129" s="2" t="s">
        <v>26</v>
      </c>
      <c r="L129" s="48" t="s">
        <v>278</v>
      </c>
    </row>
    <row r="130" spans="1:12" x14ac:dyDescent="0.2">
      <c r="A130" s="2" t="s">
        <v>192</v>
      </c>
      <c r="B130" s="36">
        <v>8</v>
      </c>
      <c r="C130" s="2" t="s">
        <v>1561</v>
      </c>
      <c r="L130" s="48">
        <v>138670</v>
      </c>
    </row>
    <row r="132" spans="1:12" x14ac:dyDescent="0.2">
      <c r="A132" s="2" t="s">
        <v>192</v>
      </c>
      <c r="B132" s="36">
        <v>9</v>
      </c>
      <c r="C132" s="2" t="s">
        <v>38</v>
      </c>
      <c r="L132" s="48" t="s">
        <v>279</v>
      </c>
    </row>
    <row r="133" spans="1:12" x14ac:dyDescent="0.2">
      <c r="A133" s="2" t="s">
        <v>192</v>
      </c>
      <c r="B133" s="36">
        <v>9</v>
      </c>
      <c r="C133" s="2" t="s">
        <v>104</v>
      </c>
      <c r="E133" s="2" t="s">
        <v>280</v>
      </c>
      <c r="G133" s="2" t="s">
        <v>281</v>
      </c>
      <c r="H133" s="2" t="s">
        <v>111</v>
      </c>
      <c r="L133" s="48" t="str">
        <f t="shared" ref="L133" si="26">_xlfn.TEXTJOIN("", TRUE, D133:J133)</f>
        <v>02_Slots/Gaben/0090_Wein/0001_jrp_01.png</v>
      </c>
    </row>
    <row r="134" spans="1:12" x14ac:dyDescent="0.2">
      <c r="A134" s="2" t="s">
        <v>192</v>
      </c>
      <c r="B134" s="36">
        <v>9</v>
      </c>
      <c r="C134" s="2" t="s">
        <v>272</v>
      </c>
      <c r="E134" s="2" t="s">
        <v>280</v>
      </c>
      <c r="G134" s="2" t="s">
        <v>282</v>
      </c>
      <c r="H134" s="2" t="s">
        <v>111</v>
      </c>
      <c r="L134" s="48" t="str">
        <f t="shared" ref="L134" si="27">_xlfn.TEXTJOIN("", TRUE, D134:J134)</f>
        <v>02_Slots/Gaben/0090_Wein/0010_jrp_Abk_01.png</v>
      </c>
    </row>
    <row r="135" spans="1:12" x14ac:dyDescent="0.2">
      <c r="A135" s="2" t="s">
        <v>192</v>
      </c>
      <c r="B135" s="36">
        <v>9</v>
      </c>
      <c r="C135" s="2" t="s">
        <v>272</v>
      </c>
      <c r="E135" s="2" t="s">
        <v>280</v>
      </c>
      <c r="G135" s="2" t="s">
        <v>283</v>
      </c>
      <c r="H135" s="2" t="s">
        <v>111</v>
      </c>
      <c r="L135" s="48" t="str">
        <f t="shared" ref="L135" si="28">_xlfn.TEXTJOIN("", TRUE, D135:J135)</f>
        <v>02_Slots/Gaben/0090_Wein/0020_jrp_Abk_02.png</v>
      </c>
    </row>
    <row r="136" spans="1:12" x14ac:dyDescent="0.2">
      <c r="A136" s="2" t="s">
        <v>192</v>
      </c>
      <c r="B136" s="36">
        <v>9</v>
      </c>
      <c r="C136" s="2" t="s">
        <v>272</v>
      </c>
      <c r="E136" s="2" t="s">
        <v>280</v>
      </c>
      <c r="G136" s="2" t="s">
        <v>284</v>
      </c>
      <c r="H136" s="2" t="s">
        <v>111</v>
      </c>
      <c r="I136" s="2" t="s">
        <v>1090</v>
      </c>
      <c r="J136" s="2" t="s">
        <v>1049</v>
      </c>
      <c r="K136" s="2" t="s">
        <v>1092</v>
      </c>
      <c r="L136" s="48" t="str">
        <f>_xlfn.TEXTJOIN("", TRUE, D136:K136)</f>
        <v>02_Slots/Gaben/0090_Wein/0030_jrp_Abk_NR_01.png &lt;sup&gt;(NR)&lt;/sup&gt;</v>
      </c>
    </row>
    <row r="137" spans="1:12" x14ac:dyDescent="0.2">
      <c r="A137" s="2" t="s">
        <v>192</v>
      </c>
      <c r="B137" s="36">
        <v>9</v>
      </c>
      <c r="C137" s="2" t="s">
        <v>188</v>
      </c>
      <c r="E137" s="2" t="s">
        <v>280</v>
      </c>
      <c r="F137" s="2" t="s">
        <v>109</v>
      </c>
      <c r="G137" s="2" t="s">
        <v>285</v>
      </c>
      <c r="H137" s="2" t="s">
        <v>111</v>
      </c>
      <c r="L137" s="48" t="str">
        <f t="shared" ref="L137" si="29">_xlfn.TEXTJOIN("", TRUE, D137:J137)</f>
        <v>02_Slots/Gaben/0090_Wein/det/0001_jrp_det_01.png</v>
      </c>
    </row>
    <row r="138" spans="1:12" x14ac:dyDescent="0.2">
      <c r="A138" s="2" t="s">
        <v>192</v>
      </c>
      <c r="B138" s="36">
        <v>9</v>
      </c>
      <c r="C138" s="2" t="s">
        <v>188</v>
      </c>
      <c r="E138" s="2" t="s">
        <v>280</v>
      </c>
      <c r="F138" s="2" t="s">
        <v>109</v>
      </c>
      <c r="G138" s="2" t="s">
        <v>286</v>
      </c>
      <c r="H138" s="2" t="s">
        <v>111</v>
      </c>
      <c r="I138" s="2" t="s">
        <v>1090</v>
      </c>
      <c r="J138" s="2" t="s">
        <v>1091</v>
      </c>
      <c r="K138" s="2" t="s">
        <v>1092</v>
      </c>
      <c r="L138" s="48" t="str">
        <f>_xlfn.TEXTJOIN("", TRUE, D138:K138)</f>
        <v>02_Slots/Gaben/0090_Wein/det/0010_jrp_det_AR_01.png &lt;sup&gt;(AR)&lt;/sup&gt;</v>
      </c>
    </row>
    <row r="139" spans="1:12" x14ac:dyDescent="0.2">
      <c r="A139" s="2" t="s">
        <v>192</v>
      </c>
      <c r="B139" s="36">
        <v>9</v>
      </c>
      <c r="C139" s="2" t="s">
        <v>26</v>
      </c>
      <c r="L139" s="48" t="s">
        <v>287</v>
      </c>
    </row>
    <row r="140" spans="1:12" x14ac:dyDescent="0.2">
      <c r="A140" s="2" t="s">
        <v>192</v>
      </c>
      <c r="B140" s="36">
        <v>9</v>
      </c>
      <c r="C140" s="2" t="s">
        <v>1561</v>
      </c>
      <c r="L140" s="48">
        <v>29740</v>
      </c>
    </row>
    <row r="142" spans="1:12" x14ac:dyDescent="0.2">
      <c r="A142" s="2" t="s">
        <v>193</v>
      </c>
      <c r="B142" s="36">
        <v>1</v>
      </c>
      <c r="C142" s="2" t="s">
        <v>38</v>
      </c>
      <c r="L142" s="48" t="s">
        <v>1021</v>
      </c>
    </row>
    <row r="143" spans="1:12" x14ac:dyDescent="0.2">
      <c r="A143" s="2" t="s">
        <v>193</v>
      </c>
      <c r="B143" s="36">
        <v>1</v>
      </c>
      <c r="C143" s="2" t="s">
        <v>104</v>
      </c>
      <c r="E143" s="2" t="s">
        <v>289</v>
      </c>
      <c r="G143" s="2" t="s">
        <v>290</v>
      </c>
      <c r="H143" s="2" t="s">
        <v>111</v>
      </c>
      <c r="L143" s="48" t="str">
        <f t="shared" ref="L143" si="30">_xlfn.TEXTJOIN("", TRUE, D143:J143)</f>
        <v>02_Slots/Gaben/0100_tausend-an/0001_xA-m-n_01.png</v>
      </c>
    </row>
    <row r="144" spans="1:12" x14ac:dyDescent="0.2">
      <c r="A144" s="2" t="s">
        <v>193</v>
      </c>
      <c r="B144" s="36">
        <v>1</v>
      </c>
      <c r="C144" s="2" t="s">
        <v>26</v>
      </c>
      <c r="L144" s="48" t="s">
        <v>288</v>
      </c>
    </row>
    <row r="145" spans="1:12" x14ac:dyDescent="0.2">
      <c r="A145" s="2" t="s">
        <v>193</v>
      </c>
      <c r="B145" s="36">
        <v>1</v>
      </c>
      <c r="C145" s="2" t="s">
        <v>1561</v>
      </c>
      <c r="L145" s="48">
        <v>113110</v>
      </c>
    </row>
    <row r="147" spans="1:12" x14ac:dyDescent="0.2">
      <c r="A147" s="2" t="s">
        <v>194</v>
      </c>
      <c r="B147" s="36">
        <v>1</v>
      </c>
      <c r="C147" s="2" t="s">
        <v>38</v>
      </c>
      <c r="L147" s="48" t="s">
        <v>292</v>
      </c>
    </row>
    <row r="148" spans="1:12" x14ac:dyDescent="0.2">
      <c r="A148" s="2" t="s">
        <v>194</v>
      </c>
      <c r="B148" s="36">
        <v>1</v>
      </c>
      <c r="C148" s="2" t="s">
        <v>104</v>
      </c>
      <c r="E148" s="2" t="s">
        <v>291</v>
      </c>
      <c r="G148" s="2" t="s">
        <v>294</v>
      </c>
      <c r="H148" s="2" t="s">
        <v>111</v>
      </c>
      <c r="L148" s="48" t="str">
        <f t="shared" ref="L148" si="31">_xlfn.TEXTJOIN("", TRUE, D148:J148)</f>
        <v>02_Slots/Gaben/0110_was-der-Himmel-gibt/0001_dd.t-p.t_01.png</v>
      </c>
    </row>
    <row r="149" spans="1:12" x14ac:dyDescent="0.2">
      <c r="A149" s="2" t="s">
        <v>194</v>
      </c>
      <c r="B149" s="36">
        <v>1</v>
      </c>
      <c r="C149" s="2" t="s">
        <v>26</v>
      </c>
      <c r="L149" s="48" t="s">
        <v>293</v>
      </c>
    </row>
    <row r="151" spans="1:12" x14ac:dyDescent="0.2">
      <c r="A151" s="2" t="s">
        <v>194</v>
      </c>
      <c r="B151" s="36">
        <v>2</v>
      </c>
      <c r="C151" s="2" t="s">
        <v>38</v>
      </c>
      <c r="L151" s="48" t="s">
        <v>295</v>
      </c>
    </row>
    <row r="152" spans="1:12" x14ac:dyDescent="0.2">
      <c r="A152" s="2" t="s">
        <v>194</v>
      </c>
      <c r="B152" s="36">
        <v>2</v>
      </c>
      <c r="C152" s="2" t="s">
        <v>104</v>
      </c>
      <c r="E152" s="2" t="s">
        <v>297</v>
      </c>
      <c r="G152" s="2" t="s">
        <v>298</v>
      </c>
      <c r="H152" s="2" t="s">
        <v>111</v>
      </c>
      <c r="L152" s="48" t="str">
        <f t="shared" ref="L152" si="32">_xlfn.TEXTJOIN("", TRUE, D152:J152)</f>
        <v>02_Slots/Gaben/0120_was-die-Erde-hervorbringt/0001_qmA.t-tA_01.png</v>
      </c>
    </row>
    <row r="153" spans="1:12" x14ac:dyDescent="0.2">
      <c r="A153" s="2" t="s">
        <v>194</v>
      </c>
      <c r="B153" s="36">
        <v>2</v>
      </c>
      <c r="C153" s="2" t="s">
        <v>104</v>
      </c>
      <c r="E153" s="2" t="s">
        <v>297</v>
      </c>
      <c r="G153" s="2" t="s">
        <v>299</v>
      </c>
      <c r="H153" s="2" t="s">
        <v>111</v>
      </c>
      <c r="L153" s="48" t="str">
        <f t="shared" ref="L153" si="33">_xlfn.TEXTJOIN("", TRUE, D153:J153)</f>
        <v>02_Slots/Gaben/0120_was-die-Erde-hervorbringt/0010_qmA.t-tA_02.png</v>
      </c>
    </row>
    <row r="154" spans="1:12" x14ac:dyDescent="0.2">
      <c r="A154" s="2" t="s">
        <v>194</v>
      </c>
      <c r="B154" s="36">
        <v>2</v>
      </c>
      <c r="C154" s="2" t="s">
        <v>26</v>
      </c>
      <c r="L154" s="48" t="s">
        <v>296</v>
      </c>
    </row>
    <row r="156" spans="1:12" x14ac:dyDescent="0.2">
      <c r="A156" s="2" t="s">
        <v>194</v>
      </c>
      <c r="B156" s="36">
        <v>3</v>
      </c>
      <c r="C156" s="2" t="s">
        <v>38</v>
      </c>
      <c r="L156" s="48" t="s">
        <v>302</v>
      </c>
    </row>
    <row r="157" spans="1:12" x14ac:dyDescent="0.2">
      <c r="A157" s="2" t="s">
        <v>194</v>
      </c>
      <c r="B157" s="36">
        <v>3</v>
      </c>
      <c r="C157" s="2" t="s">
        <v>104</v>
      </c>
      <c r="E157" s="2" t="s">
        <v>301</v>
      </c>
      <c r="G157" s="2" t="s">
        <v>303</v>
      </c>
      <c r="H157" s="2" t="s">
        <v>111</v>
      </c>
      <c r="L157" s="48" t="str">
        <f t="shared" ref="L157:L158" si="34">_xlfn.TEXTJOIN("", TRUE, D157:J157)</f>
        <v>02_Slots/Gaben/0130_was-der-Nil-bringt/0001_jnn.t-Hapy_01.png</v>
      </c>
    </row>
    <row r="158" spans="1:12" x14ac:dyDescent="0.2">
      <c r="A158" s="2" t="s">
        <v>194</v>
      </c>
      <c r="B158" s="36">
        <v>3</v>
      </c>
      <c r="C158" s="2" t="s">
        <v>104</v>
      </c>
      <c r="E158" s="2" t="s">
        <v>301</v>
      </c>
      <c r="G158" s="2" t="s">
        <v>304</v>
      </c>
      <c r="H158" s="2" t="s">
        <v>111</v>
      </c>
      <c r="L158" s="48" t="str">
        <f t="shared" si="34"/>
        <v>02_Slots/Gaben/0130_was-der-Nil-bringt/0010_jnn.t-Hapy_02.png</v>
      </c>
    </row>
    <row r="159" spans="1:12" x14ac:dyDescent="0.2">
      <c r="A159" s="2" t="s">
        <v>194</v>
      </c>
      <c r="B159" s="36">
        <v>3</v>
      </c>
      <c r="C159" s="2" t="s">
        <v>26</v>
      </c>
      <c r="L159" s="48" t="s">
        <v>300</v>
      </c>
    </row>
    <row r="161" spans="1:12" x14ac:dyDescent="0.2">
      <c r="A161" s="2" t="s">
        <v>194</v>
      </c>
      <c r="B161" s="36">
        <v>4</v>
      </c>
      <c r="C161" s="2" t="s">
        <v>38</v>
      </c>
      <c r="L161" s="48" t="s">
        <v>307</v>
      </c>
    </row>
    <row r="162" spans="1:12" x14ac:dyDescent="0.2">
      <c r="A162" s="2" t="s">
        <v>194</v>
      </c>
      <c r="B162" s="36">
        <v>4</v>
      </c>
      <c r="C162" s="2" t="s">
        <v>104</v>
      </c>
      <c r="E162" s="2" t="s">
        <v>305</v>
      </c>
      <c r="G162" s="2" t="s">
        <v>306</v>
      </c>
      <c r="H162" s="2" t="s">
        <v>111</v>
      </c>
      <c r="L162" s="48" t="str">
        <f t="shared" ref="L162" si="35">_xlfn.TEXTJOIN("", TRUE, D162:J162)</f>
        <v>02_Slots/Gaben/0140_wovon-ein-Gott-lebt/0001_anx.t-nTr-jm_01.png</v>
      </c>
    </row>
    <row r="163" spans="1:12" x14ac:dyDescent="0.2">
      <c r="A163" s="2" t="s">
        <v>194</v>
      </c>
      <c r="B163" s="36">
        <v>4</v>
      </c>
      <c r="C163" s="2" t="s">
        <v>26</v>
      </c>
      <c r="L163" s="48" t="s">
        <v>311</v>
      </c>
    </row>
    <row r="165" spans="1:12" x14ac:dyDescent="0.2">
      <c r="A165" s="2" t="s">
        <v>194</v>
      </c>
      <c r="B165" s="36">
        <v>5</v>
      </c>
      <c r="C165" s="2" t="s">
        <v>38</v>
      </c>
      <c r="L165" s="48" t="s">
        <v>310</v>
      </c>
    </row>
    <row r="166" spans="1:12" x14ac:dyDescent="0.2">
      <c r="A166" s="2" t="s">
        <v>194</v>
      </c>
      <c r="B166" s="36">
        <v>5</v>
      </c>
      <c r="C166" s="2" t="s">
        <v>104</v>
      </c>
      <c r="E166" s="2" t="s">
        <v>308</v>
      </c>
      <c r="G166" s="2" t="s">
        <v>309</v>
      </c>
      <c r="H166" s="2" t="s">
        <v>111</v>
      </c>
      <c r="L166" s="48" t="str">
        <f t="shared" ref="L166" si="36">_xlfn.TEXTJOIN("", TRUE, D166:J166)</f>
        <v>02_Slots/Gaben/0150_wovon-die-Ach-Geister/0001_mrr.t-Ax.w-wnm-jm_01.png</v>
      </c>
    </row>
    <row r="167" spans="1:12" x14ac:dyDescent="0.2">
      <c r="A167" s="2" t="s">
        <v>194</v>
      </c>
      <c r="B167" s="36">
        <v>5</v>
      </c>
      <c r="C167" s="2" t="s">
        <v>26</v>
      </c>
      <c r="L167" s="48" t="s">
        <v>312</v>
      </c>
    </row>
    <row r="169" spans="1:12" x14ac:dyDescent="0.2">
      <c r="A169" s="2" t="s">
        <v>194</v>
      </c>
      <c r="B169" s="36">
        <v>6</v>
      </c>
      <c r="C169" s="2" t="s">
        <v>38</v>
      </c>
      <c r="L169" s="48" t="s">
        <v>313</v>
      </c>
    </row>
    <row r="170" spans="1:12" x14ac:dyDescent="0.2">
      <c r="A170" s="2" t="s">
        <v>194</v>
      </c>
      <c r="B170" s="36">
        <v>6</v>
      </c>
      <c r="C170" s="2" t="s">
        <v>104</v>
      </c>
      <c r="E170" s="2" t="s">
        <v>314</v>
      </c>
      <c r="G170" s="2" t="s">
        <v>316</v>
      </c>
      <c r="H170" s="2" t="s">
        <v>111</v>
      </c>
      <c r="L170" s="48" t="str">
        <f t="shared" ref="L170:L172" si="37">_xlfn.TEXTJOIN("", TRUE, D170:J170)</f>
        <v>02_Slots/Gaben/0160_Alles/0001_(j)x.t-nb.t-nfr.t-wab.t_01.png</v>
      </c>
    </row>
    <row r="171" spans="1:12" x14ac:dyDescent="0.2">
      <c r="A171" s="2" t="s">
        <v>194</v>
      </c>
      <c r="B171" s="36">
        <v>6</v>
      </c>
      <c r="C171" s="2" t="s">
        <v>104</v>
      </c>
      <c r="E171" s="2" t="s">
        <v>314</v>
      </c>
      <c r="G171" s="2" t="s">
        <v>317</v>
      </c>
      <c r="H171" s="2" t="s">
        <v>111</v>
      </c>
      <c r="L171" s="48" t="str">
        <f t="shared" si="37"/>
        <v>02_Slots/Gaben/0160_Alles/0010_(j)x.t-nb.t-nfr.t-wab.t_02.png</v>
      </c>
    </row>
    <row r="172" spans="1:12" x14ac:dyDescent="0.2">
      <c r="A172" s="2" t="s">
        <v>194</v>
      </c>
      <c r="B172" s="36">
        <v>6</v>
      </c>
      <c r="C172" s="2" t="s">
        <v>104</v>
      </c>
      <c r="E172" s="2" t="s">
        <v>314</v>
      </c>
      <c r="G172" s="2" t="s">
        <v>318</v>
      </c>
      <c r="H172" s="2" t="s">
        <v>111</v>
      </c>
      <c r="L172" s="48" t="str">
        <f t="shared" si="37"/>
        <v>02_Slots/Gaben/0160_Alles/0020_(j)x.t-nb.t_01.png</v>
      </c>
    </row>
    <row r="173" spans="1:12" x14ac:dyDescent="0.2">
      <c r="A173" s="2" t="s">
        <v>194</v>
      </c>
      <c r="B173" s="36">
        <v>6</v>
      </c>
      <c r="C173" s="2" t="s">
        <v>26</v>
      </c>
      <c r="L173" s="48" t="s">
        <v>315</v>
      </c>
    </row>
    <row r="175" spans="1:12" x14ac:dyDescent="0.2">
      <c r="A175" s="2" t="s">
        <v>376</v>
      </c>
      <c r="B175" s="36">
        <v>1</v>
      </c>
      <c r="C175" s="2" t="s">
        <v>38</v>
      </c>
      <c r="L175" s="48" t="s">
        <v>379</v>
      </c>
    </row>
    <row r="176" spans="1:12" x14ac:dyDescent="0.2">
      <c r="A176" s="2" t="s">
        <v>376</v>
      </c>
      <c r="B176" s="36">
        <v>1</v>
      </c>
      <c r="C176" s="2" t="s">
        <v>104</v>
      </c>
      <c r="E176" s="2" t="s">
        <v>380</v>
      </c>
      <c r="G176" s="2" t="s">
        <v>377</v>
      </c>
      <c r="H176" s="2" t="s">
        <v>111</v>
      </c>
      <c r="L176" s="48" t="str">
        <f t="shared" ref="L176:L177" si="38">_xlfn.TEXTJOIN("", TRUE, D176:J176)</f>
        <v>02_Slots/Titel/01_jmj-rA_01.png</v>
      </c>
    </row>
    <row r="177" spans="1:12" x14ac:dyDescent="0.2">
      <c r="A177" s="2" t="s">
        <v>376</v>
      </c>
      <c r="B177" s="36">
        <v>1</v>
      </c>
      <c r="C177" s="2" t="s">
        <v>104</v>
      </c>
      <c r="E177" s="2" t="s">
        <v>380</v>
      </c>
      <c r="G177" s="2" t="s">
        <v>378</v>
      </c>
      <c r="H177" s="2" t="s">
        <v>111</v>
      </c>
      <c r="L177" s="48" t="str">
        <f t="shared" si="38"/>
        <v>02_Slots/Titel/01_jmj-rA_02.png</v>
      </c>
    </row>
    <row r="178" spans="1:12" x14ac:dyDescent="0.2">
      <c r="A178" s="2" t="s">
        <v>376</v>
      </c>
      <c r="B178" s="36">
        <v>1</v>
      </c>
      <c r="C178" s="2" t="s">
        <v>26</v>
      </c>
      <c r="L178" s="48" t="s">
        <v>381</v>
      </c>
    </row>
    <row r="179" spans="1:12" x14ac:dyDescent="0.2">
      <c r="A179" s="2" t="s">
        <v>376</v>
      </c>
      <c r="B179" s="36">
        <v>1</v>
      </c>
      <c r="C179" s="2" t="s">
        <v>1561</v>
      </c>
      <c r="L179" s="48">
        <v>25550</v>
      </c>
    </row>
    <row r="181" spans="1:12" x14ac:dyDescent="0.2">
      <c r="A181" s="2" t="s">
        <v>376</v>
      </c>
      <c r="B181" s="36">
        <v>2</v>
      </c>
      <c r="C181" s="2" t="s">
        <v>38</v>
      </c>
      <c r="L181" s="48" t="s">
        <v>383</v>
      </c>
    </row>
    <row r="182" spans="1:12" x14ac:dyDescent="0.2">
      <c r="A182" s="2" t="s">
        <v>376</v>
      </c>
      <c r="B182" s="36">
        <v>2</v>
      </c>
      <c r="C182" s="2" t="s">
        <v>104</v>
      </c>
      <c r="E182" s="2" t="s">
        <v>380</v>
      </c>
      <c r="G182" s="2" t="s">
        <v>390</v>
      </c>
      <c r="H182" s="2" t="s">
        <v>111</v>
      </c>
      <c r="I182" s="2" t="s">
        <v>1090</v>
      </c>
      <c r="J182" s="2" t="s">
        <v>1094</v>
      </c>
      <c r="K182" s="2" t="s">
        <v>1092</v>
      </c>
      <c r="L182" s="48" t="str">
        <f>_xlfn.TEXTJOIN("", TRUE, D182:K182)</f>
        <v>02_Slots/Titel/02_Hry_MR_01.png &lt;sup&gt;(MR)&lt;/sup&gt;</v>
      </c>
    </row>
    <row r="183" spans="1:12" x14ac:dyDescent="0.2">
      <c r="A183" s="2" t="s">
        <v>376</v>
      </c>
      <c r="B183" s="36">
        <v>2</v>
      </c>
      <c r="C183" s="2" t="s">
        <v>26</v>
      </c>
      <c r="L183" s="48" t="s">
        <v>382</v>
      </c>
    </row>
    <row r="184" spans="1:12" x14ac:dyDescent="0.2">
      <c r="A184" s="2" t="s">
        <v>376</v>
      </c>
      <c r="B184" s="36">
        <v>2</v>
      </c>
      <c r="C184" s="2" t="s">
        <v>1561</v>
      </c>
      <c r="L184" s="48">
        <v>108310</v>
      </c>
    </row>
    <row r="186" spans="1:12" x14ac:dyDescent="0.2">
      <c r="A186" s="2" t="s">
        <v>376</v>
      </c>
      <c r="B186" s="36">
        <v>3</v>
      </c>
      <c r="C186" s="2" t="s">
        <v>38</v>
      </c>
      <c r="L186" s="48" t="s">
        <v>384</v>
      </c>
    </row>
    <row r="187" spans="1:12" x14ac:dyDescent="0.2">
      <c r="A187" s="2" t="s">
        <v>376</v>
      </c>
      <c r="B187" s="36">
        <v>3</v>
      </c>
      <c r="C187" s="2" t="s">
        <v>104</v>
      </c>
      <c r="E187" s="2" t="s">
        <v>380</v>
      </c>
      <c r="G187" s="2" t="s">
        <v>386</v>
      </c>
      <c r="H187" s="2" t="s">
        <v>111</v>
      </c>
      <c r="L187" s="48" t="str">
        <f t="shared" ref="L187" si="39">_xlfn.TEXTJOIN("", TRUE, D187:J187)</f>
        <v>02_Slots/Titel/03_jmAx_01.png</v>
      </c>
    </row>
    <row r="188" spans="1:12" x14ac:dyDescent="0.2">
      <c r="A188" s="2" t="s">
        <v>376</v>
      </c>
      <c r="B188" s="36">
        <v>3</v>
      </c>
      <c r="C188" s="2" t="s">
        <v>104</v>
      </c>
      <c r="E188" s="2" t="s">
        <v>380</v>
      </c>
      <c r="G188" s="2" t="s">
        <v>387</v>
      </c>
      <c r="H188" s="2" t="s">
        <v>111</v>
      </c>
      <c r="L188" s="48" t="str">
        <f t="shared" ref="L188:L191" si="40">_xlfn.TEXTJOIN("", TRUE, D188:J188)</f>
        <v>02_Slots/Titel/03_jmAx_02.png</v>
      </c>
    </row>
    <row r="189" spans="1:12" x14ac:dyDescent="0.2">
      <c r="A189" s="2" t="s">
        <v>376</v>
      </c>
      <c r="B189" s="36">
        <v>3</v>
      </c>
      <c r="C189" s="2" t="s">
        <v>104</v>
      </c>
      <c r="E189" s="2" t="s">
        <v>380</v>
      </c>
      <c r="G189" s="2" t="s">
        <v>388</v>
      </c>
      <c r="H189" s="2" t="s">
        <v>111</v>
      </c>
      <c r="L189" s="48" t="str">
        <f t="shared" si="40"/>
        <v>02_Slots/Titel/03_jmAx_03.png</v>
      </c>
    </row>
    <row r="190" spans="1:12" x14ac:dyDescent="0.2">
      <c r="A190" s="2" t="s">
        <v>376</v>
      </c>
      <c r="B190" s="36">
        <v>3</v>
      </c>
      <c r="C190" s="2" t="s">
        <v>104</v>
      </c>
      <c r="E190" s="2" t="s">
        <v>380</v>
      </c>
      <c r="G190" s="2" t="s">
        <v>389</v>
      </c>
      <c r="H190" s="2" t="s">
        <v>111</v>
      </c>
      <c r="L190" s="48" t="str">
        <f t="shared" si="40"/>
        <v>02_Slots/Titel/03_jmAx_04.png</v>
      </c>
    </row>
    <row r="191" spans="1:12" x14ac:dyDescent="0.2">
      <c r="A191" s="2" t="s">
        <v>376</v>
      </c>
      <c r="B191" s="36">
        <v>3</v>
      </c>
      <c r="C191" s="2" t="s">
        <v>104</v>
      </c>
      <c r="E191" s="2" t="s">
        <v>380</v>
      </c>
      <c r="G191" s="2" t="s">
        <v>389</v>
      </c>
      <c r="H191" s="2" t="s">
        <v>111</v>
      </c>
      <c r="L191" s="48" t="str">
        <f t="shared" si="40"/>
        <v>02_Slots/Titel/03_jmAx_04.png</v>
      </c>
    </row>
    <row r="192" spans="1:12" x14ac:dyDescent="0.2">
      <c r="A192" s="2" t="s">
        <v>376</v>
      </c>
      <c r="B192" s="36">
        <v>3</v>
      </c>
      <c r="C192" s="2" t="s">
        <v>104</v>
      </c>
      <c r="E192" s="2" t="s">
        <v>380</v>
      </c>
      <c r="G192" s="2" t="s">
        <v>391</v>
      </c>
      <c r="H192" s="2" t="s">
        <v>111</v>
      </c>
      <c r="I192" s="2" t="s">
        <v>1090</v>
      </c>
      <c r="J192" s="2" t="s">
        <v>1094</v>
      </c>
      <c r="K192" s="2" t="s">
        <v>1092</v>
      </c>
      <c r="L192" s="48" t="str">
        <f>_xlfn.TEXTJOIN("", TRUE, D192:K192)</f>
        <v>02_Slots/Titel/03_jmAx_MR_01.png &lt;sup&gt;(MR)&lt;/sup&gt;</v>
      </c>
    </row>
    <row r="193" spans="1:12" x14ac:dyDescent="0.2">
      <c r="A193" s="2" t="s">
        <v>376</v>
      </c>
      <c r="B193" s="36">
        <v>3</v>
      </c>
      <c r="C193" s="2" t="s">
        <v>26</v>
      </c>
      <c r="L193" s="48" t="s">
        <v>385</v>
      </c>
    </row>
    <row r="194" spans="1:12" x14ac:dyDescent="0.2">
      <c r="A194" s="2" t="s">
        <v>376</v>
      </c>
      <c r="B194" s="36">
        <v>3</v>
      </c>
      <c r="C194" s="2" t="s">
        <v>1561</v>
      </c>
      <c r="L194" s="48">
        <v>25090</v>
      </c>
    </row>
    <row r="196" spans="1:12" x14ac:dyDescent="0.2">
      <c r="A196" s="2" t="s">
        <v>376</v>
      </c>
      <c r="B196" s="36">
        <v>4</v>
      </c>
      <c r="C196" s="2" t="s">
        <v>38</v>
      </c>
      <c r="L196" s="48" t="s">
        <v>392</v>
      </c>
    </row>
    <row r="197" spans="1:12" x14ac:dyDescent="0.2">
      <c r="A197" s="2" t="s">
        <v>376</v>
      </c>
      <c r="B197" s="36">
        <v>4</v>
      </c>
      <c r="C197" s="2" t="s">
        <v>104</v>
      </c>
      <c r="E197" s="2" t="s">
        <v>380</v>
      </c>
      <c r="G197" s="2" t="s">
        <v>398</v>
      </c>
      <c r="H197" s="2" t="s">
        <v>111</v>
      </c>
      <c r="L197" s="48" t="str">
        <f t="shared" ref="L197" si="41">_xlfn.TEXTJOIN("", TRUE, D197:J197)</f>
        <v>02_Slots/Titel/04_nb-jmAx_01.png</v>
      </c>
    </row>
    <row r="198" spans="1:12" x14ac:dyDescent="0.2">
      <c r="A198" s="2" t="s">
        <v>376</v>
      </c>
      <c r="B198" s="36">
        <v>4</v>
      </c>
      <c r="C198" s="2" t="s">
        <v>26</v>
      </c>
      <c r="L198" s="48" t="s">
        <v>393</v>
      </c>
    </row>
    <row r="199" spans="1:12" x14ac:dyDescent="0.2">
      <c r="A199" s="2" t="s">
        <v>376</v>
      </c>
      <c r="B199" s="36">
        <v>4</v>
      </c>
      <c r="C199" s="2" t="s">
        <v>1561</v>
      </c>
      <c r="L199" s="48">
        <v>81950</v>
      </c>
    </row>
    <row r="201" spans="1:12" x14ac:dyDescent="0.2">
      <c r="A201" s="2" t="s">
        <v>376</v>
      </c>
      <c r="B201" s="36">
        <v>5</v>
      </c>
      <c r="C201" s="2" t="s">
        <v>38</v>
      </c>
      <c r="L201" s="48" t="s">
        <v>397</v>
      </c>
    </row>
    <row r="202" spans="1:12" x14ac:dyDescent="0.2">
      <c r="A202" s="2" t="s">
        <v>376</v>
      </c>
      <c r="B202" s="36">
        <v>5</v>
      </c>
      <c r="C202" s="2" t="s">
        <v>104</v>
      </c>
      <c r="E202" s="2" t="s">
        <v>380</v>
      </c>
      <c r="G202" s="2" t="s">
        <v>394</v>
      </c>
      <c r="H202" s="2" t="s">
        <v>111</v>
      </c>
      <c r="L202" s="48" t="str">
        <f t="shared" ref="L202:L204" si="42">_xlfn.TEXTJOIN("", TRUE, D202:J202)</f>
        <v>02_Slots/Titel/05_wsjr_01.png</v>
      </c>
    </row>
    <row r="203" spans="1:12" x14ac:dyDescent="0.2">
      <c r="A203" s="2" t="s">
        <v>376</v>
      </c>
      <c r="B203" s="36">
        <v>5</v>
      </c>
      <c r="C203" s="2" t="s">
        <v>104</v>
      </c>
      <c r="E203" s="2" t="s">
        <v>380</v>
      </c>
      <c r="G203" s="2" t="s">
        <v>395</v>
      </c>
      <c r="H203" s="2" t="s">
        <v>111</v>
      </c>
      <c r="L203" s="48" t="str">
        <f t="shared" si="42"/>
        <v>02_Slots/Titel/05_wsjr_02.png</v>
      </c>
    </row>
    <row r="204" spans="1:12" x14ac:dyDescent="0.2">
      <c r="A204" s="2" t="s">
        <v>376</v>
      </c>
      <c r="B204" s="36">
        <v>5</v>
      </c>
      <c r="C204" s="2" t="s">
        <v>104</v>
      </c>
      <c r="E204" s="2" t="s">
        <v>380</v>
      </c>
      <c r="G204" s="2" t="s">
        <v>396</v>
      </c>
      <c r="H204" s="2" t="s">
        <v>111</v>
      </c>
      <c r="L204" s="48" t="str">
        <f t="shared" si="42"/>
        <v>02_Slots/Titel/05_wsjr_03.png</v>
      </c>
    </row>
    <row r="205" spans="1:12" x14ac:dyDescent="0.2">
      <c r="A205" s="2" t="s">
        <v>376</v>
      </c>
      <c r="B205" s="36">
        <v>5</v>
      </c>
      <c r="C205" s="2" t="s">
        <v>26</v>
      </c>
      <c r="L205" s="48" t="s">
        <v>133</v>
      </c>
    </row>
    <row r="206" spans="1:12" x14ac:dyDescent="0.2">
      <c r="A206" s="2" t="s">
        <v>376</v>
      </c>
      <c r="B206" s="36">
        <v>5</v>
      </c>
      <c r="C206" s="2" t="s">
        <v>1561</v>
      </c>
      <c r="L206" s="48">
        <v>49461</v>
      </c>
    </row>
    <row r="208" spans="1:12" x14ac:dyDescent="0.2">
      <c r="A208" s="2" t="s">
        <v>401</v>
      </c>
      <c r="B208" s="36">
        <v>1</v>
      </c>
      <c r="C208" s="2" t="s">
        <v>38</v>
      </c>
      <c r="L208" s="48" t="s">
        <v>404</v>
      </c>
    </row>
    <row r="209" spans="1:12" x14ac:dyDescent="0.2">
      <c r="A209" s="2" t="s">
        <v>401</v>
      </c>
      <c r="B209" s="36">
        <v>1</v>
      </c>
      <c r="C209" s="2" t="s">
        <v>104</v>
      </c>
      <c r="E209" s="2" t="s">
        <v>380</v>
      </c>
      <c r="F209" s="2" t="s">
        <v>402</v>
      </c>
      <c r="G209" s="2" t="s">
        <v>403</v>
      </c>
      <c r="H209" s="2" t="s">
        <v>111</v>
      </c>
      <c r="L209" s="48" t="str">
        <f t="shared" ref="L209" si="43">_xlfn.TEXTJOIN("", TRUE, D209:J209)</f>
        <v>02_Slots/Titel/f/01_nb.t-pr_01.png</v>
      </c>
    </row>
    <row r="210" spans="1:12" x14ac:dyDescent="0.2">
      <c r="A210" s="2" t="s">
        <v>401</v>
      </c>
      <c r="B210" s="36">
        <v>1</v>
      </c>
      <c r="C210" s="2" t="s">
        <v>26</v>
      </c>
      <c r="L210" s="48" t="s">
        <v>405</v>
      </c>
    </row>
    <row r="211" spans="1:12" x14ac:dyDescent="0.2">
      <c r="A211" s="2" t="s">
        <v>401</v>
      </c>
      <c r="B211" s="36">
        <v>1</v>
      </c>
      <c r="C211" s="2" t="s">
        <v>1561</v>
      </c>
      <c r="L211" s="48">
        <v>82090</v>
      </c>
    </row>
    <row r="213" spans="1:12" x14ac:dyDescent="0.2">
      <c r="A213" s="2" t="s">
        <v>401</v>
      </c>
      <c r="B213" s="36">
        <v>2</v>
      </c>
      <c r="C213" s="2" t="s">
        <v>38</v>
      </c>
      <c r="L213" s="48" t="s">
        <v>407</v>
      </c>
    </row>
    <row r="214" spans="1:12" x14ac:dyDescent="0.2">
      <c r="A214" s="2" t="s">
        <v>401</v>
      </c>
      <c r="B214" s="36">
        <v>2</v>
      </c>
      <c r="C214" s="2" t="s">
        <v>104</v>
      </c>
      <c r="E214" s="2" t="s">
        <v>380</v>
      </c>
      <c r="F214" s="2" t="s">
        <v>402</v>
      </c>
      <c r="G214" s="2" t="s">
        <v>406</v>
      </c>
      <c r="H214" s="2" t="s">
        <v>111</v>
      </c>
      <c r="I214" s="2" t="s">
        <v>1090</v>
      </c>
      <c r="J214" s="2" t="s">
        <v>1091</v>
      </c>
      <c r="K214" s="2" t="s">
        <v>1092</v>
      </c>
      <c r="L214" s="48" t="str">
        <f>_xlfn.TEXTJOIN("", TRUE, D214:K214)</f>
        <v>02_Slots/Titel/f/02_Hm.t-nTr-Hw.t-Hr_AR_01.png &lt;sup&gt;(AR)&lt;/sup&gt;</v>
      </c>
    </row>
    <row r="215" spans="1:12" x14ac:dyDescent="0.2">
      <c r="A215" s="2" t="s">
        <v>401</v>
      </c>
      <c r="B215" s="36">
        <v>2</v>
      </c>
      <c r="C215" s="2" t="s">
        <v>26</v>
      </c>
      <c r="L215" s="48" t="s">
        <v>408</v>
      </c>
    </row>
    <row r="216" spans="1:12" x14ac:dyDescent="0.2">
      <c r="A216" s="2" t="s">
        <v>401</v>
      </c>
      <c r="B216" s="36">
        <v>2</v>
      </c>
      <c r="C216" s="2" t="s">
        <v>1561</v>
      </c>
      <c r="L216" s="48">
        <v>400979</v>
      </c>
    </row>
    <row r="218" spans="1:12" x14ac:dyDescent="0.2">
      <c r="A218" s="2" t="s">
        <v>401</v>
      </c>
      <c r="B218" s="36">
        <v>3</v>
      </c>
      <c r="C218" s="2" t="s">
        <v>38</v>
      </c>
      <c r="L218" s="48" t="s">
        <v>410</v>
      </c>
    </row>
    <row r="219" spans="1:12" x14ac:dyDescent="0.2">
      <c r="A219" s="2" t="s">
        <v>401</v>
      </c>
      <c r="B219" s="36">
        <v>3</v>
      </c>
      <c r="C219" s="2" t="s">
        <v>104</v>
      </c>
      <c r="E219" s="2" t="s">
        <v>380</v>
      </c>
      <c r="F219" s="2" t="s">
        <v>402</v>
      </c>
      <c r="G219" s="2" t="s">
        <v>409</v>
      </c>
      <c r="H219" s="2" t="s">
        <v>111</v>
      </c>
      <c r="I219" s="2" t="s">
        <v>1090</v>
      </c>
      <c r="J219" s="2" t="s">
        <v>1097</v>
      </c>
      <c r="K219" s="2" t="s">
        <v>1092</v>
      </c>
      <c r="L219" s="48" t="str">
        <f>_xlfn.TEXTJOIN("", TRUE, D219:K219)</f>
        <v>02_Slots/Titel/f/02_Hw.t-Hr_Roem._01.png &lt;sup&gt;(röm.)&lt;/sup&gt;</v>
      </c>
    </row>
    <row r="220" spans="1:12" x14ac:dyDescent="0.2">
      <c r="A220" s="2" t="s">
        <v>401</v>
      </c>
      <c r="B220" s="36">
        <v>3</v>
      </c>
      <c r="C220" s="2" t="s">
        <v>26</v>
      </c>
      <c r="L220" s="48" t="s">
        <v>151</v>
      </c>
    </row>
    <row r="221" spans="1:12" x14ac:dyDescent="0.2">
      <c r="A221" s="2" t="s">
        <v>401</v>
      </c>
      <c r="B221" s="36">
        <v>3</v>
      </c>
      <c r="C221" s="2" t="s">
        <v>1561</v>
      </c>
      <c r="L221" s="48">
        <v>99970</v>
      </c>
    </row>
    <row r="223" spans="1:12" x14ac:dyDescent="0.2">
      <c r="A223" s="2" t="s">
        <v>401</v>
      </c>
      <c r="B223" s="36">
        <v>4</v>
      </c>
      <c r="C223" s="2" t="s">
        <v>38</v>
      </c>
      <c r="L223" s="48" t="s">
        <v>412</v>
      </c>
    </row>
    <row r="224" spans="1:12" x14ac:dyDescent="0.2">
      <c r="A224" s="2" t="s">
        <v>401</v>
      </c>
      <c r="B224" s="36">
        <v>4</v>
      </c>
      <c r="C224" s="2" t="s">
        <v>104</v>
      </c>
      <c r="E224" s="2" t="s">
        <v>380</v>
      </c>
      <c r="F224" s="2" t="s">
        <v>402</v>
      </c>
      <c r="G224" s="2" t="s">
        <v>411</v>
      </c>
      <c r="H224" s="2" t="s">
        <v>111</v>
      </c>
      <c r="I224" s="2" t="s">
        <v>1090</v>
      </c>
      <c r="J224" s="2" t="s">
        <v>1105</v>
      </c>
      <c r="K224" s="2" t="s">
        <v>1092</v>
      </c>
      <c r="L224" s="48" t="str">
        <f>_xlfn.TEXTJOIN("", TRUE, D224:K224)</f>
        <v>02_Slots/Titel/f/03_Smay.t-jmn_NR-3.Zw.Zt._01.png &lt;sup&gt;(NR; 3.Zw.Zt.)&lt;/sup&gt;</v>
      </c>
    </row>
    <row r="225" spans="1:12" x14ac:dyDescent="0.2">
      <c r="A225" s="2" t="s">
        <v>401</v>
      </c>
      <c r="B225" s="36">
        <v>4</v>
      </c>
      <c r="C225" s="2" t="s">
        <v>26</v>
      </c>
      <c r="L225" s="48" t="s">
        <v>413</v>
      </c>
    </row>
    <row r="226" spans="1:12" x14ac:dyDescent="0.2">
      <c r="A226" s="2" t="s">
        <v>401</v>
      </c>
      <c r="B226" s="36">
        <v>4</v>
      </c>
      <c r="C226" s="2" t="s">
        <v>1561</v>
      </c>
      <c r="L226" s="48">
        <v>884639</v>
      </c>
    </row>
    <row r="240" spans="1:12" x14ac:dyDescent="0.2">
      <c r="A240" s="2" t="s">
        <v>423</v>
      </c>
      <c r="B240" s="36">
        <v>1</v>
      </c>
      <c r="C240" s="2" t="s">
        <v>101</v>
      </c>
      <c r="E240" s="2" t="s">
        <v>424</v>
      </c>
      <c r="F240" s="2" t="s">
        <v>425</v>
      </c>
      <c r="G240" s="2" t="s">
        <v>429</v>
      </c>
      <c r="H240" s="2" t="s">
        <v>111</v>
      </c>
      <c r="L240" s="48" t="str">
        <f t="shared" ref="L240:L241" si="44">_xlfn.TEXTJOIN("", TRUE, D240:J240)</f>
        <v>02_Slots/Personennamen/Determinative/m/01_A1_01.png</v>
      </c>
    </row>
    <row r="241" spans="1:12" x14ac:dyDescent="0.2">
      <c r="A241" s="2" t="s">
        <v>423</v>
      </c>
      <c r="B241" s="36">
        <v>1</v>
      </c>
      <c r="C241" s="2" t="s">
        <v>101</v>
      </c>
      <c r="E241" s="2" t="s">
        <v>424</v>
      </c>
      <c r="F241" s="2" t="s">
        <v>425</v>
      </c>
      <c r="G241" s="2" t="s">
        <v>430</v>
      </c>
      <c r="H241" s="2" t="s">
        <v>111</v>
      </c>
      <c r="L241" s="48" t="str">
        <f t="shared" si="44"/>
        <v>02_Slots/Personennamen/Determinative/m/02_A52_01.png</v>
      </c>
    </row>
    <row r="242" spans="1:12" x14ac:dyDescent="0.2">
      <c r="A242" s="2" t="s">
        <v>423</v>
      </c>
      <c r="B242" s="36">
        <v>1</v>
      </c>
      <c r="C242" s="2" t="s">
        <v>102</v>
      </c>
      <c r="E242" s="2" t="s">
        <v>424</v>
      </c>
      <c r="F242" s="2" t="s">
        <v>402</v>
      </c>
      <c r="G242" s="2" t="s">
        <v>426</v>
      </c>
      <c r="H242" s="2" t="s">
        <v>111</v>
      </c>
      <c r="L242" s="48" t="str">
        <f t="shared" ref="L242:L244" si="45">_xlfn.TEXTJOIN("", TRUE, D242:J242)</f>
        <v>02_Slots/Personennamen/Determinative/f/01_B1_01.png</v>
      </c>
    </row>
    <row r="243" spans="1:12" x14ac:dyDescent="0.2">
      <c r="A243" s="2" t="s">
        <v>423</v>
      </c>
      <c r="B243" s="36">
        <v>1</v>
      </c>
      <c r="C243" s="2" t="s">
        <v>102</v>
      </c>
      <c r="E243" s="2" t="s">
        <v>424</v>
      </c>
      <c r="F243" s="2" t="s">
        <v>402</v>
      </c>
      <c r="G243" s="2" t="s">
        <v>427</v>
      </c>
      <c r="H243" s="2" t="s">
        <v>111</v>
      </c>
      <c r="L243" s="48" t="str">
        <f t="shared" si="45"/>
        <v>02_Slots/Personennamen/Determinative/f/02_B1G_01.png</v>
      </c>
    </row>
    <row r="244" spans="1:12" x14ac:dyDescent="0.2">
      <c r="A244" s="2" t="s">
        <v>423</v>
      </c>
      <c r="B244" s="36">
        <v>1</v>
      </c>
      <c r="C244" s="2" t="s">
        <v>102</v>
      </c>
      <c r="E244" s="2" t="s">
        <v>424</v>
      </c>
      <c r="F244" s="2" t="s">
        <v>402</v>
      </c>
      <c r="G244" s="2" t="s">
        <v>428</v>
      </c>
      <c r="H244" s="2" t="s">
        <v>111</v>
      </c>
      <c r="L244" s="48" t="str">
        <f t="shared" si="45"/>
        <v>02_Slots/Personennamen/Determinative/f/03_B8_01.png</v>
      </c>
    </row>
    <row r="246" spans="1:12" x14ac:dyDescent="0.2">
      <c r="A246" s="2" t="s">
        <v>431</v>
      </c>
      <c r="B246" s="36">
        <v>1</v>
      </c>
      <c r="C246" s="2" t="s">
        <v>38</v>
      </c>
      <c r="L246" s="48" t="s">
        <v>432</v>
      </c>
    </row>
    <row r="247" spans="1:12" x14ac:dyDescent="0.2">
      <c r="A247" s="2" t="s">
        <v>431</v>
      </c>
      <c r="B247" s="36">
        <v>1</v>
      </c>
      <c r="C247" s="2" t="s">
        <v>104</v>
      </c>
      <c r="E247" s="2" t="s">
        <v>434</v>
      </c>
      <c r="G247" s="2" t="s">
        <v>435</v>
      </c>
      <c r="H247" s="2" t="s">
        <v>111</v>
      </c>
      <c r="L247" s="48" t="str">
        <f t="shared" ref="L247:L248" si="46">_xlfn.TEXTJOIN("", TRUE, D247:J247)</f>
        <v>02_Slots/Menschenepitheta/03_mAa-xrw_01.png</v>
      </c>
    </row>
    <row r="248" spans="1:12" x14ac:dyDescent="0.2">
      <c r="A248" s="2" t="s">
        <v>431</v>
      </c>
      <c r="B248" s="36">
        <v>1</v>
      </c>
      <c r="C248" s="2" t="s">
        <v>104</v>
      </c>
      <c r="E248" s="2" t="s">
        <v>434</v>
      </c>
      <c r="G248" s="2" t="s">
        <v>436</v>
      </c>
      <c r="H248" s="2" t="s">
        <v>111</v>
      </c>
      <c r="L248" s="48" t="str">
        <f t="shared" si="46"/>
        <v>02_Slots/Menschenepitheta/03_mAa-xrw_02.png</v>
      </c>
    </row>
    <row r="249" spans="1:12" x14ac:dyDescent="0.2">
      <c r="A249" s="2" t="s">
        <v>431</v>
      </c>
      <c r="B249" s="36">
        <v>1</v>
      </c>
      <c r="C249" s="2" t="s">
        <v>104</v>
      </c>
      <c r="E249" s="2" t="s">
        <v>434</v>
      </c>
      <c r="G249" s="2" t="s">
        <v>437</v>
      </c>
      <c r="H249" s="2" t="s">
        <v>111</v>
      </c>
      <c r="L249" s="48" t="str">
        <f t="shared" ref="L249" si="47">_xlfn.TEXTJOIN("", TRUE, D249:J249)</f>
        <v>02_Slots/Menschenepitheta/03_mAa-xrw_03.png</v>
      </c>
    </row>
    <row r="250" spans="1:12" x14ac:dyDescent="0.2">
      <c r="A250" s="2" t="s">
        <v>431</v>
      </c>
      <c r="B250" s="36">
        <v>1</v>
      </c>
      <c r="C250" s="2" t="s">
        <v>104</v>
      </c>
      <c r="E250" s="2" t="s">
        <v>434</v>
      </c>
      <c r="G250" s="2" t="s">
        <v>438</v>
      </c>
      <c r="H250" s="2" t="s">
        <v>111</v>
      </c>
      <c r="I250" s="2" t="s">
        <v>1090</v>
      </c>
      <c r="J250" s="2" t="s">
        <v>1049</v>
      </c>
      <c r="K250" s="2" t="s">
        <v>1092</v>
      </c>
      <c r="L250" s="48" t="str">
        <f t="shared" ref="L250:L252" si="48">_xlfn.TEXTJOIN("", TRUE, D250:K250)</f>
        <v>02_Slots/Menschenepitheta/03_mAa-xrw_NR_01.png &lt;sup&gt;(NR)&lt;/sup&gt;</v>
      </c>
    </row>
    <row r="251" spans="1:12" x14ac:dyDescent="0.2">
      <c r="A251" s="2" t="s">
        <v>431</v>
      </c>
      <c r="B251" s="36">
        <v>1</v>
      </c>
      <c r="C251" s="2" t="s">
        <v>104</v>
      </c>
      <c r="E251" s="2" t="s">
        <v>434</v>
      </c>
      <c r="G251" s="2" t="s">
        <v>439</v>
      </c>
      <c r="H251" s="2" t="s">
        <v>111</v>
      </c>
      <c r="I251" s="2" t="s">
        <v>1090</v>
      </c>
      <c r="J251" s="2" t="s">
        <v>1082</v>
      </c>
      <c r="K251" s="2" t="s">
        <v>1092</v>
      </c>
      <c r="L251" s="48" t="str">
        <f t="shared" si="48"/>
        <v>02_Slots/Menschenepitheta/03_mAa-xrw_Spaet._01.png &lt;sup&gt;(Spät.)&lt;/sup&gt;</v>
      </c>
    </row>
    <row r="252" spans="1:12" x14ac:dyDescent="0.2">
      <c r="A252" s="2" t="s">
        <v>431</v>
      </c>
      <c r="B252" s="36">
        <v>1</v>
      </c>
      <c r="C252" s="2" t="s">
        <v>104</v>
      </c>
      <c r="E252" s="2" t="s">
        <v>434</v>
      </c>
      <c r="G252" s="2" t="s">
        <v>440</v>
      </c>
      <c r="H252" s="2" t="s">
        <v>111</v>
      </c>
      <c r="I252" s="2" t="s">
        <v>1090</v>
      </c>
      <c r="J252" s="2" t="s">
        <v>1082</v>
      </c>
      <c r="K252" s="2" t="s">
        <v>1092</v>
      </c>
      <c r="L252" s="48" t="str">
        <f t="shared" si="48"/>
        <v>02_Slots/Menschenepitheta/03_mAa-xrw_Spaet._02.png &lt;sup&gt;(Spät.)&lt;/sup&gt;</v>
      </c>
    </row>
    <row r="253" spans="1:12" x14ac:dyDescent="0.2">
      <c r="A253" s="2" t="s">
        <v>431</v>
      </c>
      <c r="B253" s="36">
        <v>1</v>
      </c>
      <c r="C253" s="2" t="s">
        <v>26</v>
      </c>
      <c r="L253" s="48" t="s">
        <v>433</v>
      </c>
    </row>
    <row r="254" spans="1:12" x14ac:dyDescent="0.2">
      <c r="A254" s="2" t="s">
        <v>431</v>
      </c>
      <c r="B254" s="36">
        <v>1</v>
      </c>
      <c r="C254" s="2" t="s">
        <v>1561</v>
      </c>
      <c r="L254" s="48">
        <v>66750</v>
      </c>
    </row>
    <row r="256" spans="1:12" x14ac:dyDescent="0.2">
      <c r="A256" s="13" t="s">
        <v>1584</v>
      </c>
      <c r="B256" s="36">
        <v>1</v>
      </c>
      <c r="C256" s="2" t="s">
        <v>38</v>
      </c>
      <c r="L256" s="2" t="s">
        <v>1607</v>
      </c>
    </row>
    <row r="257" spans="1:12" x14ac:dyDescent="0.2">
      <c r="A257" s="13" t="s">
        <v>1584</v>
      </c>
      <c r="B257" s="36">
        <v>1</v>
      </c>
      <c r="C257" s="2" t="s">
        <v>104</v>
      </c>
      <c r="L257" s="2"/>
    </row>
    <row r="258" spans="1:12" x14ac:dyDescent="0.2">
      <c r="A258" s="13" t="s">
        <v>1584</v>
      </c>
      <c r="B258" s="36">
        <v>1</v>
      </c>
      <c r="C258" s="2" t="s">
        <v>26</v>
      </c>
      <c r="L258" s="2"/>
    </row>
    <row r="259" spans="1:12" x14ac:dyDescent="0.2">
      <c r="A259" s="13" t="s">
        <v>1584</v>
      </c>
      <c r="B259" s="36">
        <v>1</v>
      </c>
      <c r="C259" s="2" t="s">
        <v>39</v>
      </c>
      <c r="L259" s="2"/>
    </row>
    <row r="260" spans="1:12" x14ac:dyDescent="0.2">
      <c r="A260" s="13" t="s">
        <v>1584</v>
      </c>
      <c r="B260" s="36">
        <v>1</v>
      </c>
      <c r="C260" s="2" t="s">
        <v>40</v>
      </c>
      <c r="L260" s="2"/>
    </row>
    <row r="261" spans="1:12" x14ac:dyDescent="0.2">
      <c r="A261" s="13" t="s">
        <v>1584</v>
      </c>
      <c r="B261" s="36">
        <v>1</v>
      </c>
      <c r="C261" s="2" t="s">
        <v>1561</v>
      </c>
      <c r="L261" s="2"/>
    </row>
    <row r="262" spans="1:12" x14ac:dyDescent="0.2">
      <c r="A262" s="13" t="s">
        <v>1584</v>
      </c>
      <c r="B262" s="36">
        <v>2</v>
      </c>
      <c r="C262" s="2" t="s">
        <v>38</v>
      </c>
      <c r="L262" s="48" t="s">
        <v>1588</v>
      </c>
    </row>
    <row r="263" spans="1:12" x14ac:dyDescent="0.2">
      <c r="A263" s="13" t="s">
        <v>1584</v>
      </c>
      <c r="B263" s="36">
        <v>2</v>
      </c>
      <c r="C263" s="2" t="s">
        <v>38</v>
      </c>
      <c r="L263" s="48" t="s">
        <v>1589</v>
      </c>
    </row>
    <row r="264" spans="1:12" x14ac:dyDescent="0.2">
      <c r="A264" s="13" t="s">
        <v>1584</v>
      </c>
      <c r="B264" s="36">
        <v>2</v>
      </c>
      <c r="C264" s="2" t="s">
        <v>38</v>
      </c>
      <c r="L264" s="48" t="s">
        <v>1590</v>
      </c>
    </row>
    <row r="265" spans="1:12" x14ac:dyDescent="0.2">
      <c r="A265" s="13" t="s">
        <v>1584</v>
      </c>
      <c r="B265" s="36">
        <v>2</v>
      </c>
      <c r="C265" s="2" t="s">
        <v>38</v>
      </c>
      <c r="L265" s="48" t="s">
        <v>1605</v>
      </c>
    </row>
    <row r="266" spans="1:12" x14ac:dyDescent="0.2">
      <c r="A266" s="13" t="s">
        <v>1584</v>
      </c>
      <c r="B266" s="36">
        <v>2</v>
      </c>
      <c r="C266" s="2" t="s">
        <v>38</v>
      </c>
      <c r="L266" s="48" t="s">
        <v>1606</v>
      </c>
    </row>
    <row r="267" spans="1:12" x14ac:dyDescent="0.2">
      <c r="A267" s="13" t="s">
        <v>1584</v>
      </c>
      <c r="B267" s="36">
        <v>2</v>
      </c>
      <c r="C267" s="2" t="s">
        <v>104</v>
      </c>
      <c r="E267" s="2" t="s">
        <v>472</v>
      </c>
      <c r="F267" s="2" t="s">
        <v>473</v>
      </c>
      <c r="G267" s="2" t="s">
        <v>1374</v>
      </c>
      <c r="L267" s="48" t="str">
        <f t="shared" ref="L267:L273" si="49">_xlfn.TEXTJOIN("", TRUE, D267:K267)</f>
        <v>02_Slots/Datum/01_Jahr/0001_HA.t-sp_01.png</v>
      </c>
    </row>
    <row r="268" spans="1:12" x14ac:dyDescent="0.2">
      <c r="A268" s="13" t="s">
        <v>1584</v>
      </c>
      <c r="B268" s="36">
        <v>2</v>
      </c>
      <c r="C268" s="2" t="s">
        <v>104</v>
      </c>
      <c r="E268" s="2" t="s">
        <v>472</v>
      </c>
      <c r="F268" s="2" t="s">
        <v>473</v>
      </c>
      <c r="G268" s="2" t="s">
        <v>1375</v>
      </c>
      <c r="L268" s="48" t="str">
        <f t="shared" si="49"/>
        <v>02_Slots/Datum/01_Jahr/0010_HA.t-sp_02.png</v>
      </c>
    </row>
    <row r="269" spans="1:12" x14ac:dyDescent="0.2">
      <c r="A269" s="13" t="s">
        <v>1584</v>
      </c>
      <c r="B269" s="36">
        <v>2</v>
      </c>
      <c r="C269" s="2" t="s">
        <v>104</v>
      </c>
      <c r="E269" s="2" t="s">
        <v>472</v>
      </c>
      <c r="F269" s="2" t="s">
        <v>473</v>
      </c>
      <c r="G269" s="2" t="s">
        <v>1376</v>
      </c>
      <c r="L269" s="48" t="str">
        <f t="shared" si="49"/>
        <v>02_Slots/Datum/01_Jahr/0020_HA.t-sp_03.png</v>
      </c>
    </row>
    <row r="270" spans="1:12" x14ac:dyDescent="0.2">
      <c r="A270" s="13" t="s">
        <v>1584</v>
      </c>
      <c r="B270" s="36">
        <v>2</v>
      </c>
      <c r="C270" s="2" t="s">
        <v>104</v>
      </c>
      <c r="E270" s="2" t="s">
        <v>472</v>
      </c>
      <c r="F270" s="2" t="s">
        <v>473</v>
      </c>
      <c r="G270" s="2" t="s">
        <v>1377</v>
      </c>
      <c r="L270" s="48" t="str">
        <f t="shared" si="49"/>
        <v>02_Slots/Datum/01_Jahr/0030_HA.t-sp_04.png</v>
      </c>
    </row>
    <row r="271" spans="1:12" x14ac:dyDescent="0.2">
      <c r="A271" s="13" t="s">
        <v>1584</v>
      </c>
      <c r="B271" s="36">
        <v>2</v>
      </c>
      <c r="C271" s="2" t="s">
        <v>104</v>
      </c>
      <c r="E271" s="2" t="s">
        <v>472</v>
      </c>
      <c r="F271" s="2" t="s">
        <v>473</v>
      </c>
      <c r="G271" s="2" t="s">
        <v>1378</v>
      </c>
      <c r="I271" s="2" t="s">
        <v>1090</v>
      </c>
      <c r="J271" s="2" t="s">
        <v>1082</v>
      </c>
      <c r="K271" s="2" t="s">
        <v>1092</v>
      </c>
      <c r="L271" s="48" t="str">
        <f t="shared" si="49"/>
        <v>02_Slots/Datum/01_Jahr/0040_HA.t-sp_Sp_01.png &lt;sup&gt;(Spät.)&lt;/sup&gt;</v>
      </c>
    </row>
    <row r="272" spans="1:12" x14ac:dyDescent="0.2">
      <c r="A272" s="13" t="s">
        <v>1584</v>
      </c>
      <c r="B272" s="36">
        <v>2</v>
      </c>
      <c r="C272" s="2" t="s">
        <v>104</v>
      </c>
      <c r="E272" s="2" t="s">
        <v>472</v>
      </c>
      <c r="F272" s="2" t="s">
        <v>473</v>
      </c>
      <c r="G272" s="2" t="s">
        <v>1379</v>
      </c>
      <c r="I272" s="2" t="s">
        <v>1090</v>
      </c>
      <c r="J272" s="2" t="s">
        <v>1082</v>
      </c>
      <c r="K272" s="2" t="s">
        <v>1092</v>
      </c>
      <c r="L272" s="48" t="str">
        <f t="shared" si="49"/>
        <v>02_Slots/Datum/01_Jahr/0050_HA.t-sp_Sp_02.png &lt;sup&gt;(Spät.)&lt;/sup&gt;</v>
      </c>
    </row>
    <row r="273" spans="1:12" x14ac:dyDescent="0.2">
      <c r="A273" s="13" t="s">
        <v>1584</v>
      </c>
      <c r="B273" s="36">
        <v>2</v>
      </c>
      <c r="C273" s="2" t="s">
        <v>104</v>
      </c>
      <c r="E273" s="2" t="s">
        <v>472</v>
      </c>
      <c r="F273" s="2" t="s">
        <v>473</v>
      </c>
      <c r="G273" s="2" t="s">
        <v>1380</v>
      </c>
      <c r="I273" s="2" t="s">
        <v>1090</v>
      </c>
      <c r="J273" s="2" t="s">
        <v>1082</v>
      </c>
      <c r="K273" s="2" t="s">
        <v>1092</v>
      </c>
      <c r="L273" s="48" t="str">
        <f t="shared" si="49"/>
        <v>02_Slots/Datum/01_Jahr/0060_HA.t-sp_Sp_03.png &lt;sup&gt;(Spät.)&lt;/sup&gt;</v>
      </c>
    </row>
    <row r="274" spans="1:12" x14ac:dyDescent="0.2">
      <c r="A274" s="13" t="s">
        <v>1584</v>
      </c>
      <c r="B274" s="36">
        <v>2</v>
      </c>
      <c r="C274" s="2" t="s">
        <v>26</v>
      </c>
      <c r="L274" s="48" t="s">
        <v>474</v>
      </c>
    </row>
    <row r="275" spans="1:12" x14ac:dyDescent="0.2">
      <c r="A275" s="13" t="s">
        <v>1584</v>
      </c>
      <c r="B275" s="36">
        <v>2</v>
      </c>
      <c r="C275" s="2" t="s">
        <v>39</v>
      </c>
      <c r="L275" s="2" t="s">
        <v>1591</v>
      </c>
    </row>
    <row r="276" spans="1:12" x14ac:dyDescent="0.2">
      <c r="A276" s="13" t="s">
        <v>1584</v>
      </c>
      <c r="B276" s="36">
        <v>2</v>
      </c>
      <c r="C276" s="2" t="s">
        <v>40</v>
      </c>
      <c r="L276" s="2" t="s">
        <v>1592</v>
      </c>
    </row>
    <row r="277" spans="1:12" x14ac:dyDescent="0.2">
      <c r="A277" s="13" t="s">
        <v>1584</v>
      </c>
      <c r="B277" s="36">
        <v>2</v>
      </c>
      <c r="C277" s="2" t="s">
        <v>1561</v>
      </c>
      <c r="L277" s="48" t="s">
        <v>1562</v>
      </c>
    </row>
    <row r="278" spans="1:12" x14ac:dyDescent="0.2">
      <c r="A278" s="13"/>
    </row>
    <row r="279" spans="1:12" x14ac:dyDescent="0.2">
      <c r="A279" s="13" t="s">
        <v>1584</v>
      </c>
      <c r="B279" s="36">
        <v>3</v>
      </c>
      <c r="C279" s="2" t="s">
        <v>38</v>
      </c>
      <c r="L279" s="2" t="s">
        <v>1608</v>
      </c>
    </row>
    <row r="280" spans="1:12" x14ac:dyDescent="0.2">
      <c r="A280" s="13" t="s">
        <v>1584</v>
      </c>
      <c r="B280" s="36">
        <v>3</v>
      </c>
      <c r="C280" s="2" t="s">
        <v>104</v>
      </c>
      <c r="L280" s="2"/>
    </row>
    <row r="281" spans="1:12" x14ac:dyDescent="0.2">
      <c r="A281" s="13" t="s">
        <v>1584</v>
      </c>
      <c r="B281" s="36">
        <v>3</v>
      </c>
      <c r="C281" s="2" t="s">
        <v>26</v>
      </c>
      <c r="L281" s="2"/>
    </row>
    <row r="282" spans="1:12" x14ac:dyDescent="0.2">
      <c r="A282" s="13" t="s">
        <v>1584</v>
      </c>
      <c r="B282" s="36">
        <v>3</v>
      </c>
      <c r="C282" s="2" t="s">
        <v>39</v>
      </c>
      <c r="L282" s="2"/>
    </row>
    <row r="283" spans="1:12" x14ac:dyDescent="0.2">
      <c r="A283" s="13" t="s">
        <v>1584</v>
      </c>
      <c r="B283" s="36">
        <v>3</v>
      </c>
      <c r="C283" s="2" t="s">
        <v>40</v>
      </c>
      <c r="L283" s="2"/>
    </row>
    <row r="284" spans="1:12" x14ac:dyDescent="0.2">
      <c r="A284" s="13" t="s">
        <v>1584</v>
      </c>
      <c r="B284" s="36">
        <v>3</v>
      </c>
      <c r="C284" s="2" t="s">
        <v>1561</v>
      </c>
      <c r="L284" s="2"/>
    </row>
    <row r="285" spans="1:12" x14ac:dyDescent="0.2">
      <c r="A285" s="13" t="s">
        <v>1584</v>
      </c>
      <c r="B285" s="36">
        <v>4</v>
      </c>
      <c r="C285" s="2" t="s">
        <v>38</v>
      </c>
      <c r="L285" s="48" t="s">
        <v>1580</v>
      </c>
    </row>
    <row r="286" spans="1:12" x14ac:dyDescent="0.2">
      <c r="A286" s="13" t="s">
        <v>1584</v>
      </c>
      <c r="B286" s="36">
        <v>4</v>
      </c>
      <c r="C286" s="2" t="s">
        <v>104</v>
      </c>
      <c r="E286" s="2" t="s">
        <v>472</v>
      </c>
      <c r="F286" s="2" t="s">
        <v>1593</v>
      </c>
      <c r="G286" s="2" t="s">
        <v>1594</v>
      </c>
      <c r="L286" s="48" t="str">
        <f t="shared" ref="L286:L291" si="50">_xlfn.TEXTJOIN("", TRUE, D286:K286)</f>
        <v>02_Slots/Datum/02_Monat/01_Abd/0001_Abd_01.png</v>
      </c>
    </row>
    <row r="287" spans="1:12" x14ac:dyDescent="0.2">
      <c r="A287" s="13" t="s">
        <v>1584</v>
      </c>
      <c r="B287" s="36">
        <v>4</v>
      </c>
      <c r="C287" s="2" t="s">
        <v>104</v>
      </c>
      <c r="E287" s="2" t="s">
        <v>472</v>
      </c>
      <c r="F287" s="2" t="s">
        <v>1593</v>
      </c>
      <c r="G287" s="2" t="s">
        <v>1595</v>
      </c>
      <c r="L287" s="48" t="str">
        <f t="shared" si="50"/>
        <v>02_Slots/Datum/02_Monat/01_Abd/0010_Abd_02.png</v>
      </c>
    </row>
    <row r="288" spans="1:12" x14ac:dyDescent="0.2">
      <c r="A288" s="13" t="s">
        <v>1584</v>
      </c>
      <c r="B288" s="36">
        <v>4</v>
      </c>
      <c r="C288" s="2" t="s">
        <v>104</v>
      </c>
      <c r="E288" s="2" t="s">
        <v>472</v>
      </c>
      <c r="F288" s="2" t="s">
        <v>1593</v>
      </c>
      <c r="G288" s="2" t="s">
        <v>1596</v>
      </c>
      <c r="I288" s="2" t="s">
        <v>1090</v>
      </c>
      <c r="J288" s="2" t="s">
        <v>1091</v>
      </c>
      <c r="K288" s="2" t="s">
        <v>1092</v>
      </c>
      <c r="L288" s="48" t="str">
        <f t="shared" si="50"/>
        <v>02_Slots/Datum/02_Monat/01_Abd/0020_Abd_AR_01.png &lt;sup&gt;(AR)&lt;/sup&gt;</v>
      </c>
    </row>
    <row r="289" spans="1:12" x14ac:dyDescent="0.2">
      <c r="A289" s="13" t="s">
        <v>1584</v>
      </c>
      <c r="B289" s="36">
        <v>4</v>
      </c>
      <c r="C289" s="2" t="s">
        <v>104</v>
      </c>
      <c r="E289" s="2" t="s">
        <v>472</v>
      </c>
      <c r="F289" s="2" t="s">
        <v>1593</v>
      </c>
      <c r="G289" s="2" t="s">
        <v>1597</v>
      </c>
      <c r="I289" s="2" t="s">
        <v>1090</v>
      </c>
      <c r="J289" s="2" t="s">
        <v>1091</v>
      </c>
      <c r="K289" s="2" t="s">
        <v>1092</v>
      </c>
      <c r="L289" s="48" t="str">
        <f t="shared" si="50"/>
        <v>02_Slots/Datum/02_Monat/01_Abd/0030_Abd_AR_02.png &lt;sup&gt;(AR)&lt;/sup&gt;</v>
      </c>
    </row>
    <row r="290" spans="1:12" x14ac:dyDescent="0.2">
      <c r="A290" s="13" t="s">
        <v>1584</v>
      </c>
      <c r="B290" s="36">
        <v>4</v>
      </c>
      <c r="C290" s="2" t="s">
        <v>104</v>
      </c>
      <c r="E290" s="2" t="s">
        <v>472</v>
      </c>
      <c r="F290" s="2" t="s">
        <v>1593</v>
      </c>
      <c r="G290" s="2" t="s">
        <v>1598</v>
      </c>
      <c r="I290" s="2" t="s">
        <v>1090</v>
      </c>
      <c r="J290" s="2" t="s">
        <v>1094</v>
      </c>
      <c r="K290" s="2" t="s">
        <v>1092</v>
      </c>
      <c r="L290" s="48" t="str">
        <f t="shared" si="50"/>
        <v>02_Slots/Datum/02_Monat/01_Abd/0040_Abd_MR_01.png &lt;sup&gt;(MR)&lt;/sup&gt;</v>
      </c>
    </row>
    <row r="291" spans="1:12" x14ac:dyDescent="0.2">
      <c r="A291" s="13" t="s">
        <v>1584</v>
      </c>
      <c r="B291" s="36">
        <v>4</v>
      </c>
      <c r="C291" s="2" t="s">
        <v>104</v>
      </c>
      <c r="E291" s="2" t="s">
        <v>472</v>
      </c>
      <c r="F291" s="2" t="s">
        <v>1593</v>
      </c>
      <c r="G291" s="2" t="s">
        <v>1599</v>
      </c>
      <c r="I291" s="2" t="s">
        <v>1090</v>
      </c>
      <c r="J291" s="2" t="s">
        <v>1093</v>
      </c>
      <c r="K291" s="2" t="s">
        <v>1092</v>
      </c>
      <c r="L291" s="48" t="str">
        <f t="shared" si="50"/>
        <v>02_Slots/Datum/02_Monat/01_Abd/0050_Abd_Gr_01.png &lt;sup&gt;(Gr.)&lt;/sup&gt;</v>
      </c>
    </row>
    <row r="292" spans="1:12" x14ac:dyDescent="0.2">
      <c r="A292" s="13" t="s">
        <v>1584</v>
      </c>
      <c r="B292" s="36">
        <v>4</v>
      </c>
      <c r="C292" s="2" t="s">
        <v>26</v>
      </c>
      <c r="L292" s="48" t="s">
        <v>1062</v>
      </c>
    </row>
    <row r="293" spans="1:12" x14ac:dyDescent="0.2">
      <c r="A293" s="13" t="s">
        <v>1584</v>
      </c>
      <c r="B293" s="36">
        <v>4</v>
      </c>
      <c r="C293" s="2" t="s">
        <v>39</v>
      </c>
      <c r="L293" s="2" t="s">
        <v>1600</v>
      </c>
    </row>
    <row r="294" spans="1:12" x14ac:dyDescent="0.2">
      <c r="A294" s="13" t="s">
        <v>1584</v>
      </c>
      <c r="B294" s="36">
        <v>4</v>
      </c>
      <c r="C294" s="2" t="s">
        <v>40</v>
      </c>
      <c r="L294" s="2" t="s">
        <v>1601</v>
      </c>
    </row>
    <row r="295" spans="1:12" x14ac:dyDescent="0.2">
      <c r="A295" s="13" t="s">
        <v>1584</v>
      </c>
      <c r="B295" s="36">
        <v>4</v>
      </c>
      <c r="C295" s="2" t="s">
        <v>1561</v>
      </c>
      <c r="L295" s="48">
        <v>93</v>
      </c>
    </row>
    <row r="296" spans="1:12" x14ac:dyDescent="0.2">
      <c r="A296" s="13" t="s">
        <v>1584</v>
      </c>
      <c r="B296" s="36">
        <v>5</v>
      </c>
      <c r="C296" s="2" t="s">
        <v>38</v>
      </c>
      <c r="L296" s="48" t="s">
        <v>1026</v>
      </c>
    </row>
    <row r="297" spans="1:12" x14ac:dyDescent="0.2">
      <c r="A297" s="13" t="s">
        <v>1584</v>
      </c>
      <c r="B297" s="36">
        <v>5</v>
      </c>
      <c r="C297" s="2" t="s">
        <v>104</v>
      </c>
      <c r="E297" s="2" t="s">
        <v>472</v>
      </c>
      <c r="F297" s="2" t="s">
        <v>475</v>
      </c>
      <c r="G297" s="2" t="s">
        <v>476</v>
      </c>
      <c r="H297" s="2" t="s">
        <v>111</v>
      </c>
      <c r="L297" s="48" t="str">
        <f t="shared" ref="L297" si="51">_xlfn.TEXTJOIN("", TRUE, D297:J297)</f>
        <v>02_Slots/Datum/02_Monat/0010_tpy_01.png</v>
      </c>
    </row>
    <row r="298" spans="1:12" x14ac:dyDescent="0.2">
      <c r="A298" s="13" t="s">
        <v>1584</v>
      </c>
      <c r="B298" s="36">
        <v>5</v>
      </c>
      <c r="C298" s="2" t="s">
        <v>26</v>
      </c>
      <c r="L298" s="48" t="s">
        <v>1602</v>
      </c>
    </row>
    <row r="299" spans="1:12" x14ac:dyDescent="0.2">
      <c r="A299" s="13" t="s">
        <v>1584</v>
      </c>
      <c r="B299" s="36">
        <v>5</v>
      </c>
      <c r="C299" s="2" t="s">
        <v>39</v>
      </c>
      <c r="L299" s="2" t="s">
        <v>1603</v>
      </c>
    </row>
    <row r="300" spans="1:12" x14ac:dyDescent="0.2">
      <c r="A300" s="13" t="s">
        <v>1584</v>
      </c>
      <c r="B300" s="36">
        <v>5</v>
      </c>
      <c r="C300" s="2" t="s">
        <v>40</v>
      </c>
      <c r="L300" s="2" t="s">
        <v>1604</v>
      </c>
    </row>
    <row r="301" spans="1:12" x14ac:dyDescent="0.2">
      <c r="A301" s="13" t="s">
        <v>1584</v>
      </c>
      <c r="B301" s="36">
        <v>5</v>
      </c>
      <c r="C301" s="2" t="s">
        <v>1561</v>
      </c>
      <c r="L301" s="48">
        <v>170880</v>
      </c>
    </row>
    <row r="302" spans="1:12" x14ac:dyDescent="0.2">
      <c r="A302" s="13"/>
    </row>
    <row r="303" spans="1:12" x14ac:dyDescent="0.2">
      <c r="A303" s="13" t="s">
        <v>1584</v>
      </c>
      <c r="B303" s="36">
        <v>6</v>
      </c>
      <c r="C303" s="2" t="s">
        <v>38</v>
      </c>
      <c r="L303" s="2" t="s">
        <v>1609</v>
      </c>
    </row>
    <row r="304" spans="1:12" x14ac:dyDescent="0.2">
      <c r="A304" s="13" t="s">
        <v>1584</v>
      </c>
      <c r="B304" s="36">
        <v>6</v>
      </c>
      <c r="C304" s="2" t="s">
        <v>104</v>
      </c>
      <c r="L304" s="2"/>
    </row>
    <row r="305" spans="1:12" x14ac:dyDescent="0.2">
      <c r="A305" s="13" t="s">
        <v>1584</v>
      </c>
      <c r="B305" s="36">
        <v>6</v>
      </c>
      <c r="C305" s="2" t="s">
        <v>26</v>
      </c>
      <c r="L305" s="2"/>
    </row>
    <row r="306" spans="1:12" x14ac:dyDescent="0.2">
      <c r="A306" s="13" t="s">
        <v>1584</v>
      </c>
      <c r="B306" s="36">
        <v>6</v>
      </c>
      <c r="C306" s="2" t="s">
        <v>39</v>
      </c>
      <c r="L306" s="2"/>
    </row>
    <row r="307" spans="1:12" x14ac:dyDescent="0.2">
      <c r="A307" s="13" t="s">
        <v>1584</v>
      </c>
      <c r="B307" s="36">
        <v>6</v>
      </c>
      <c r="C307" s="2" t="s">
        <v>40</v>
      </c>
      <c r="L307" s="2"/>
    </row>
    <row r="308" spans="1:12" x14ac:dyDescent="0.2">
      <c r="A308" s="13" t="s">
        <v>1584</v>
      </c>
      <c r="B308" s="36">
        <v>6</v>
      </c>
      <c r="C308" s="2" t="s">
        <v>1561</v>
      </c>
      <c r="L308" s="2"/>
    </row>
    <row r="309" spans="1:12" x14ac:dyDescent="0.2">
      <c r="A309" s="13" t="s">
        <v>1584</v>
      </c>
      <c r="B309" s="36">
        <v>7</v>
      </c>
      <c r="C309" s="2" t="s">
        <v>38</v>
      </c>
      <c r="L309" s="48" t="s">
        <v>477</v>
      </c>
    </row>
    <row r="310" spans="1:12" x14ac:dyDescent="0.2">
      <c r="A310" s="13" t="s">
        <v>1584</v>
      </c>
      <c r="B310" s="36">
        <v>7</v>
      </c>
      <c r="C310" s="2" t="s">
        <v>104</v>
      </c>
      <c r="E310" s="2" t="s">
        <v>472</v>
      </c>
      <c r="F310" s="2" t="s">
        <v>1381</v>
      </c>
      <c r="G310" s="2" t="s">
        <v>1384</v>
      </c>
      <c r="L310" s="48" t="str">
        <f t="shared" ref="L310:L314" si="52">_xlfn.TEXTJOIN("", TRUE, D310:K310)</f>
        <v>02_Slots/Datum/03_Jahreszeiten/01_Ax.t/0001_Ax.t_01.png</v>
      </c>
    </row>
    <row r="311" spans="1:12" x14ac:dyDescent="0.2">
      <c r="A311" s="13" t="s">
        <v>1584</v>
      </c>
      <c r="B311" s="36">
        <v>7</v>
      </c>
      <c r="C311" s="2" t="s">
        <v>104</v>
      </c>
      <c r="E311" s="2" t="s">
        <v>472</v>
      </c>
      <c r="F311" s="2" t="s">
        <v>1381</v>
      </c>
      <c r="G311" s="2" t="s">
        <v>1385</v>
      </c>
      <c r="L311" s="48" t="str">
        <f t="shared" si="52"/>
        <v>02_Slots/Datum/03_Jahreszeiten/01_Ax.t/0010_Ax.t_02.png</v>
      </c>
    </row>
    <row r="312" spans="1:12" x14ac:dyDescent="0.2">
      <c r="A312" s="13" t="s">
        <v>1584</v>
      </c>
      <c r="B312" s="36">
        <v>7</v>
      </c>
      <c r="C312" s="2" t="s">
        <v>104</v>
      </c>
      <c r="E312" s="2" t="s">
        <v>472</v>
      </c>
      <c r="F312" s="2" t="s">
        <v>1381</v>
      </c>
      <c r="G312" s="2" t="s">
        <v>1386</v>
      </c>
      <c r="L312" s="48" t="str">
        <f t="shared" si="52"/>
        <v>02_Slots/Datum/03_Jahreszeiten/01_Ax.t/0020_Ax.t_03.png</v>
      </c>
    </row>
    <row r="313" spans="1:12" x14ac:dyDescent="0.2">
      <c r="A313" s="13" t="s">
        <v>1584</v>
      </c>
      <c r="B313" s="36">
        <v>7</v>
      </c>
      <c r="C313" s="2" t="s">
        <v>104</v>
      </c>
      <c r="E313" s="2" t="s">
        <v>472</v>
      </c>
      <c r="F313" s="2" t="s">
        <v>1381</v>
      </c>
      <c r="G313" s="2" t="s">
        <v>1387</v>
      </c>
      <c r="L313" s="48" t="str">
        <f t="shared" si="52"/>
        <v>02_Slots/Datum/03_Jahreszeiten/01_Ax.t/0030_Ax.t_04.png</v>
      </c>
    </row>
    <row r="314" spans="1:12" x14ac:dyDescent="0.2">
      <c r="A314" s="13" t="s">
        <v>1584</v>
      </c>
      <c r="B314" s="36">
        <v>7</v>
      </c>
      <c r="C314" s="2" t="s">
        <v>104</v>
      </c>
      <c r="E314" s="2" t="s">
        <v>472</v>
      </c>
      <c r="F314" s="2" t="s">
        <v>1381</v>
      </c>
      <c r="G314" s="2" t="s">
        <v>1388</v>
      </c>
      <c r="I314" s="2" t="s">
        <v>1090</v>
      </c>
      <c r="J314" s="2" t="s">
        <v>1049</v>
      </c>
      <c r="K314" s="2" t="s">
        <v>1092</v>
      </c>
      <c r="L314" s="48" t="str">
        <f t="shared" si="52"/>
        <v>02_Slots/Datum/03_Jahreszeiten/01_Ax.t/0040_Ax.t_NR_01.png &lt;sup&gt;(NR)&lt;/sup&gt;</v>
      </c>
    </row>
    <row r="315" spans="1:12" x14ac:dyDescent="0.2">
      <c r="A315" s="13" t="s">
        <v>1584</v>
      </c>
      <c r="B315" s="36">
        <v>7</v>
      </c>
      <c r="C315" s="2" t="s">
        <v>26</v>
      </c>
      <c r="L315" s="48" t="s">
        <v>478</v>
      </c>
    </row>
    <row r="316" spans="1:12" x14ac:dyDescent="0.2">
      <c r="A316" s="13" t="s">
        <v>1584</v>
      </c>
      <c r="B316" s="36">
        <v>7</v>
      </c>
      <c r="C316" s="2" t="s">
        <v>39</v>
      </c>
      <c r="L316" s="2" t="s">
        <v>1611</v>
      </c>
    </row>
    <row r="317" spans="1:12" x14ac:dyDescent="0.2">
      <c r="A317" s="13" t="s">
        <v>1584</v>
      </c>
      <c r="B317" s="36">
        <v>7</v>
      </c>
      <c r="C317" s="2" t="s">
        <v>40</v>
      </c>
      <c r="L317" s="2" t="s">
        <v>1610</v>
      </c>
    </row>
    <row r="318" spans="1:12" x14ac:dyDescent="0.2">
      <c r="A318" s="13" t="s">
        <v>1584</v>
      </c>
      <c r="B318" s="36">
        <v>7</v>
      </c>
      <c r="C318" s="2" t="s">
        <v>1561</v>
      </c>
      <c r="L318" s="48">
        <v>216</v>
      </c>
    </row>
    <row r="319" spans="1:12" x14ac:dyDescent="0.2">
      <c r="A319" s="13" t="s">
        <v>1584</v>
      </c>
      <c r="B319" s="36">
        <v>8</v>
      </c>
      <c r="C319" s="2" t="s">
        <v>38</v>
      </c>
      <c r="L319" s="48" t="s">
        <v>479</v>
      </c>
    </row>
    <row r="320" spans="1:12" x14ac:dyDescent="0.2">
      <c r="A320" s="13" t="s">
        <v>1584</v>
      </c>
      <c r="B320" s="36">
        <v>8</v>
      </c>
      <c r="C320" s="2" t="s">
        <v>104</v>
      </c>
      <c r="E320" s="2" t="s">
        <v>472</v>
      </c>
      <c r="F320" s="2" t="s">
        <v>1382</v>
      </c>
      <c r="G320" s="2" t="s">
        <v>1389</v>
      </c>
      <c r="L320" s="48" t="str">
        <f t="shared" ref="L320:L325" si="53">_xlfn.TEXTJOIN("", TRUE, D320:K320)</f>
        <v>02_Slots/Datum/03_Jahreszeiten/02_pr.t/0001_pr.t_01.png</v>
      </c>
    </row>
    <row r="321" spans="1:12" x14ac:dyDescent="0.2">
      <c r="A321" s="13" t="s">
        <v>1584</v>
      </c>
      <c r="B321" s="36">
        <v>8</v>
      </c>
      <c r="C321" s="2" t="s">
        <v>104</v>
      </c>
      <c r="E321" s="2" t="s">
        <v>472</v>
      </c>
      <c r="F321" s="2" t="s">
        <v>1382</v>
      </c>
      <c r="G321" s="2" t="s">
        <v>1390</v>
      </c>
      <c r="L321" s="48" t="str">
        <f t="shared" si="53"/>
        <v>02_Slots/Datum/03_Jahreszeiten/02_pr.t/0010_pr.t_02.png</v>
      </c>
    </row>
    <row r="322" spans="1:12" x14ac:dyDescent="0.2">
      <c r="A322" s="13" t="s">
        <v>1584</v>
      </c>
      <c r="B322" s="36">
        <v>8</v>
      </c>
      <c r="C322" s="2" t="s">
        <v>104</v>
      </c>
      <c r="E322" s="2" t="s">
        <v>472</v>
      </c>
      <c r="F322" s="2" t="s">
        <v>1382</v>
      </c>
      <c r="G322" s="2" t="s">
        <v>1391</v>
      </c>
      <c r="I322" s="2" t="s">
        <v>1090</v>
      </c>
      <c r="J322" s="2" t="s">
        <v>1091</v>
      </c>
      <c r="K322" s="2" t="s">
        <v>1092</v>
      </c>
      <c r="L322" s="48" t="str">
        <f t="shared" si="53"/>
        <v>02_Slots/Datum/03_Jahreszeiten/02_pr.t/0020_pr.t_AR_01.png &lt;sup&gt;(AR)&lt;/sup&gt;</v>
      </c>
    </row>
    <row r="323" spans="1:12" x14ac:dyDescent="0.2">
      <c r="A323" s="13" t="s">
        <v>1584</v>
      </c>
      <c r="B323" s="36">
        <v>8</v>
      </c>
      <c r="C323" s="2" t="s">
        <v>104</v>
      </c>
      <c r="E323" s="2" t="s">
        <v>472</v>
      </c>
      <c r="F323" s="2" t="s">
        <v>1382</v>
      </c>
      <c r="G323" s="2" t="s">
        <v>1392</v>
      </c>
      <c r="I323" s="2" t="s">
        <v>1090</v>
      </c>
      <c r="J323" s="2" t="s">
        <v>1094</v>
      </c>
      <c r="K323" s="2" t="s">
        <v>1092</v>
      </c>
      <c r="L323" s="48" t="str">
        <f t="shared" si="53"/>
        <v>02_Slots/Datum/03_Jahreszeiten/02_pr.t/0030_pr.t_MR_01.png &lt;sup&gt;(MR)&lt;/sup&gt;</v>
      </c>
    </row>
    <row r="324" spans="1:12" x14ac:dyDescent="0.2">
      <c r="A324" s="13" t="s">
        <v>1584</v>
      </c>
      <c r="B324" s="36">
        <v>8</v>
      </c>
      <c r="C324" s="2" t="s">
        <v>104</v>
      </c>
      <c r="E324" s="2" t="s">
        <v>472</v>
      </c>
      <c r="F324" s="2" t="s">
        <v>1382</v>
      </c>
      <c r="G324" s="2" t="s">
        <v>1393</v>
      </c>
      <c r="I324" s="2" t="s">
        <v>1090</v>
      </c>
      <c r="J324" s="2" t="s">
        <v>1099</v>
      </c>
      <c r="K324" s="2" t="s">
        <v>1092</v>
      </c>
      <c r="L324" s="48" t="str">
        <f t="shared" si="53"/>
        <v>02_Slots/Datum/03_Jahreszeiten/02_pr.t/0040_pr.t_Sp_01.png &lt;sup&gt;(Sp.)&lt;/sup&gt;</v>
      </c>
    </row>
    <row r="325" spans="1:12" x14ac:dyDescent="0.2">
      <c r="A325" s="13" t="s">
        <v>1584</v>
      </c>
      <c r="B325" s="36">
        <v>8</v>
      </c>
      <c r="C325" s="2" t="s">
        <v>104</v>
      </c>
      <c r="E325" s="2" t="s">
        <v>472</v>
      </c>
      <c r="F325" s="2" t="s">
        <v>1382</v>
      </c>
      <c r="G325" s="2" t="s">
        <v>1394</v>
      </c>
      <c r="I325" s="2" t="s">
        <v>1090</v>
      </c>
      <c r="J325" s="2" t="s">
        <v>1093</v>
      </c>
      <c r="K325" s="2" t="s">
        <v>1092</v>
      </c>
      <c r="L325" s="48" t="str">
        <f t="shared" si="53"/>
        <v>02_Slots/Datum/03_Jahreszeiten/02_pr.t/0050_pr.t_Gr_01.png &lt;sup&gt;(Gr.)&lt;/sup&gt;</v>
      </c>
    </row>
    <row r="326" spans="1:12" x14ac:dyDescent="0.2">
      <c r="A326" s="13" t="s">
        <v>1584</v>
      </c>
      <c r="B326" s="36">
        <v>8</v>
      </c>
      <c r="C326" s="2" t="s">
        <v>26</v>
      </c>
      <c r="L326" s="48" t="s">
        <v>480</v>
      </c>
    </row>
    <row r="327" spans="1:12" x14ac:dyDescent="0.2">
      <c r="A327" s="13" t="s">
        <v>1584</v>
      </c>
      <c r="B327" s="36">
        <v>8</v>
      </c>
      <c r="C327" s="2" t="s">
        <v>39</v>
      </c>
      <c r="L327" s="2" t="s">
        <v>1612</v>
      </c>
    </row>
    <row r="328" spans="1:12" x14ac:dyDescent="0.2">
      <c r="A328" s="13" t="s">
        <v>1584</v>
      </c>
      <c r="B328" s="36">
        <v>8</v>
      </c>
      <c r="C328" s="2" t="s">
        <v>40</v>
      </c>
      <c r="L328" s="2" t="s">
        <v>1613</v>
      </c>
    </row>
    <row r="329" spans="1:12" x14ac:dyDescent="0.2">
      <c r="A329" s="13" t="s">
        <v>1584</v>
      </c>
      <c r="B329" s="36">
        <v>8</v>
      </c>
      <c r="C329" s="2" t="s">
        <v>1561</v>
      </c>
      <c r="L329" s="48">
        <v>60300</v>
      </c>
    </row>
    <row r="330" spans="1:12" x14ac:dyDescent="0.2">
      <c r="A330" s="13" t="s">
        <v>1584</v>
      </c>
      <c r="B330" s="36">
        <v>9</v>
      </c>
      <c r="C330" s="2" t="s">
        <v>38</v>
      </c>
      <c r="L330" s="48" t="s">
        <v>1581</v>
      </c>
    </row>
    <row r="331" spans="1:12" x14ac:dyDescent="0.2">
      <c r="A331" s="13" t="s">
        <v>1584</v>
      </c>
      <c r="B331" s="36">
        <v>9</v>
      </c>
      <c r="C331" s="2" t="s">
        <v>104</v>
      </c>
      <c r="E331" s="2" t="s">
        <v>472</v>
      </c>
      <c r="F331" s="2" t="s">
        <v>1383</v>
      </c>
      <c r="G331" s="2" t="s">
        <v>1395</v>
      </c>
      <c r="L331" s="48" t="str">
        <f t="shared" ref="L331:L340" si="54">_xlfn.TEXTJOIN("", TRUE, D331:K331)</f>
        <v>02_Slots/Datum/03_Jahreszeiten/03_Smw/0001_Smw_01.png</v>
      </c>
    </row>
    <row r="332" spans="1:12" x14ac:dyDescent="0.2">
      <c r="A332" s="13" t="s">
        <v>1584</v>
      </c>
      <c r="B332" s="36">
        <v>9</v>
      </c>
      <c r="C332" s="2" t="s">
        <v>104</v>
      </c>
      <c r="E332" s="2" t="s">
        <v>472</v>
      </c>
      <c r="F332" s="2" t="s">
        <v>1383</v>
      </c>
      <c r="G332" s="2" t="s">
        <v>1396</v>
      </c>
      <c r="L332" s="48" t="str">
        <f t="shared" si="54"/>
        <v>02_Slots/Datum/03_Jahreszeiten/03_Smw/0010_Smw_02.png</v>
      </c>
    </row>
    <row r="333" spans="1:12" x14ac:dyDescent="0.2">
      <c r="A333" s="13" t="s">
        <v>1584</v>
      </c>
      <c r="B333" s="36">
        <v>9</v>
      </c>
      <c r="C333" s="2" t="s">
        <v>104</v>
      </c>
      <c r="E333" s="2" t="s">
        <v>472</v>
      </c>
      <c r="F333" s="2" t="s">
        <v>1383</v>
      </c>
      <c r="G333" s="2" t="s">
        <v>1397</v>
      </c>
      <c r="L333" s="48" t="str">
        <f t="shared" si="54"/>
        <v>02_Slots/Datum/03_Jahreszeiten/03_Smw/0020_Smw_03.png</v>
      </c>
    </row>
    <row r="334" spans="1:12" x14ac:dyDescent="0.2">
      <c r="A334" s="13" t="s">
        <v>1584</v>
      </c>
      <c r="B334" s="36">
        <v>9</v>
      </c>
      <c r="C334" s="2" t="s">
        <v>104</v>
      </c>
      <c r="E334" s="2" t="s">
        <v>472</v>
      </c>
      <c r="F334" s="2" t="s">
        <v>1383</v>
      </c>
      <c r="G334" s="2" t="s">
        <v>1398</v>
      </c>
      <c r="I334" s="2" t="s">
        <v>1090</v>
      </c>
      <c r="J334" s="2" t="s">
        <v>1405</v>
      </c>
      <c r="K334" s="2" t="s">
        <v>1092</v>
      </c>
      <c r="L334" s="48" t="str">
        <f t="shared" si="54"/>
        <v>02_Slots/Datum/03_Jahreszeiten/03_Smw/0030_Smw_D.20_01.png &lt;sup&gt;(D.20)&lt;/sup&gt;</v>
      </c>
    </row>
    <row r="335" spans="1:12" x14ac:dyDescent="0.2">
      <c r="A335" s="13" t="s">
        <v>1584</v>
      </c>
      <c r="B335" s="36">
        <v>9</v>
      </c>
      <c r="C335" s="2" t="s">
        <v>104</v>
      </c>
      <c r="E335" s="2" t="s">
        <v>472</v>
      </c>
      <c r="F335" s="2" t="s">
        <v>1383</v>
      </c>
      <c r="G335" s="2" t="s">
        <v>1399</v>
      </c>
      <c r="I335" s="2" t="s">
        <v>1090</v>
      </c>
      <c r="J335" s="2" t="s">
        <v>1406</v>
      </c>
      <c r="K335" s="2" t="s">
        <v>1092</v>
      </c>
      <c r="L335" s="48" t="str">
        <f t="shared" si="54"/>
        <v>02_Slots/Datum/03_Jahreszeiten/03_Smw/0040_Smw_Sp_Gr_Abk_01.png &lt;sup&gt;(Sp.–Gr.; Abk.)&lt;/sup&gt;</v>
      </c>
    </row>
    <row r="336" spans="1:12" x14ac:dyDescent="0.2">
      <c r="A336" s="13" t="s">
        <v>1584</v>
      </c>
      <c r="B336" s="36">
        <v>9</v>
      </c>
      <c r="C336" s="2" t="s">
        <v>104</v>
      </c>
      <c r="E336" s="2" t="s">
        <v>472</v>
      </c>
      <c r="F336" s="2" t="s">
        <v>1383</v>
      </c>
      <c r="G336" s="2" t="s">
        <v>1400</v>
      </c>
      <c r="I336" s="2" t="s">
        <v>1090</v>
      </c>
      <c r="J336" s="2" t="s">
        <v>1406</v>
      </c>
      <c r="K336" s="2" t="s">
        <v>1092</v>
      </c>
      <c r="L336" s="48" t="str">
        <f t="shared" si="54"/>
        <v>02_Slots/Datum/03_Jahreszeiten/03_Smw/0050_Smw_Sp_Gr_Abk_02.png &lt;sup&gt;(Sp.–Gr.; Abk.)&lt;/sup&gt;</v>
      </c>
    </row>
    <row r="337" spans="1:12" x14ac:dyDescent="0.2">
      <c r="A337" s="13" t="s">
        <v>1584</v>
      </c>
      <c r="B337" s="36">
        <v>9</v>
      </c>
      <c r="C337" s="2" t="s">
        <v>104</v>
      </c>
      <c r="E337" s="2" t="s">
        <v>472</v>
      </c>
      <c r="F337" s="2" t="s">
        <v>1383</v>
      </c>
      <c r="G337" s="2" t="s">
        <v>1401</v>
      </c>
      <c r="I337" s="2" t="s">
        <v>1090</v>
      </c>
      <c r="J337" s="2" t="s">
        <v>1406</v>
      </c>
      <c r="K337" s="2" t="s">
        <v>1092</v>
      </c>
      <c r="L337" s="48" t="str">
        <f t="shared" si="54"/>
        <v>02_Slots/Datum/03_Jahreszeiten/03_Smw/0060_Smw_Sp_Gr_Abk_03.png &lt;sup&gt;(Sp.–Gr.; Abk.)&lt;/sup&gt;</v>
      </c>
    </row>
    <row r="338" spans="1:12" x14ac:dyDescent="0.2">
      <c r="A338" s="13" t="s">
        <v>1584</v>
      </c>
      <c r="B338" s="36">
        <v>9</v>
      </c>
      <c r="C338" s="2" t="s">
        <v>104</v>
      </c>
      <c r="E338" s="2" t="s">
        <v>472</v>
      </c>
      <c r="F338" s="2" t="s">
        <v>1383</v>
      </c>
      <c r="G338" s="2" t="s">
        <v>1402</v>
      </c>
      <c r="I338" s="2" t="s">
        <v>1090</v>
      </c>
      <c r="J338" s="2" t="s">
        <v>1093</v>
      </c>
      <c r="K338" s="2" t="s">
        <v>1092</v>
      </c>
      <c r="L338" s="48" t="str">
        <f t="shared" si="54"/>
        <v>02_Slots/Datum/03_Jahreszeiten/03_Smw/0070_Smw_Gr_01.png &lt;sup&gt;(Gr.)&lt;/sup&gt;</v>
      </c>
    </row>
    <row r="339" spans="1:12" x14ac:dyDescent="0.2">
      <c r="A339" s="13" t="s">
        <v>1584</v>
      </c>
      <c r="B339" s="36">
        <v>9</v>
      </c>
      <c r="C339" s="2" t="s">
        <v>104</v>
      </c>
      <c r="E339" s="2" t="s">
        <v>472</v>
      </c>
      <c r="F339" s="2" t="s">
        <v>1383</v>
      </c>
      <c r="G339" s="2" t="s">
        <v>1403</v>
      </c>
      <c r="I339" s="2" t="s">
        <v>1090</v>
      </c>
      <c r="J339" s="2" t="s">
        <v>1093</v>
      </c>
      <c r="K339" s="2" t="s">
        <v>1092</v>
      </c>
      <c r="L339" s="48" t="str">
        <f t="shared" si="54"/>
        <v>02_Slots/Datum/03_Jahreszeiten/03_Smw/0080_Smw_Gr_02.png &lt;sup&gt;(Gr.)&lt;/sup&gt;</v>
      </c>
    </row>
    <row r="340" spans="1:12" x14ac:dyDescent="0.2">
      <c r="A340" s="13" t="s">
        <v>1584</v>
      </c>
      <c r="B340" s="36">
        <v>9</v>
      </c>
      <c r="C340" s="2" t="s">
        <v>104</v>
      </c>
      <c r="E340" s="2" t="s">
        <v>472</v>
      </c>
      <c r="F340" s="2" t="s">
        <v>1383</v>
      </c>
      <c r="G340" s="2" t="s">
        <v>1404</v>
      </c>
      <c r="I340" s="2" t="s">
        <v>1090</v>
      </c>
      <c r="J340" s="2" t="s">
        <v>1093</v>
      </c>
      <c r="K340" s="2" t="s">
        <v>1092</v>
      </c>
      <c r="L340" s="48" t="str">
        <f t="shared" si="54"/>
        <v>02_Slots/Datum/03_Jahreszeiten/03_Smw/0090_Smw_Gr_03.png &lt;sup&gt;(Gr.)&lt;/sup&gt;</v>
      </c>
    </row>
    <row r="341" spans="1:12" x14ac:dyDescent="0.2">
      <c r="A341" s="13" t="s">
        <v>1584</v>
      </c>
      <c r="B341" s="36">
        <v>9</v>
      </c>
      <c r="C341" s="2" t="s">
        <v>26</v>
      </c>
      <c r="L341" s="48" t="s">
        <v>481</v>
      </c>
    </row>
    <row r="342" spans="1:12" x14ac:dyDescent="0.2">
      <c r="A342" s="13" t="s">
        <v>1584</v>
      </c>
      <c r="B342" s="36">
        <v>9</v>
      </c>
      <c r="C342" s="2" t="s">
        <v>39</v>
      </c>
      <c r="L342" s="2" t="s">
        <v>1615</v>
      </c>
    </row>
    <row r="343" spans="1:12" x14ac:dyDescent="0.2">
      <c r="A343" s="13" t="s">
        <v>1584</v>
      </c>
      <c r="B343" s="36">
        <v>9</v>
      </c>
      <c r="C343" s="2" t="s">
        <v>40</v>
      </c>
      <c r="L343" s="2" t="s">
        <v>1614</v>
      </c>
    </row>
    <row r="344" spans="1:12" x14ac:dyDescent="0.2">
      <c r="A344" s="13" t="s">
        <v>1584</v>
      </c>
      <c r="B344" s="36">
        <v>9</v>
      </c>
      <c r="C344" s="2" t="s">
        <v>1561</v>
      </c>
      <c r="L344" s="48">
        <v>154850</v>
      </c>
    </row>
    <row r="346" spans="1:12" x14ac:dyDescent="0.2">
      <c r="A346" s="13" t="s">
        <v>1584</v>
      </c>
      <c r="B346" s="36">
        <v>10</v>
      </c>
      <c r="C346" s="2" t="s">
        <v>38</v>
      </c>
      <c r="L346" s="2" t="s">
        <v>1616</v>
      </c>
    </row>
    <row r="347" spans="1:12" x14ac:dyDescent="0.2">
      <c r="A347" s="13" t="s">
        <v>1584</v>
      </c>
      <c r="B347" s="36">
        <v>10</v>
      </c>
      <c r="C347" s="2" t="s">
        <v>104</v>
      </c>
      <c r="L347" s="2"/>
    </row>
    <row r="348" spans="1:12" x14ac:dyDescent="0.2">
      <c r="A348" s="13" t="s">
        <v>1584</v>
      </c>
      <c r="B348" s="36">
        <v>10</v>
      </c>
      <c r="C348" s="2" t="s">
        <v>26</v>
      </c>
      <c r="L348" s="2"/>
    </row>
    <row r="349" spans="1:12" x14ac:dyDescent="0.2">
      <c r="A349" s="13" t="s">
        <v>1584</v>
      </c>
      <c r="B349" s="36">
        <v>10</v>
      </c>
      <c r="C349" s="2" t="s">
        <v>39</v>
      </c>
      <c r="L349" s="2"/>
    </row>
    <row r="350" spans="1:12" x14ac:dyDescent="0.2">
      <c r="A350" s="13" t="s">
        <v>1584</v>
      </c>
      <c r="B350" s="36">
        <v>10</v>
      </c>
      <c r="C350" s="2" t="s">
        <v>40</v>
      </c>
      <c r="L350" s="2"/>
    </row>
    <row r="351" spans="1:12" x14ac:dyDescent="0.2">
      <c r="A351" s="13" t="s">
        <v>1584</v>
      </c>
      <c r="B351" s="36">
        <v>10</v>
      </c>
      <c r="C351" s="2" t="s">
        <v>1561</v>
      </c>
      <c r="L351" s="2"/>
    </row>
    <row r="352" spans="1:12" x14ac:dyDescent="0.2">
      <c r="A352" s="13" t="s">
        <v>1584</v>
      </c>
      <c r="B352" s="36">
        <v>11</v>
      </c>
      <c r="C352" s="2" t="s">
        <v>38</v>
      </c>
      <c r="L352" s="48" t="s">
        <v>482</v>
      </c>
    </row>
    <row r="353" spans="1:12" x14ac:dyDescent="0.2">
      <c r="A353" s="13" t="s">
        <v>1584</v>
      </c>
      <c r="B353" s="36">
        <v>11</v>
      </c>
      <c r="C353" s="2" t="s">
        <v>104</v>
      </c>
      <c r="E353" s="2" t="s">
        <v>472</v>
      </c>
      <c r="F353" s="2" t="s">
        <v>1009</v>
      </c>
      <c r="G353" s="2" t="s">
        <v>1410</v>
      </c>
      <c r="L353" s="48" t="str">
        <f t="shared" ref="L353:L359" si="55">_xlfn.TEXTJOIN("", TRUE, D353:K353)</f>
        <v>02_Slots/Datum/04_Tag/0001_sw_01.png</v>
      </c>
    </row>
    <row r="354" spans="1:12" x14ac:dyDescent="0.2">
      <c r="A354" s="13" t="s">
        <v>1584</v>
      </c>
      <c r="B354" s="36">
        <v>11</v>
      </c>
      <c r="C354" s="2" t="s">
        <v>104</v>
      </c>
      <c r="E354" s="2" t="s">
        <v>472</v>
      </c>
      <c r="F354" s="2" t="s">
        <v>1009</v>
      </c>
      <c r="G354" s="2" t="s">
        <v>1411</v>
      </c>
      <c r="L354" s="48" t="str">
        <f t="shared" si="55"/>
        <v>02_Slots/Datum/04_Tag/0010_sw_02.png</v>
      </c>
    </row>
    <row r="355" spans="1:12" x14ac:dyDescent="0.2">
      <c r="A355" s="13" t="s">
        <v>1584</v>
      </c>
      <c r="B355" s="36">
        <v>11</v>
      </c>
      <c r="C355" s="2" t="s">
        <v>104</v>
      </c>
      <c r="E355" s="2" t="s">
        <v>472</v>
      </c>
      <c r="F355" s="2" t="s">
        <v>1009</v>
      </c>
      <c r="G355" s="2" t="s">
        <v>1412</v>
      </c>
      <c r="I355" s="2" t="s">
        <v>1090</v>
      </c>
      <c r="J355" s="2" t="s">
        <v>1094</v>
      </c>
      <c r="K355" s="2" t="s">
        <v>1092</v>
      </c>
      <c r="L355" s="48" t="str">
        <f t="shared" si="55"/>
        <v>02_Slots/Datum/04_Tag/0020_sw_MR_01.png &lt;sup&gt;(MR)&lt;/sup&gt;</v>
      </c>
    </row>
    <row r="356" spans="1:12" x14ac:dyDescent="0.2">
      <c r="A356" s="13" t="s">
        <v>1584</v>
      </c>
      <c r="B356" s="36">
        <v>11</v>
      </c>
      <c r="C356" s="2" t="s">
        <v>104</v>
      </c>
      <c r="E356" s="2" t="s">
        <v>472</v>
      </c>
      <c r="F356" s="2" t="s">
        <v>1009</v>
      </c>
      <c r="G356" s="2" t="s">
        <v>1413</v>
      </c>
      <c r="I356" s="2" t="s">
        <v>1090</v>
      </c>
      <c r="J356" s="2" t="s">
        <v>1049</v>
      </c>
      <c r="K356" s="2" t="s">
        <v>1092</v>
      </c>
      <c r="L356" s="48" t="str">
        <f t="shared" si="55"/>
        <v>02_Slots/Datum/04_Tag/0030_sw_NR_01.png &lt;sup&gt;(NR)&lt;/sup&gt;</v>
      </c>
    </row>
    <row r="357" spans="1:12" x14ac:dyDescent="0.2">
      <c r="A357" s="13" t="s">
        <v>1584</v>
      </c>
      <c r="B357" s="36">
        <v>11</v>
      </c>
      <c r="C357" s="2" t="s">
        <v>104</v>
      </c>
      <c r="E357" s="2" t="s">
        <v>472</v>
      </c>
      <c r="F357" s="2" t="s">
        <v>1009</v>
      </c>
      <c r="G357" s="2" t="s">
        <v>1414</v>
      </c>
      <c r="I357" s="2" t="s">
        <v>1090</v>
      </c>
      <c r="J357" s="2" t="s">
        <v>1099</v>
      </c>
      <c r="K357" s="2" t="s">
        <v>1092</v>
      </c>
      <c r="L357" s="48" t="str">
        <f t="shared" si="55"/>
        <v>02_Slots/Datum/04_Tag/0040_sw_Sp_01.png &lt;sup&gt;(Sp.)&lt;/sup&gt;</v>
      </c>
    </row>
    <row r="358" spans="1:12" x14ac:dyDescent="0.2">
      <c r="A358" s="13" t="s">
        <v>1584</v>
      </c>
      <c r="B358" s="36">
        <v>11</v>
      </c>
      <c r="C358" s="2" t="s">
        <v>104</v>
      </c>
      <c r="E358" s="2" t="s">
        <v>472</v>
      </c>
      <c r="F358" s="2" t="s">
        <v>1009</v>
      </c>
      <c r="G358" s="2" t="s">
        <v>1415</v>
      </c>
      <c r="I358" s="2" t="s">
        <v>1090</v>
      </c>
      <c r="J358" s="2" t="s">
        <v>1099</v>
      </c>
      <c r="K358" s="2" t="s">
        <v>1092</v>
      </c>
      <c r="L358" s="48" t="str">
        <f t="shared" si="55"/>
        <v>02_Slots/Datum/04_Tag/0050_sw_Sp_02.png &lt;sup&gt;(Sp.)&lt;/sup&gt;</v>
      </c>
    </row>
    <row r="359" spans="1:12" x14ac:dyDescent="0.2">
      <c r="A359" s="13" t="s">
        <v>1584</v>
      </c>
      <c r="B359" s="36">
        <v>11</v>
      </c>
      <c r="C359" s="2" t="s">
        <v>104</v>
      </c>
      <c r="E359" s="2" t="s">
        <v>472</v>
      </c>
      <c r="F359" s="2" t="s">
        <v>1009</v>
      </c>
      <c r="G359" s="2" t="s">
        <v>1416</v>
      </c>
      <c r="I359" s="2" t="s">
        <v>1090</v>
      </c>
      <c r="J359" s="2" t="s">
        <v>1099</v>
      </c>
      <c r="K359" s="2" t="s">
        <v>1092</v>
      </c>
      <c r="L359" s="48" t="str">
        <f t="shared" si="55"/>
        <v>02_Slots/Datum/04_Tag/0060_sw_Sp_03.png &lt;sup&gt;(Sp.)&lt;/sup&gt;</v>
      </c>
    </row>
    <row r="360" spans="1:12" x14ac:dyDescent="0.2">
      <c r="A360" s="13" t="s">
        <v>1584</v>
      </c>
      <c r="B360" s="36">
        <v>11</v>
      </c>
      <c r="C360" s="2" t="s">
        <v>26</v>
      </c>
      <c r="L360" s="48" t="s">
        <v>471</v>
      </c>
    </row>
    <row r="361" spans="1:12" x14ac:dyDescent="0.2">
      <c r="A361" s="13" t="s">
        <v>1584</v>
      </c>
      <c r="B361" s="36">
        <v>11</v>
      </c>
      <c r="C361" s="2" t="s">
        <v>39</v>
      </c>
      <c r="L361" s="2" t="s">
        <v>1617</v>
      </c>
    </row>
    <row r="362" spans="1:12" x14ac:dyDescent="0.2">
      <c r="A362" s="13" t="s">
        <v>1584</v>
      </c>
      <c r="B362" s="36">
        <v>11</v>
      </c>
      <c r="C362" s="2" t="s">
        <v>40</v>
      </c>
      <c r="L362" s="2" t="s">
        <v>1618</v>
      </c>
    </row>
    <row r="363" spans="1:12" x14ac:dyDescent="0.2">
      <c r="A363" s="13" t="s">
        <v>1584</v>
      </c>
      <c r="B363" s="36">
        <v>11</v>
      </c>
      <c r="C363" s="2" t="s">
        <v>1561</v>
      </c>
      <c r="L363" s="48">
        <v>129460</v>
      </c>
    </row>
    <row r="364" spans="1:12" x14ac:dyDescent="0.2">
      <c r="A364" s="13" t="s">
        <v>1584</v>
      </c>
      <c r="B364" s="36">
        <v>12</v>
      </c>
      <c r="C364" s="2" t="s">
        <v>38</v>
      </c>
      <c r="L364" s="48" t="s">
        <v>1582</v>
      </c>
    </row>
    <row r="365" spans="1:12" x14ac:dyDescent="0.2">
      <c r="A365" s="13" t="s">
        <v>1584</v>
      </c>
      <c r="B365" s="36">
        <v>12</v>
      </c>
      <c r="C365" s="2" t="s">
        <v>104</v>
      </c>
      <c r="E365" s="2" t="s">
        <v>472</v>
      </c>
      <c r="F365" s="2" t="s">
        <v>1407</v>
      </c>
      <c r="G365" s="2" t="s">
        <v>1408</v>
      </c>
      <c r="L365" s="48" t="str">
        <f>_xlfn.TEXTJOIN("", TRUE, D365:K365)</f>
        <v>02_Slots/Datum/04_Tag/01_sw-arqy/0001_sw-arqy_01.png</v>
      </c>
    </row>
    <row r="366" spans="1:12" x14ac:dyDescent="0.2">
      <c r="A366" s="13" t="s">
        <v>1584</v>
      </c>
      <c r="B366" s="36">
        <v>12</v>
      </c>
      <c r="C366" s="2" t="s">
        <v>104</v>
      </c>
      <c r="E366" s="2" t="s">
        <v>472</v>
      </c>
      <c r="F366" s="2" t="s">
        <v>1407</v>
      </c>
      <c r="G366" s="2" t="s">
        <v>1409</v>
      </c>
      <c r="L366" s="48" t="str">
        <f t="shared" ref="L366:L368" si="56">_xlfn.TEXTJOIN("", TRUE, D366:K366)</f>
        <v>02_Slots/Datum/04_Tag/01_sw-arqy/0010_sw-arqy_02.png</v>
      </c>
    </row>
    <row r="367" spans="1:12" x14ac:dyDescent="0.2">
      <c r="A367" s="13" t="s">
        <v>1584</v>
      </c>
      <c r="B367" s="36">
        <v>12</v>
      </c>
      <c r="C367" s="2" t="s">
        <v>104</v>
      </c>
      <c r="E367" s="2" t="s">
        <v>472</v>
      </c>
      <c r="F367" s="2" t="s">
        <v>1407</v>
      </c>
      <c r="G367" s="2" t="s">
        <v>1417</v>
      </c>
      <c r="I367" s="2" t="s">
        <v>1090</v>
      </c>
      <c r="J367" s="2" t="s">
        <v>1049</v>
      </c>
      <c r="K367" s="2" t="s">
        <v>1092</v>
      </c>
      <c r="L367" s="48" t="str">
        <f t="shared" si="56"/>
        <v>02_Slots/Datum/04_Tag/01_sw-arqy/0020_sw-arqy_NR_01.png &lt;sup&gt;(NR)&lt;/sup&gt;</v>
      </c>
    </row>
    <row r="368" spans="1:12" x14ac:dyDescent="0.2">
      <c r="A368" s="13" t="s">
        <v>1584</v>
      </c>
      <c r="B368" s="36">
        <v>12</v>
      </c>
      <c r="C368" s="2" t="s">
        <v>104</v>
      </c>
      <c r="E368" s="2" t="s">
        <v>472</v>
      </c>
      <c r="F368" s="2" t="s">
        <v>1407</v>
      </c>
      <c r="G368" s="2" t="s">
        <v>1418</v>
      </c>
      <c r="I368" s="2" t="s">
        <v>1090</v>
      </c>
      <c r="J368" s="2" t="s">
        <v>1049</v>
      </c>
      <c r="K368" s="2" t="s">
        <v>1092</v>
      </c>
      <c r="L368" s="48" t="str">
        <f t="shared" si="56"/>
        <v>02_Slots/Datum/04_Tag/01_sw-arqy/0030_sw-arqy_NR_02.png &lt;sup&gt;(NR)&lt;/sup&gt;</v>
      </c>
    </row>
    <row r="369" spans="1:12" x14ac:dyDescent="0.2">
      <c r="A369" s="13" t="s">
        <v>1584</v>
      </c>
      <c r="B369" s="36">
        <v>12</v>
      </c>
      <c r="C369" s="2" t="s">
        <v>26</v>
      </c>
      <c r="L369" s="48" t="s">
        <v>1619</v>
      </c>
    </row>
    <row r="370" spans="1:12" x14ac:dyDescent="0.2">
      <c r="A370" s="13" t="s">
        <v>1584</v>
      </c>
      <c r="B370" s="36">
        <v>12</v>
      </c>
      <c r="C370" s="2" t="s">
        <v>39</v>
      </c>
      <c r="L370" s="2" t="s">
        <v>1620</v>
      </c>
    </row>
    <row r="371" spans="1:12" x14ac:dyDescent="0.2">
      <c r="A371" s="13" t="s">
        <v>1584</v>
      </c>
      <c r="B371" s="36">
        <v>12</v>
      </c>
      <c r="C371" s="2" t="s">
        <v>40</v>
      </c>
      <c r="L371" s="2" t="s">
        <v>1621</v>
      </c>
    </row>
    <row r="372" spans="1:12" x14ac:dyDescent="0.2">
      <c r="A372" s="13" t="s">
        <v>1584</v>
      </c>
      <c r="B372" s="36">
        <v>12</v>
      </c>
      <c r="C372" s="2" t="s">
        <v>1561</v>
      </c>
      <c r="L372" s="48">
        <v>39740</v>
      </c>
    </row>
    <row r="373" spans="1:12" x14ac:dyDescent="0.2">
      <c r="A373" s="13"/>
    </row>
    <row r="374" spans="1:12" x14ac:dyDescent="0.2">
      <c r="A374" s="13" t="s">
        <v>1587</v>
      </c>
      <c r="B374" s="36">
        <v>1</v>
      </c>
      <c r="C374" s="2" t="s">
        <v>38</v>
      </c>
    </row>
    <row r="375" spans="1:12" x14ac:dyDescent="0.2">
      <c r="A375" s="13" t="s">
        <v>1587</v>
      </c>
      <c r="B375" s="36">
        <v>1</v>
      </c>
      <c r="C375" s="2" t="s">
        <v>104</v>
      </c>
      <c r="E375" s="2" t="s">
        <v>472</v>
      </c>
      <c r="F375" s="2" t="s">
        <v>1622</v>
      </c>
      <c r="G375" s="2" t="s">
        <v>1624</v>
      </c>
      <c r="H375" s="2" t="s">
        <v>111</v>
      </c>
      <c r="L375" s="48" t="str">
        <f>_xlfn.TEXTJOIN("", TRUE, D375:K375)</f>
        <v>02_Slots/Datum/05_Zahlen/01_Eins/0020_eins_03.png</v>
      </c>
    </row>
    <row r="376" spans="1:12" x14ac:dyDescent="0.2">
      <c r="A376" s="13" t="s">
        <v>1587</v>
      </c>
      <c r="B376" s="36">
        <v>1</v>
      </c>
      <c r="C376" s="2" t="s">
        <v>104</v>
      </c>
      <c r="E376" s="2" t="s">
        <v>472</v>
      </c>
      <c r="F376" s="2" t="s">
        <v>1626</v>
      </c>
      <c r="G376" s="2" t="s">
        <v>1625</v>
      </c>
      <c r="H376" s="2" t="s">
        <v>111</v>
      </c>
      <c r="L376" s="48" t="str">
        <f>_xlfn.TEXTJOIN("", TRUE, D376:K376)</f>
        <v>02_Slots/Datum/05_Zahlen/02_Zwei/0020_zwei_03.png</v>
      </c>
    </row>
    <row r="377" spans="1:12" x14ac:dyDescent="0.2">
      <c r="A377" s="13" t="s">
        <v>1587</v>
      </c>
      <c r="B377" s="36">
        <v>1</v>
      </c>
      <c r="C377" s="2" t="s">
        <v>104</v>
      </c>
      <c r="E377" s="2" t="s">
        <v>472</v>
      </c>
      <c r="F377" s="2" t="s">
        <v>1627</v>
      </c>
      <c r="G377" s="2" t="s">
        <v>1629</v>
      </c>
      <c r="H377" s="2" t="s">
        <v>111</v>
      </c>
      <c r="L377" s="48" t="str">
        <f>_xlfn.TEXTJOIN("", TRUE, D377:K377)</f>
        <v>02_Slots/Datum/05_Zahlen/03_Drei/0020_drei_03.png</v>
      </c>
    </row>
    <row r="378" spans="1:12" x14ac:dyDescent="0.2">
      <c r="A378" s="13" t="s">
        <v>1587</v>
      </c>
      <c r="B378" s="36">
        <v>1</v>
      </c>
      <c r="C378" s="2" t="s">
        <v>104</v>
      </c>
      <c r="E378" s="2" t="s">
        <v>472</v>
      </c>
      <c r="F378" s="2" t="s">
        <v>1628</v>
      </c>
      <c r="G378" s="2" t="s">
        <v>1630</v>
      </c>
      <c r="H378" s="2" t="s">
        <v>111</v>
      </c>
      <c r="L378" s="48" t="str">
        <f>_xlfn.TEXTJOIN("", TRUE, D378:K378)</f>
        <v>02_Slots/Datum/05_Zahlen/04_Vier/0020_vier_03.png</v>
      </c>
    </row>
    <row r="379" spans="1:12" x14ac:dyDescent="0.2">
      <c r="A379" s="13" t="s">
        <v>1587</v>
      </c>
      <c r="B379" s="36">
        <v>1</v>
      </c>
      <c r="C379" s="2" t="s">
        <v>26</v>
      </c>
      <c r="L379" s="48" t="s">
        <v>1631</v>
      </c>
    </row>
    <row r="380" spans="1:12" x14ac:dyDescent="0.2">
      <c r="A380" s="13" t="s">
        <v>1587</v>
      </c>
      <c r="B380" s="36">
        <v>1</v>
      </c>
      <c r="C380" s="2" t="s">
        <v>39</v>
      </c>
      <c r="L380" s="48" t="s">
        <v>1632</v>
      </c>
    </row>
    <row r="381" spans="1:12" x14ac:dyDescent="0.2">
      <c r="A381" s="13" t="s">
        <v>1587</v>
      </c>
      <c r="B381" s="36">
        <v>1</v>
      </c>
      <c r="C381" s="2" t="s">
        <v>40</v>
      </c>
      <c r="L381" s="48" t="s">
        <v>1623</v>
      </c>
    </row>
    <row r="382" spans="1:12" x14ac:dyDescent="0.2">
      <c r="A382" s="13" t="s">
        <v>1587</v>
      </c>
      <c r="B382" s="36">
        <v>1</v>
      </c>
      <c r="C382" s="2" t="s">
        <v>1561</v>
      </c>
    </row>
    <row r="383" spans="1:12" x14ac:dyDescent="0.2">
      <c r="A383" s="13" t="s">
        <v>1587</v>
      </c>
      <c r="B383" s="36">
        <v>5</v>
      </c>
      <c r="C383" s="2" t="s">
        <v>38</v>
      </c>
      <c r="L383" s="48" t="s">
        <v>1026</v>
      </c>
    </row>
    <row r="384" spans="1:12" x14ac:dyDescent="0.2">
      <c r="A384" s="13" t="s">
        <v>1587</v>
      </c>
      <c r="B384" s="36">
        <v>5</v>
      </c>
      <c r="C384" s="2" t="s">
        <v>104</v>
      </c>
      <c r="E384" s="2" t="s">
        <v>472</v>
      </c>
      <c r="F384" s="2" t="s">
        <v>475</v>
      </c>
      <c r="G384" s="2" t="s">
        <v>476</v>
      </c>
      <c r="H384" s="2" t="s">
        <v>111</v>
      </c>
      <c r="L384" s="48" t="str">
        <f t="shared" ref="L384" si="57">_xlfn.TEXTJOIN("", TRUE, D384:J384)</f>
        <v>02_Slots/Datum/02_Monat/0010_tpy_01.png</v>
      </c>
    </row>
    <row r="385" spans="1:12" x14ac:dyDescent="0.2">
      <c r="A385" s="13" t="s">
        <v>1587</v>
      </c>
      <c r="B385" s="36">
        <v>5</v>
      </c>
      <c r="C385" s="2" t="s">
        <v>26</v>
      </c>
      <c r="L385" s="48" t="s">
        <v>1602</v>
      </c>
    </row>
    <row r="386" spans="1:12" x14ac:dyDescent="0.2">
      <c r="A386" s="13" t="s">
        <v>1587</v>
      </c>
      <c r="B386" s="36">
        <v>5</v>
      </c>
      <c r="C386" s="2" t="s">
        <v>39</v>
      </c>
      <c r="L386" s="2" t="s">
        <v>1603</v>
      </c>
    </row>
    <row r="387" spans="1:12" x14ac:dyDescent="0.2">
      <c r="A387" s="13" t="s">
        <v>1587</v>
      </c>
      <c r="B387" s="36">
        <v>5</v>
      </c>
      <c r="C387" s="2" t="s">
        <v>40</v>
      </c>
      <c r="L387" s="2" t="s">
        <v>1604</v>
      </c>
    </row>
    <row r="388" spans="1:12" x14ac:dyDescent="0.2">
      <c r="A388" s="13" t="s">
        <v>1587</v>
      </c>
      <c r="B388" s="36">
        <v>5</v>
      </c>
      <c r="C388" s="2" t="s">
        <v>1561</v>
      </c>
      <c r="L388" s="48">
        <v>170880</v>
      </c>
    </row>
    <row r="389" spans="1:12" x14ac:dyDescent="0.2">
      <c r="A389" s="13" t="s">
        <v>1587</v>
      </c>
      <c r="B389" s="36">
        <v>12</v>
      </c>
      <c r="C389" s="2" t="s">
        <v>38</v>
      </c>
      <c r="L389" s="48" t="s">
        <v>1582</v>
      </c>
    </row>
    <row r="390" spans="1:12" x14ac:dyDescent="0.2">
      <c r="A390" s="13" t="s">
        <v>1587</v>
      </c>
      <c r="B390" s="36">
        <v>12</v>
      </c>
      <c r="C390" s="2" t="s">
        <v>104</v>
      </c>
      <c r="E390" s="2" t="s">
        <v>472</v>
      </c>
      <c r="F390" s="2" t="s">
        <v>1407</v>
      </c>
      <c r="G390" s="2" t="s">
        <v>1408</v>
      </c>
      <c r="L390" s="48" t="str">
        <f t="shared" ref="L390:L393" si="58">_xlfn.TEXTJOIN("", TRUE, D390:K390)</f>
        <v>02_Slots/Datum/04_Tag/01_sw-arqy/0001_sw-arqy_01.png</v>
      </c>
    </row>
    <row r="391" spans="1:12" x14ac:dyDescent="0.2">
      <c r="A391" s="13" t="s">
        <v>1587</v>
      </c>
      <c r="B391" s="36">
        <v>12</v>
      </c>
      <c r="C391" s="2" t="s">
        <v>104</v>
      </c>
      <c r="E391" s="2" t="s">
        <v>472</v>
      </c>
      <c r="F391" s="2" t="s">
        <v>1407</v>
      </c>
      <c r="G391" s="2" t="s">
        <v>1409</v>
      </c>
      <c r="L391" s="48" t="str">
        <f t="shared" si="58"/>
        <v>02_Slots/Datum/04_Tag/01_sw-arqy/0010_sw-arqy_02.png</v>
      </c>
    </row>
    <row r="392" spans="1:12" x14ac:dyDescent="0.2">
      <c r="A392" s="13" t="s">
        <v>1587</v>
      </c>
      <c r="B392" s="36">
        <v>12</v>
      </c>
      <c r="C392" s="2" t="s">
        <v>104</v>
      </c>
      <c r="E392" s="2" t="s">
        <v>472</v>
      </c>
      <c r="F392" s="2" t="s">
        <v>1407</v>
      </c>
      <c r="G392" s="2" t="s">
        <v>1417</v>
      </c>
      <c r="I392" s="2" t="s">
        <v>1090</v>
      </c>
      <c r="J392" s="2" t="s">
        <v>1049</v>
      </c>
      <c r="K392" s="2" t="s">
        <v>1092</v>
      </c>
      <c r="L392" s="48" t="str">
        <f t="shared" si="58"/>
        <v>02_Slots/Datum/04_Tag/01_sw-arqy/0020_sw-arqy_NR_01.png &lt;sup&gt;(NR)&lt;/sup&gt;</v>
      </c>
    </row>
    <row r="393" spans="1:12" x14ac:dyDescent="0.2">
      <c r="A393" s="13" t="s">
        <v>1587</v>
      </c>
      <c r="B393" s="36">
        <v>12</v>
      </c>
      <c r="C393" s="2" t="s">
        <v>104</v>
      </c>
      <c r="E393" s="2" t="s">
        <v>472</v>
      </c>
      <c r="F393" s="2" t="s">
        <v>1407</v>
      </c>
      <c r="G393" s="2" t="s">
        <v>1418</v>
      </c>
      <c r="I393" s="2" t="s">
        <v>1090</v>
      </c>
      <c r="J393" s="2" t="s">
        <v>1049</v>
      </c>
      <c r="K393" s="2" t="s">
        <v>1092</v>
      </c>
      <c r="L393" s="48" t="str">
        <f t="shared" si="58"/>
        <v>02_Slots/Datum/04_Tag/01_sw-arqy/0030_sw-arqy_NR_02.png &lt;sup&gt;(NR)&lt;/sup&gt;</v>
      </c>
    </row>
    <row r="394" spans="1:12" x14ac:dyDescent="0.2">
      <c r="A394" s="13" t="s">
        <v>1587</v>
      </c>
      <c r="B394" s="36">
        <v>12</v>
      </c>
      <c r="C394" s="2" t="s">
        <v>26</v>
      </c>
      <c r="L394" s="48" t="s">
        <v>1619</v>
      </c>
    </row>
    <row r="395" spans="1:12" x14ac:dyDescent="0.2">
      <c r="A395" s="13" t="s">
        <v>1587</v>
      </c>
      <c r="B395" s="36">
        <v>12</v>
      </c>
      <c r="C395" s="2" t="s">
        <v>39</v>
      </c>
      <c r="L395" s="2" t="s">
        <v>1620</v>
      </c>
    </row>
    <row r="396" spans="1:12" x14ac:dyDescent="0.2">
      <c r="A396" s="13" t="s">
        <v>1587</v>
      </c>
      <c r="B396" s="36">
        <v>12</v>
      </c>
      <c r="C396" s="2" t="s">
        <v>40</v>
      </c>
      <c r="L396" s="2" t="s">
        <v>1621</v>
      </c>
    </row>
    <row r="397" spans="1:12" x14ac:dyDescent="0.2">
      <c r="A397" s="13" t="s">
        <v>1587</v>
      </c>
      <c r="B397" s="36">
        <v>12</v>
      </c>
      <c r="C397" s="2" t="s">
        <v>1561</v>
      </c>
      <c r="L397" s="48">
        <v>39740</v>
      </c>
    </row>
    <row r="399" spans="1:12" x14ac:dyDescent="0.2">
      <c r="A399" s="13"/>
    </row>
    <row r="401" spans="1:12" x14ac:dyDescent="0.2">
      <c r="A401" s="13"/>
    </row>
    <row r="403" spans="1:12" x14ac:dyDescent="0.2">
      <c r="A403" s="13"/>
    </row>
    <row r="405" spans="1:12" x14ac:dyDescent="0.2">
      <c r="A405" s="13"/>
    </row>
    <row r="407" spans="1:12" x14ac:dyDescent="0.2">
      <c r="A407" s="13"/>
    </row>
    <row r="409" spans="1:12" x14ac:dyDescent="0.2">
      <c r="A409" s="2" t="s">
        <v>483</v>
      </c>
      <c r="B409" s="36">
        <v>1</v>
      </c>
      <c r="C409" s="2" t="s">
        <v>484</v>
      </c>
      <c r="L409" s="48" t="s">
        <v>485</v>
      </c>
    </row>
    <row r="410" spans="1:12" x14ac:dyDescent="0.2">
      <c r="A410" s="2" t="s">
        <v>483</v>
      </c>
      <c r="B410" s="36">
        <v>1</v>
      </c>
      <c r="C410" s="2" t="s">
        <v>104</v>
      </c>
      <c r="E410" s="2" t="s">
        <v>465</v>
      </c>
      <c r="F410" s="2" t="s">
        <v>1513</v>
      </c>
      <c r="G410" s="2" t="s">
        <v>886</v>
      </c>
      <c r="L410" s="48" t="str">
        <f t="shared" ref="L410" si="59">_xlfn.TEXTJOIN("", TRUE, D410:J410)</f>
        <v>02_Slots/Koenig/01_Horusname_01/0001_Hr_01.png</v>
      </c>
    </row>
    <row r="411" spans="1:12" x14ac:dyDescent="0.2">
      <c r="A411" s="2" t="s">
        <v>483</v>
      </c>
      <c r="B411" s="36">
        <v>1</v>
      </c>
      <c r="C411" s="2" t="s">
        <v>104</v>
      </c>
      <c r="E411" s="2" t="s">
        <v>465</v>
      </c>
      <c r="F411" s="2" t="s">
        <v>1513</v>
      </c>
      <c r="G411" s="2" t="s">
        <v>1518</v>
      </c>
      <c r="I411" s="2" t="s">
        <v>1090</v>
      </c>
      <c r="J411" s="2" t="s">
        <v>1091</v>
      </c>
      <c r="K411" s="2" t="s">
        <v>1092</v>
      </c>
      <c r="L411" s="48" t="str">
        <f>_xlfn.TEXTJOIN("", TRUE, D411:K411)</f>
        <v>02_Slots/Koenig/01_Horusname_01/0010_Hr_AR_01.png &lt;sup&gt;(AR)&lt;/sup&gt;</v>
      </c>
    </row>
    <row r="412" spans="1:12" x14ac:dyDescent="0.2">
      <c r="A412" s="2" t="s">
        <v>483</v>
      </c>
      <c r="B412" s="36">
        <v>1</v>
      </c>
      <c r="C412" s="2" t="s">
        <v>104</v>
      </c>
      <c r="E412" s="2" t="s">
        <v>465</v>
      </c>
      <c r="F412" s="2" t="s">
        <v>1513</v>
      </c>
      <c r="G412" s="2" t="s">
        <v>1519</v>
      </c>
      <c r="I412" s="2" t="s">
        <v>1090</v>
      </c>
      <c r="J412" s="2" t="s">
        <v>1094</v>
      </c>
      <c r="K412" s="2" t="s">
        <v>1092</v>
      </c>
      <c r="L412" s="48" t="str">
        <f t="shared" ref="L412:L415" si="60">_xlfn.TEXTJOIN("", TRUE, D412:K412)</f>
        <v>02_Slots/Koenig/01_Horusname_01/0020_Hr_MR_01.png &lt;sup&gt;(MR)&lt;/sup&gt;</v>
      </c>
    </row>
    <row r="413" spans="1:12" x14ac:dyDescent="0.2">
      <c r="A413" s="2" t="s">
        <v>483</v>
      </c>
      <c r="B413" s="36">
        <v>1</v>
      </c>
      <c r="C413" s="2" t="s">
        <v>104</v>
      </c>
      <c r="E413" s="2" t="s">
        <v>465</v>
      </c>
      <c r="F413" s="2" t="s">
        <v>1513</v>
      </c>
      <c r="G413" s="2" t="s">
        <v>1520</v>
      </c>
      <c r="I413" s="2" t="s">
        <v>1090</v>
      </c>
      <c r="J413" s="2" t="s">
        <v>1094</v>
      </c>
      <c r="K413" s="2" t="s">
        <v>1092</v>
      </c>
      <c r="L413" s="48" t="str">
        <f t="shared" si="60"/>
        <v>02_Slots/Koenig/01_Horusname_01/0030_Hr_MR_02.png &lt;sup&gt;(MR)&lt;/sup&gt;</v>
      </c>
    </row>
    <row r="414" spans="1:12" x14ac:dyDescent="0.2">
      <c r="A414" s="2" t="s">
        <v>483</v>
      </c>
      <c r="B414" s="36">
        <v>1</v>
      </c>
      <c r="C414" s="2" t="s">
        <v>104</v>
      </c>
      <c r="E414" s="2" t="s">
        <v>465</v>
      </c>
      <c r="F414" s="2" t="s">
        <v>1513</v>
      </c>
      <c r="G414" s="2" t="s">
        <v>1521</v>
      </c>
      <c r="I414" s="2" t="s">
        <v>1090</v>
      </c>
      <c r="J414" s="2" t="s">
        <v>1103</v>
      </c>
      <c r="K414" s="2" t="s">
        <v>1092</v>
      </c>
      <c r="L414" s="48" t="str">
        <f t="shared" si="60"/>
        <v>02_Slots/Koenig/01_Horusname_01/0040_Hr_D.19_01.png &lt;sup&gt;(D.19)&lt;/sup&gt;</v>
      </c>
    </row>
    <row r="415" spans="1:12" x14ac:dyDescent="0.2">
      <c r="A415" s="2" t="s">
        <v>483</v>
      </c>
      <c r="B415" s="36">
        <v>1</v>
      </c>
      <c r="C415" s="2" t="s">
        <v>104</v>
      </c>
      <c r="E415" s="2" t="s">
        <v>465</v>
      </c>
      <c r="F415" s="2" t="s">
        <v>1513</v>
      </c>
      <c r="G415" s="2" t="s">
        <v>1522</v>
      </c>
      <c r="I415" s="2" t="s">
        <v>1090</v>
      </c>
      <c r="J415" s="2" t="s">
        <v>1103</v>
      </c>
      <c r="K415" s="2" t="s">
        <v>1092</v>
      </c>
      <c r="L415" s="48" t="str">
        <f t="shared" si="60"/>
        <v>02_Slots/Koenig/01_Horusname_01/0050_Hr_D.19_02.png &lt;sup&gt;(D.19)&lt;/sup&gt;</v>
      </c>
    </row>
    <row r="416" spans="1:12" x14ac:dyDescent="0.2">
      <c r="A416" s="2" t="s">
        <v>483</v>
      </c>
      <c r="B416" s="36">
        <v>1</v>
      </c>
      <c r="C416" s="2" t="s">
        <v>38</v>
      </c>
      <c r="L416" s="48" t="s">
        <v>486</v>
      </c>
    </row>
    <row r="417" spans="1:12" x14ac:dyDescent="0.2">
      <c r="A417" s="2" t="s">
        <v>483</v>
      </c>
      <c r="B417" s="36">
        <v>1</v>
      </c>
      <c r="C417" s="2" t="s">
        <v>39</v>
      </c>
      <c r="L417" s="48" t="s">
        <v>487</v>
      </c>
    </row>
    <row r="418" spans="1:12" x14ac:dyDescent="0.2">
      <c r="A418" s="2" t="s">
        <v>483</v>
      </c>
      <c r="B418" s="36">
        <v>1</v>
      </c>
      <c r="C418" s="2" t="s">
        <v>40</v>
      </c>
    </row>
    <row r="419" spans="1:12" x14ac:dyDescent="0.2">
      <c r="A419" s="2" t="s">
        <v>483</v>
      </c>
      <c r="B419" s="36">
        <v>1</v>
      </c>
      <c r="C419" s="2" t="s">
        <v>1561</v>
      </c>
      <c r="L419" s="48">
        <v>400034</v>
      </c>
    </row>
    <row r="420" spans="1:12" x14ac:dyDescent="0.2">
      <c r="A420" s="2" t="s">
        <v>483</v>
      </c>
      <c r="B420" s="36">
        <v>2</v>
      </c>
      <c r="C420" s="2" t="s">
        <v>484</v>
      </c>
      <c r="L420" s="48" t="s">
        <v>488</v>
      </c>
    </row>
    <row r="421" spans="1:12" x14ac:dyDescent="0.2">
      <c r="A421" s="2" t="s">
        <v>483</v>
      </c>
      <c r="B421" s="36">
        <v>2</v>
      </c>
      <c r="C421" s="2" t="s">
        <v>104</v>
      </c>
      <c r="E421" s="2" t="s">
        <v>465</v>
      </c>
      <c r="F421" s="2" t="s">
        <v>1514</v>
      </c>
      <c r="G421" s="2" t="s">
        <v>1523</v>
      </c>
      <c r="L421" s="48" t="str">
        <f t="shared" ref="L421" si="61">_xlfn.TEXTJOIN("", TRUE, D421:J421)</f>
        <v>02_Slots/Koenig/02_Herrinname_01/0001_nbty_01.png</v>
      </c>
    </row>
    <row r="422" spans="1:12" x14ac:dyDescent="0.2">
      <c r="A422" s="2" t="s">
        <v>483</v>
      </c>
      <c r="B422" s="36">
        <v>2</v>
      </c>
      <c r="C422" s="2" t="s">
        <v>104</v>
      </c>
      <c r="E422" s="2" t="s">
        <v>465</v>
      </c>
      <c r="F422" s="2" t="s">
        <v>1514</v>
      </c>
      <c r="G422" s="2" t="s">
        <v>1524</v>
      </c>
      <c r="I422" s="2" t="s">
        <v>1090</v>
      </c>
      <c r="J422" s="2" t="s">
        <v>1093</v>
      </c>
      <c r="K422" s="2" t="s">
        <v>1092</v>
      </c>
      <c r="L422" s="48" t="str">
        <f t="shared" ref="L422" si="62">_xlfn.TEXTJOIN("", TRUE, D422:K422)</f>
        <v>02_Slots/Koenig/02_Herrinname_01/0010_nbty_Gr_01.png &lt;sup&gt;(Gr.)&lt;/sup&gt;</v>
      </c>
    </row>
    <row r="423" spans="1:12" x14ac:dyDescent="0.2">
      <c r="A423" s="2" t="s">
        <v>483</v>
      </c>
      <c r="B423" s="36">
        <v>2</v>
      </c>
      <c r="C423" s="2" t="s">
        <v>38</v>
      </c>
      <c r="L423" s="48" t="s">
        <v>492</v>
      </c>
    </row>
    <row r="424" spans="1:12" x14ac:dyDescent="0.2">
      <c r="A424" s="2" t="s">
        <v>483</v>
      </c>
      <c r="B424" s="36">
        <v>2</v>
      </c>
      <c r="C424" s="2" t="s">
        <v>39</v>
      </c>
      <c r="L424" s="48" t="s">
        <v>494</v>
      </c>
    </row>
    <row r="425" spans="1:12" x14ac:dyDescent="0.2">
      <c r="A425" s="2" t="s">
        <v>483</v>
      </c>
      <c r="B425" s="36">
        <v>2</v>
      </c>
      <c r="C425" s="2" t="s">
        <v>40</v>
      </c>
    </row>
    <row r="426" spans="1:12" x14ac:dyDescent="0.2">
      <c r="A426" s="2" t="s">
        <v>483</v>
      </c>
      <c r="B426" s="36">
        <v>2</v>
      </c>
      <c r="C426" s="2" t="s">
        <v>1561</v>
      </c>
      <c r="L426" s="48">
        <v>400065</v>
      </c>
    </row>
    <row r="427" spans="1:12" x14ac:dyDescent="0.2">
      <c r="A427" s="2" t="s">
        <v>483</v>
      </c>
      <c r="B427" s="36">
        <v>3</v>
      </c>
      <c r="C427" s="2" t="s">
        <v>484</v>
      </c>
      <c r="L427" s="48" t="s">
        <v>489</v>
      </c>
    </row>
    <row r="428" spans="1:12" x14ac:dyDescent="0.2">
      <c r="A428" s="2" t="s">
        <v>483</v>
      </c>
      <c r="B428" s="36">
        <v>3</v>
      </c>
      <c r="C428" s="2" t="s">
        <v>104</v>
      </c>
      <c r="E428" s="2" t="s">
        <v>465</v>
      </c>
      <c r="F428" s="2" t="s">
        <v>1515</v>
      </c>
      <c r="G428" s="2" t="s">
        <v>1525</v>
      </c>
      <c r="L428" s="48" t="str">
        <f t="shared" ref="L428" si="63">_xlfn.TEXTJOIN("", TRUE, D428:K428)</f>
        <v>02_Slots/Koenig/03_Goldhorus_01/0001_Hr-m-nb.w_01.png</v>
      </c>
    </row>
    <row r="429" spans="1:12" x14ac:dyDescent="0.2">
      <c r="A429" s="2" t="s">
        <v>483</v>
      </c>
      <c r="B429" s="36">
        <v>3</v>
      </c>
      <c r="C429" s="2" t="s">
        <v>38</v>
      </c>
      <c r="L429" s="48" t="s">
        <v>1578</v>
      </c>
    </row>
    <row r="430" spans="1:12" x14ac:dyDescent="0.2">
      <c r="A430" s="2" t="s">
        <v>483</v>
      </c>
      <c r="B430" s="36">
        <v>3</v>
      </c>
      <c r="C430" s="2" t="s">
        <v>39</v>
      </c>
      <c r="L430" s="48" t="s">
        <v>495</v>
      </c>
    </row>
    <row r="431" spans="1:12" x14ac:dyDescent="0.2">
      <c r="A431" s="2" t="s">
        <v>483</v>
      </c>
      <c r="B431" s="36">
        <v>3</v>
      </c>
      <c r="C431" s="2" t="s">
        <v>40</v>
      </c>
      <c r="L431" s="48" t="s">
        <v>496</v>
      </c>
    </row>
    <row r="432" spans="1:12" x14ac:dyDescent="0.2">
      <c r="A432" s="2" t="s">
        <v>483</v>
      </c>
      <c r="B432" s="36">
        <v>3</v>
      </c>
      <c r="C432" s="2" t="s">
        <v>1561</v>
      </c>
      <c r="L432" s="48">
        <v>400069</v>
      </c>
    </row>
    <row r="433" spans="1:12" x14ac:dyDescent="0.2">
      <c r="A433" s="2" t="s">
        <v>483</v>
      </c>
      <c r="B433" s="36">
        <v>4</v>
      </c>
      <c r="C433" s="2" t="s">
        <v>484</v>
      </c>
      <c r="L433" s="48" t="s">
        <v>490</v>
      </c>
    </row>
    <row r="434" spans="1:12" x14ac:dyDescent="0.2">
      <c r="A434" s="2" t="s">
        <v>483</v>
      </c>
      <c r="B434" s="36">
        <v>4</v>
      </c>
      <c r="C434" s="2" t="s">
        <v>104</v>
      </c>
      <c r="E434" s="2" t="s">
        <v>465</v>
      </c>
      <c r="F434" s="2" t="s">
        <v>1516</v>
      </c>
      <c r="G434" s="2" t="s">
        <v>1526</v>
      </c>
      <c r="L434" s="48" t="str">
        <f t="shared" ref="L434:L438" si="64">_xlfn.TEXTJOIN("", TRUE, D434:K434)</f>
        <v>02_Slots/Koenig/04_Thronname_01/0001_nsw-bit_01.png</v>
      </c>
    </row>
    <row r="435" spans="1:12" x14ac:dyDescent="0.2">
      <c r="A435" s="2" t="s">
        <v>483</v>
      </c>
      <c r="B435" s="36">
        <v>4</v>
      </c>
      <c r="C435" s="2" t="s">
        <v>104</v>
      </c>
      <c r="E435" s="2" t="s">
        <v>465</v>
      </c>
      <c r="F435" s="2" t="s">
        <v>1516</v>
      </c>
      <c r="G435" s="2" t="s">
        <v>1527</v>
      </c>
      <c r="L435" s="48" t="str">
        <f t="shared" si="64"/>
        <v>02_Slots/Koenig/04_Thronname_01/0010_nsw-bit_02.png</v>
      </c>
    </row>
    <row r="436" spans="1:12" x14ac:dyDescent="0.2">
      <c r="A436" s="2" t="s">
        <v>483</v>
      </c>
      <c r="B436" s="36">
        <v>4</v>
      </c>
      <c r="C436" s="2" t="s">
        <v>104</v>
      </c>
      <c r="E436" s="2" t="s">
        <v>465</v>
      </c>
      <c r="F436" s="2" t="s">
        <v>1516</v>
      </c>
      <c r="G436" s="2" t="s">
        <v>1528</v>
      </c>
      <c r="I436" s="2" t="s">
        <v>1090</v>
      </c>
      <c r="J436" s="2" t="s">
        <v>1049</v>
      </c>
      <c r="K436" s="2" t="s">
        <v>1092</v>
      </c>
      <c r="L436" s="48" t="str">
        <f t="shared" si="64"/>
        <v>02_Slots/Koenig/04_Thronname_01/0020_nsw-bit_NR_01.png &lt;sup&gt;(NR)&lt;/sup&gt;</v>
      </c>
    </row>
    <row r="437" spans="1:12" x14ac:dyDescent="0.2">
      <c r="A437" s="2" t="s">
        <v>483</v>
      </c>
      <c r="B437" s="36">
        <v>4</v>
      </c>
      <c r="C437" s="2" t="s">
        <v>104</v>
      </c>
      <c r="E437" s="2" t="s">
        <v>465</v>
      </c>
      <c r="F437" s="2" t="s">
        <v>1516</v>
      </c>
      <c r="G437" s="2" t="s">
        <v>1529</v>
      </c>
      <c r="I437" s="2" t="s">
        <v>1090</v>
      </c>
      <c r="J437" s="2" t="s">
        <v>1049</v>
      </c>
      <c r="K437" s="2" t="s">
        <v>1092</v>
      </c>
      <c r="L437" s="48" t="str">
        <f t="shared" si="64"/>
        <v>02_Slots/Koenig/04_Thronname_01/0030_nsw-bit_NR_02.png &lt;sup&gt;(NR)&lt;/sup&gt;</v>
      </c>
    </row>
    <row r="438" spans="1:12" x14ac:dyDescent="0.2">
      <c r="A438" s="2" t="s">
        <v>483</v>
      </c>
      <c r="B438" s="36">
        <v>4</v>
      </c>
      <c r="C438" s="2" t="s">
        <v>104</v>
      </c>
      <c r="E438" s="2" t="s">
        <v>465</v>
      </c>
      <c r="F438" s="2" t="s">
        <v>1516</v>
      </c>
      <c r="G438" s="2" t="s">
        <v>1530</v>
      </c>
      <c r="I438" s="2" t="s">
        <v>1090</v>
      </c>
      <c r="J438" s="2" t="s">
        <v>1049</v>
      </c>
      <c r="K438" s="2" t="s">
        <v>1092</v>
      </c>
      <c r="L438" s="48" t="str">
        <f t="shared" si="64"/>
        <v>02_Slots/Koenig/04_Thronname_01/0040_nsw-bit_NR_03.png &lt;sup&gt;(NR)&lt;/sup&gt;</v>
      </c>
    </row>
    <row r="439" spans="1:12" x14ac:dyDescent="0.2">
      <c r="A439" s="2" t="s">
        <v>483</v>
      </c>
      <c r="B439" s="36">
        <v>4</v>
      </c>
      <c r="C439" s="2" t="s">
        <v>104</v>
      </c>
      <c r="E439" s="2" t="s">
        <v>465</v>
      </c>
      <c r="F439" s="2" t="s">
        <v>1516</v>
      </c>
      <c r="G439" s="2" t="s">
        <v>1531</v>
      </c>
      <c r="I439" s="2" t="s">
        <v>1090</v>
      </c>
      <c r="J439" s="2" t="s">
        <v>1049</v>
      </c>
      <c r="K439" s="2" t="s">
        <v>1092</v>
      </c>
      <c r="L439" s="48" t="str">
        <f t="shared" ref="L439" si="65">_xlfn.TEXTJOIN("", TRUE, D439:K439)</f>
        <v>02_Slots/Koenig/04_Thronname_01/0050_nsw-bit_NR_04.png &lt;sup&gt;(NR)&lt;/sup&gt;</v>
      </c>
    </row>
    <row r="440" spans="1:12" x14ac:dyDescent="0.2">
      <c r="A440" s="2" t="s">
        <v>483</v>
      </c>
      <c r="B440" s="36">
        <v>4</v>
      </c>
      <c r="C440" s="2" t="s">
        <v>104</v>
      </c>
      <c r="E440" s="2" t="s">
        <v>465</v>
      </c>
      <c r="F440" s="2" t="s">
        <v>1516</v>
      </c>
      <c r="G440" s="2" t="s">
        <v>1532</v>
      </c>
      <c r="I440" s="2" t="s">
        <v>1090</v>
      </c>
      <c r="J440" s="2" t="s">
        <v>1093</v>
      </c>
      <c r="K440" s="2" t="s">
        <v>1092</v>
      </c>
      <c r="L440" s="48" t="str">
        <f t="shared" ref="L440:L441" si="66">_xlfn.TEXTJOIN("", TRUE, D440:K440)</f>
        <v>02_Slots/Koenig/04_Thronname_01/0060_nsw-bit_Gr_01.png &lt;sup&gt;(Gr.)&lt;/sup&gt;</v>
      </c>
    </row>
    <row r="441" spans="1:12" x14ac:dyDescent="0.2">
      <c r="A441" s="2" t="s">
        <v>483</v>
      </c>
      <c r="B441" s="36">
        <v>4</v>
      </c>
      <c r="C441" s="2" t="s">
        <v>104</v>
      </c>
      <c r="E441" s="2" t="s">
        <v>465</v>
      </c>
      <c r="F441" s="2" t="s">
        <v>1516</v>
      </c>
      <c r="G441" s="2" t="s">
        <v>1533</v>
      </c>
      <c r="I441" s="2" t="s">
        <v>1090</v>
      </c>
      <c r="J441" s="2" t="s">
        <v>1093</v>
      </c>
      <c r="K441" s="2" t="s">
        <v>1092</v>
      </c>
      <c r="L441" s="48" t="str">
        <f t="shared" si="66"/>
        <v>02_Slots/Koenig/04_Thronname_01/0070_nsw-bit_Gr_02.png &lt;sup&gt;(Gr.)&lt;/sup&gt;</v>
      </c>
    </row>
    <row r="442" spans="1:12" x14ac:dyDescent="0.2">
      <c r="A442" s="2" t="s">
        <v>483</v>
      </c>
      <c r="B442" s="36">
        <v>4</v>
      </c>
      <c r="C442" s="2" t="s">
        <v>104</v>
      </c>
      <c r="E442" s="2" t="s">
        <v>465</v>
      </c>
      <c r="F442" s="2" t="s">
        <v>1516</v>
      </c>
      <c r="G442" s="2" t="s">
        <v>1534</v>
      </c>
      <c r="I442" s="2" t="s">
        <v>1090</v>
      </c>
      <c r="J442" s="2" t="s">
        <v>1093</v>
      </c>
      <c r="K442" s="2" t="s">
        <v>1092</v>
      </c>
      <c r="L442" s="48" t="str">
        <f t="shared" ref="L442:L443" si="67">_xlfn.TEXTJOIN("", TRUE, D442:K442)</f>
        <v>02_Slots/Koenig/04_Thronname_01/0080_nsw-bit_Gr_03.png &lt;sup&gt;(Gr.)&lt;/sup&gt;</v>
      </c>
    </row>
    <row r="443" spans="1:12" x14ac:dyDescent="0.2">
      <c r="A443" s="2" t="s">
        <v>483</v>
      </c>
      <c r="B443" s="36">
        <v>4</v>
      </c>
      <c r="C443" s="2" t="s">
        <v>104</v>
      </c>
      <c r="E443" s="2" t="s">
        <v>465</v>
      </c>
      <c r="F443" s="2" t="s">
        <v>1516</v>
      </c>
      <c r="G443" s="2" t="s">
        <v>1535</v>
      </c>
      <c r="I443" s="2" t="s">
        <v>1090</v>
      </c>
      <c r="J443" s="2" t="s">
        <v>1093</v>
      </c>
      <c r="K443" s="2" t="s">
        <v>1092</v>
      </c>
      <c r="L443" s="48" t="str">
        <f t="shared" si="67"/>
        <v>02_Slots/Koenig/04_Thronname_01/0090_nsw-bit_Gr_04.png &lt;sup&gt;(Gr.)&lt;/sup&gt;</v>
      </c>
    </row>
    <row r="444" spans="1:12" x14ac:dyDescent="0.2">
      <c r="A444" s="2" t="s">
        <v>483</v>
      </c>
      <c r="B444" s="36">
        <v>4</v>
      </c>
      <c r="C444" s="2" t="s">
        <v>38</v>
      </c>
      <c r="L444" s="48" t="s">
        <v>1577</v>
      </c>
    </row>
    <row r="445" spans="1:12" x14ac:dyDescent="0.2">
      <c r="A445" s="2" t="s">
        <v>483</v>
      </c>
      <c r="B445" s="36">
        <v>4</v>
      </c>
      <c r="C445" s="2" t="s">
        <v>39</v>
      </c>
      <c r="L445" s="48" t="s">
        <v>497</v>
      </c>
    </row>
    <row r="446" spans="1:12" x14ac:dyDescent="0.2">
      <c r="A446" s="2" t="s">
        <v>483</v>
      </c>
      <c r="B446" s="36">
        <v>4</v>
      </c>
      <c r="C446" s="2" t="s">
        <v>40</v>
      </c>
    </row>
    <row r="447" spans="1:12" x14ac:dyDescent="0.2">
      <c r="A447" s="2" t="s">
        <v>483</v>
      </c>
      <c r="B447" s="36">
        <v>4</v>
      </c>
      <c r="C447" s="2" t="s">
        <v>1561</v>
      </c>
      <c r="L447" s="48">
        <v>88060</v>
      </c>
    </row>
    <row r="448" spans="1:12" x14ac:dyDescent="0.2">
      <c r="A448" s="2" t="s">
        <v>483</v>
      </c>
      <c r="B448" s="36">
        <v>5</v>
      </c>
      <c r="C448" s="2" t="s">
        <v>484</v>
      </c>
      <c r="L448" s="48" t="s">
        <v>491</v>
      </c>
    </row>
    <row r="449" spans="1:12" x14ac:dyDescent="0.2">
      <c r="A449" s="2" t="s">
        <v>483</v>
      </c>
      <c r="B449" s="36">
        <v>5</v>
      </c>
      <c r="C449" s="2" t="s">
        <v>104</v>
      </c>
      <c r="E449" s="2" t="s">
        <v>465</v>
      </c>
      <c r="F449" s="2" t="s">
        <v>1517</v>
      </c>
      <c r="G449" s="2" t="s">
        <v>1536</v>
      </c>
      <c r="L449" s="48" t="str">
        <f t="shared" ref="L449:L450" si="68">_xlfn.TEXTJOIN("", TRUE, D449:K449)</f>
        <v>02_Slots/Koenig/05_Eigenname_01/0001_sA-ra_01.png</v>
      </c>
    </row>
    <row r="450" spans="1:12" x14ac:dyDescent="0.2">
      <c r="A450" s="2" t="s">
        <v>483</v>
      </c>
      <c r="B450" s="36">
        <v>5</v>
      </c>
      <c r="C450" s="2" t="s">
        <v>104</v>
      </c>
      <c r="E450" s="2" t="s">
        <v>465</v>
      </c>
      <c r="F450" s="2" t="s">
        <v>1517</v>
      </c>
      <c r="G450" s="2" t="s">
        <v>1537</v>
      </c>
      <c r="I450" s="2" t="s">
        <v>1090</v>
      </c>
      <c r="J450" s="2" t="s">
        <v>1091</v>
      </c>
      <c r="K450" s="2" t="s">
        <v>1092</v>
      </c>
      <c r="L450" s="48" t="str">
        <f t="shared" si="68"/>
        <v>02_Slots/Koenig/05_Eigenname_01/0010_sA-ra_AR_01.png &lt;sup&gt;(AR)&lt;/sup&gt;</v>
      </c>
    </row>
    <row r="451" spans="1:12" x14ac:dyDescent="0.2">
      <c r="A451" s="2" t="s">
        <v>483</v>
      </c>
      <c r="B451" s="36">
        <v>5</v>
      </c>
      <c r="C451" s="2" t="s">
        <v>104</v>
      </c>
      <c r="E451" s="2" t="s">
        <v>465</v>
      </c>
      <c r="F451" s="2" t="s">
        <v>1517</v>
      </c>
      <c r="G451" s="2" t="s">
        <v>1538</v>
      </c>
      <c r="I451" s="2" t="s">
        <v>1090</v>
      </c>
      <c r="J451" s="2" t="s">
        <v>1094</v>
      </c>
      <c r="K451" s="2" t="s">
        <v>1092</v>
      </c>
      <c r="L451" s="48" t="str">
        <f t="shared" ref="L451:L452" si="69">_xlfn.TEXTJOIN("", TRUE, D451:K451)</f>
        <v>02_Slots/Koenig/05_Eigenname_01/0020_sA-ra_MR_01.png &lt;sup&gt;(MR)&lt;/sup&gt;</v>
      </c>
    </row>
    <row r="452" spans="1:12" x14ac:dyDescent="0.2">
      <c r="A452" s="2" t="s">
        <v>483</v>
      </c>
      <c r="B452" s="36">
        <v>5</v>
      </c>
      <c r="C452" s="2" t="s">
        <v>104</v>
      </c>
      <c r="E452" s="2" t="s">
        <v>465</v>
      </c>
      <c r="F452" s="2" t="s">
        <v>1517</v>
      </c>
      <c r="G452" s="2" t="s">
        <v>1539</v>
      </c>
      <c r="I452" s="2" t="s">
        <v>1090</v>
      </c>
      <c r="J452" s="2" t="s">
        <v>1405</v>
      </c>
      <c r="K452" s="2" t="s">
        <v>1092</v>
      </c>
      <c r="L452" s="48" t="str">
        <f t="shared" si="69"/>
        <v>02_Slots/Koenig/05_Eigenname_01/0030_sA-ra_D.20_01.png &lt;sup&gt;(D.20)&lt;/sup&gt;</v>
      </c>
    </row>
    <row r="453" spans="1:12" x14ac:dyDescent="0.2">
      <c r="A453" s="2" t="s">
        <v>483</v>
      </c>
      <c r="B453" s="36">
        <v>5</v>
      </c>
      <c r="C453" s="2" t="s">
        <v>104</v>
      </c>
      <c r="E453" s="2" t="s">
        <v>465</v>
      </c>
      <c r="F453" s="2" t="s">
        <v>1517</v>
      </c>
      <c r="G453" s="2" t="s">
        <v>1540</v>
      </c>
      <c r="I453" s="2" t="s">
        <v>1090</v>
      </c>
      <c r="J453" s="2" t="s">
        <v>1049</v>
      </c>
      <c r="K453" s="2" t="s">
        <v>1092</v>
      </c>
      <c r="L453" s="48" t="str">
        <f t="shared" ref="L453:L454" si="70">_xlfn.TEXTJOIN("", TRUE, D453:K453)</f>
        <v>02_Slots/Koenig/05_Eigenname_01/0040_sA-ra_NR_01.png &lt;sup&gt;(NR)&lt;/sup&gt;</v>
      </c>
    </row>
    <row r="454" spans="1:12" x14ac:dyDescent="0.2">
      <c r="A454" s="2" t="s">
        <v>483</v>
      </c>
      <c r="B454" s="36">
        <v>5</v>
      </c>
      <c r="C454" s="2" t="s">
        <v>104</v>
      </c>
      <c r="E454" s="2" t="s">
        <v>465</v>
      </c>
      <c r="F454" s="2" t="s">
        <v>1517</v>
      </c>
      <c r="G454" s="2" t="s">
        <v>1541</v>
      </c>
      <c r="I454" s="2" t="s">
        <v>1090</v>
      </c>
      <c r="J454" s="2" t="s">
        <v>1093</v>
      </c>
      <c r="K454" s="2" t="s">
        <v>1092</v>
      </c>
      <c r="L454" s="48" t="str">
        <f t="shared" si="70"/>
        <v>02_Slots/Koenig/05_Eigenname_01/0050_sA-ra_Gr_01.png &lt;sup&gt;(Gr.)&lt;/sup&gt;</v>
      </c>
    </row>
    <row r="455" spans="1:12" x14ac:dyDescent="0.2">
      <c r="A455" s="2" t="s">
        <v>483</v>
      </c>
      <c r="B455" s="36">
        <v>5</v>
      </c>
      <c r="C455" s="2" t="s">
        <v>38</v>
      </c>
      <c r="L455" s="48" t="s">
        <v>493</v>
      </c>
    </row>
    <row r="456" spans="1:12" x14ac:dyDescent="0.2">
      <c r="A456" s="2" t="s">
        <v>483</v>
      </c>
      <c r="B456" s="36">
        <v>5</v>
      </c>
      <c r="C456" s="2" t="s">
        <v>39</v>
      </c>
      <c r="L456" s="48" t="s">
        <v>498</v>
      </c>
    </row>
    <row r="457" spans="1:12" x14ac:dyDescent="0.2">
      <c r="A457" s="2" t="s">
        <v>483</v>
      </c>
      <c r="B457" s="36">
        <v>5</v>
      </c>
      <c r="C457" s="2" t="s">
        <v>40</v>
      </c>
    </row>
    <row r="458" spans="1:12" x14ac:dyDescent="0.2">
      <c r="A458" s="2" t="s">
        <v>483</v>
      </c>
      <c r="B458" s="36">
        <v>5</v>
      </c>
      <c r="C458" s="2" t="s">
        <v>1561</v>
      </c>
      <c r="L458" s="48">
        <v>126020</v>
      </c>
    </row>
    <row r="460" spans="1:12" x14ac:dyDescent="0.2">
      <c r="A460" s="2" t="s">
        <v>500</v>
      </c>
      <c r="B460" s="36">
        <v>6</v>
      </c>
      <c r="C460" s="2" t="s">
        <v>38</v>
      </c>
      <c r="L460" s="48" t="s">
        <v>1579</v>
      </c>
    </row>
    <row r="461" spans="1:12" x14ac:dyDescent="0.2">
      <c r="A461" s="2" t="s">
        <v>500</v>
      </c>
      <c r="B461" s="36">
        <v>6</v>
      </c>
      <c r="C461" s="2" t="s">
        <v>104</v>
      </c>
      <c r="E461" s="2" t="s">
        <v>1289</v>
      </c>
      <c r="F461" s="2" t="s">
        <v>1302</v>
      </c>
      <c r="G461" s="2" t="s">
        <v>1303</v>
      </c>
      <c r="L461" s="48" t="str">
        <f t="shared" ref="L461:L463" si="71">_xlfn.TEXTJOIN("", TRUE, D461:J461)</f>
        <v>02_Slots/Koenig/Epitheta/06_nsw/0001_nsw_01.png</v>
      </c>
    </row>
    <row r="462" spans="1:12" x14ac:dyDescent="0.2">
      <c r="A462" s="2" t="s">
        <v>500</v>
      </c>
      <c r="B462" s="36">
        <v>6</v>
      </c>
      <c r="C462" s="2" t="s">
        <v>104</v>
      </c>
      <c r="E462" s="2" t="s">
        <v>1289</v>
      </c>
      <c r="F462" s="2" t="s">
        <v>1302</v>
      </c>
      <c r="G462" s="2" t="s">
        <v>1304</v>
      </c>
      <c r="L462" s="48" t="str">
        <f t="shared" si="71"/>
        <v>02_Slots/Koenig/Epitheta/06_nsw/0010_nsw_02.png</v>
      </c>
    </row>
    <row r="463" spans="1:12" x14ac:dyDescent="0.2">
      <c r="A463" s="2" t="s">
        <v>500</v>
      </c>
      <c r="B463" s="36">
        <v>6</v>
      </c>
      <c r="C463" s="2" t="s">
        <v>104</v>
      </c>
      <c r="E463" s="2" t="s">
        <v>1289</v>
      </c>
      <c r="F463" s="2" t="s">
        <v>1302</v>
      </c>
      <c r="G463" s="2" t="s">
        <v>1305</v>
      </c>
      <c r="L463" s="48" t="str">
        <f t="shared" si="71"/>
        <v>02_Slots/Koenig/Epitheta/06_nsw/0020_nsw_03.png</v>
      </c>
    </row>
    <row r="464" spans="1:12" x14ac:dyDescent="0.2">
      <c r="A464" s="2" t="s">
        <v>500</v>
      </c>
      <c r="B464" s="36">
        <v>6</v>
      </c>
      <c r="C464" s="2" t="s">
        <v>26</v>
      </c>
      <c r="L464" s="48" t="s">
        <v>322</v>
      </c>
    </row>
    <row r="465" spans="1:12" x14ac:dyDescent="0.2">
      <c r="A465" s="2" t="s">
        <v>500</v>
      </c>
      <c r="B465" s="36">
        <v>6</v>
      </c>
      <c r="C465" s="2" t="s">
        <v>1561</v>
      </c>
      <c r="L465" s="48">
        <v>88040</v>
      </c>
    </row>
    <row r="467" spans="1:12" x14ac:dyDescent="0.2">
      <c r="A467" s="2" t="s">
        <v>500</v>
      </c>
      <c r="B467" s="36">
        <v>5</v>
      </c>
      <c r="C467" s="2" t="s">
        <v>38</v>
      </c>
      <c r="L467" s="48" t="s">
        <v>501</v>
      </c>
    </row>
    <row r="468" spans="1:12" x14ac:dyDescent="0.2">
      <c r="A468" s="2" t="s">
        <v>500</v>
      </c>
      <c r="B468" s="36">
        <v>5</v>
      </c>
      <c r="C468" s="2" t="s">
        <v>104</v>
      </c>
      <c r="E468" s="2" t="s">
        <v>1289</v>
      </c>
      <c r="F468" s="2" t="s">
        <v>1301</v>
      </c>
      <c r="G468" s="2" t="s">
        <v>1297</v>
      </c>
      <c r="L468" s="48" t="str">
        <f t="shared" ref="L468:L470" si="72">_xlfn.TEXTJOIN("", TRUE, D468:J468)</f>
        <v>02_Slots/Koenig/Epitheta/05_Hm/0001_Hm_01.png</v>
      </c>
    </row>
    <row r="469" spans="1:12" x14ac:dyDescent="0.2">
      <c r="A469" s="2" t="s">
        <v>500</v>
      </c>
      <c r="B469" s="36">
        <v>5</v>
      </c>
      <c r="C469" s="2" t="s">
        <v>104</v>
      </c>
      <c r="E469" s="2" t="s">
        <v>1289</v>
      </c>
      <c r="F469" s="2" t="s">
        <v>1301</v>
      </c>
      <c r="G469" s="2" t="s">
        <v>1298</v>
      </c>
      <c r="L469" s="48" t="str">
        <f t="shared" si="72"/>
        <v>02_Slots/Koenig/Epitheta/05_Hm/0010_Hm_02.png</v>
      </c>
    </row>
    <row r="470" spans="1:12" x14ac:dyDescent="0.2">
      <c r="A470" s="2" t="s">
        <v>500</v>
      </c>
      <c r="B470" s="36">
        <v>5</v>
      </c>
      <c r="C470" s="2" t="s">
        <v>104</v>
      </c>
      <c r="E470" s="2" t="s">
        <v>1289</v>
      </c>
      <c r="F470" s="2" t="s">
        <v>1301</v>
      </c>
      <c r="G470" s="2" t="s">
        <v>1299</v>
      </c>
      <c r="L470" s="48" t="str">
        <f t="shared" si="72"/>
        <v>02_Slots/Koenig/Epitheta/05_Hm/0020_Hm_03.png</v>
      </c>
    </row>
    <row r="471" spans="1:12" x14ac:dyDescent="0.2">
      <c r="A471" s="2" t="s">
        <v>500</v>
      </c>
      <c r="B471" s="36">
        <v>5</v>
      </c>
      <c r="C471" s="2" t="s">
        <v>26</v>
      </c>
      <c r="L471" s="48" t="s">
        <v>502</v>
      </c>
    </row>
    <row r="472" spans="1:12" x14ac:dyDescent="0.2">
      <c r="A472" s="2" t="s">
        <v>500</v>
      </c>
      <c r="B472" s="36">
        <v>5</v>
      </c>
      <c r="C472" s="2" t="s">
        <v>1561</v>
      </c>
      <c r="L472" s="48">
        <v>104690</v>
      </c>
    </row>
    <row r="474" spans="1:12" x14ac:dyDescent="0.2">
      <c r="A474" s="2" t="s">
        <v>500</v>
      </c>
      <c r="B474" s="36">
        <v>4</v>
      </c>
      <c r="C474" s="2" t="s">
        <v>38</v>
      </c>
      <c r="L474" s="48" t="s">
        <v>1025</v>
      </c>
    </row>
    <row r="475" spans="1:12" x14ac:dyDescent="0.2">
      <c r="A475" s="2" t="s">
        <v>500</v>
      </c>
      <c r="B475" s="36">
        <v>4</v>
      </c>
      <c r="C475" s="2" t="s">
        <v>104</v>
      </c>
      <c r="E475" s="2" t="s">
        <v>1289</v>
      </c>
      <c r="F475" s="2" t="s">
        <v>1300</v>
      </c>
      <c r="G475" s="2" t="s">
        <v>1295</v>
      </c>
      <c r="H475" s="2" t="s">
        <v>111</v>
      </c>
      <c r="L475" s="48" t="str">
        <f t="shared" ref="L475" si="73">_xlfn.TEXTJOIN("", TRUE, D475:J475)</f>
        <v>02_Slots/Koenig/Epitheta/04_Hm=f/0001_Hm=f_01.png</v>
      </c>
    </row>
    <row r="476" spans="1:12" x14ac:dyDescent="0.2">
      <c r="A476" s="2" t="s">
        <v>500</v>
      </c>
      <c r="B476" s="36">
        <v>4</v>
      </c>
      <c r="C476" s="2" t="s">
        <v>26</v>
      </c>
      <c r="L476" s="48" t="s">
        <v>1078</v>
      </c>
    </row>
    <row r="477" spans="1:12" x14ac:dyDescent="0.2">
      <c r="A477" s="2" t="s">
        <v>500</v>
      </c>
      <c r="B477" s="36">
        <v>4</v>
      </c>
      <c r="C477" s="2" t="s">
        <v>1561</v>
      </c>
      <c r="L477" s="48">
        <v>104690</v>
      </c>
    </row>
    <row r="479" spans="1:12" x14ac:dyDescent="0.2">
      <c r="A479" s="2" t="s">
        <v>500</v>
      </c>
      <c r="B479" s="36">
        <v>2</v>
      </c>
      <c r="C479" s="2" t="s">
        <v>38</v>
      </c>
      <c r="L479" s="48" t="s">
        <v>503</v>
      </c>
    </row>
    <row r="480" spans="1:12" x14ac:dyDescent="0.2">
      <c r="A480" s="2" t="s">
        <v>500</v>
      </c>
      <c r="B480" s="36">
        <v>2</v>
      </c>
      <c r="C480" s="2" t="s">
        <v>104</v>
      </c>
      <c r="E480" s="2" t="s">
        <v>1289</v>
      </c>
      <c r="F480" s="2" t="s">
        <v>1292</v>
      </c>
      <c r="G480" s="2" t="s">
        <v>1293</v>
      </c>
      <c r="H480" s="2" t="s">
        <v>111</v>
      </c>
      <c r="L480" s="48" t="str">
        <f t="shared" ref="L480" si="74">_xlfn.TEXTJOIN("", TRUE, D480:J480)</f>
        <v>02_Slots/Koenig/Epitheta/02_nb-tA.wj/0001_nb-tA.wj_01.png</v>
      </c>
    </row>
    <row r="481" spans="1:12" x14ac:dyDescent="0.2">
      <c r="A481" s="2" t="s">
        <v>500</v>
      </c>
      <c r="B481" s="36">
        <v>2</v>
      </c>
      <c r="C481" s="2" t="s">
        <v>26</v>
      </c>
      <c r="L481" s="48" t="s">
        <v>504</v>
      </c>
    </row>
    <row r="482" spans="1:12" x14ac:dyDescent="0.2">
      <c r="A482" s="2" t="s">
        <v>500</v>
      </c>
      <c r="B482" s="36">
        <v>2</v>
      </c>
      <c r="C482" s="2" t="s">
        <v>1561</v>
      </c>
      <c r="L482" s="48">
        <v>400038</v>
      </c>
    </row>
    <row r="484" spans="1:12" x14ac:dyDescent="0.2">
      <c r="A484" s="2" t="s">
        <v>500</v>
      </c>
      <c r="B484" s="36">
        <v>1</v>
      </c>
      <c r="C484" s="2" t="s">
        <v>38</v>
      </c>
      <c r="L484" s="48" t="s">
        <v>1024</v>
      </c>
    </row>
    <row r="485" spans="1:12" x14ac:dyDescent="0.2">
      <c r="A485" s="2" t="s">
        <v>500</v>
      </c>
      <c r="B485" s="36">
        <v>1</v>
      </c>
      <c r="C485" s="2" t="s">
        <v>104</v>
      </c>
      <c r="E485" s="2" t="s">
        <v>1289</v>
      </c>
      <c r="F485" s="2" t="s">
        <v>1290</v>
      </c>
      <c r="G485" s="2" t="s">
        <v>1291</v>
      </c>
      <c r="H485" s="2" t="s">
        <v>111</v>
      </c>
      <c r="L485" s="48" t="str">
        <f t="shared" ref="L485" si="75">_xlfn.TEXTJOIN("", TRUE, D485:J485)</f>
        <v>02_Slots/Koenig/Epitheta/01_nTr-nfr/0001_nTr-nfr_01.png</v>
      </c>
    </row>
    <row r="486" spans="1:12" x14ac:dyDescent="0.2">
      <c r="A486" s="2" t="s">
        <v>500</v>
      </c>
      <c r="B486" s="36">
        <v>1</v>
      </c>
      <c r="C486" s="2" t="s">
        <v>26</v>
      </c>
      <c r="L486" s="48" t="s">
        <v>505</v>
      </c>
    </row>
    <row r="487" spans="1:12" x14ac:dyDescent="0.2">
      <c r="A487" s="2" t="s">
        <v>500</v>
      </c>
      <c r="B487" s="36">
        <v>1</v>
      </c>
      <c r="C487" s="2" t="s">
        <v>1561</v>
      </c>
      <c r="L487" s="48">
        <v>90390</v>
      </c>
    </row>
    <row r="489" spans="1:12" x14ac:dyDescent="0.2">
      <c r="A489" s="2" t="s">
        <v>500</v>
      </c>
      <c r="B489" s="36">
        <v>3</v>
      </c>
      <c r="C489" s="2" t="s">
        <v>38</v>
      </c>
      <c r="L489" s="48" t="s">
        <v>1285</v>
      </c>
    </row>
    <row r="490" spans="1:12" x14ac:dyDescent="0.2">
      <c r="A490" s="2" t="s">
        <v>500</v>
      </c>
      <c r="B490" s="36">
        <v>3</v>
      </c>
      <c r="C490" s="2" t="s">
        <v>104</v>
      </c>
      <c r="E490" s="2" t="s">
        <v>1289</v>
      </c>
      <c r="F490" s="2" t="s">
        <v>1294</v>
      </c>
      <c r="G490" s="2" t="s">
        <v>1296</v>
      </c>
      <c r="H490" s="2" t="s">
        <v>111</v>
      </c>
      <c r="L490" s="48" t="str">
        <f>_xlfn.TEXTJOIN("", TRUE, D490:K490)</f>
        <v>02_Slots/Koenig/Epitheta/03_sA=f-n-X.t=f/0001_sA=f-n-X.t=f_01.png</v>
      </c>
    </row>
    <row r="491" spans="1:12" x14ac:dyDescent="0.2">
      <c r="A491" s="2" t="s">
        <v>500</v>
      </c>
      <c r="B491" s="36">
        <v>3</v>
      </c>
      <c r="C491" s="2" t="s">
        <v>26</v>
      </c>
      <c r="L491" s="48" t="s">
        <v>1286</v>
      </c>
    </row>
    <row r="492" spans="1:12" x14ac:dyDescent="0.2">
      <c r="A492" s="2" t="s">
        <v>500</v>
      </c>
      <c r="B492" s="36">
        <v>3</v>
      </c>
      <c r="C492" s="2" t="s">
        <v>1561</v>
      </c>
      <c r="L492" s="48" t="s">
        <v>1564</v>
      </c>
    </row>
    <row r="494" spans="1:12" x14ac:dyDescent="0.2">
      <c r="A494" s="2" t="s">
        <v>500</v>
      </c>
      <c r="B494" s="36">
        <v>7</v>
      </c>
      <c r="C494" s="2" t="s">
        <v>38</v>
      </c>
      <c r="L494" s="48" t="s">
        <v>1287</v>
      </c>
    </row>
    <row r="495" spans="1:12" x14ac:dyDescent="0.2">
      <c r="A495" s="2" t="s">
        <v>500</v>
      </c>
      <c r="B495" s="36">
        <v>7</v>
      </c>
      <c r="C495" s="2" t="s">
        <v>104</v>
      </c>
      <c r="E495" s="2" t="s">
        <v>1289</v>
      </c>
      <c r="F495" s="2" t="s">
        <v>1306</v>
      </c>
      <c r="G495" s="2" t="s">
        <v>1307</v>
      </c>
      <c r="H495" s="2" t="s">
        <v>111</v>
      </c>
      <c r="L495" s="48" t="str">
        <f>_xlfn.TEXTJOIN("", TRUE, D495:K495)</f>
        <v>02_Slots/Koenig/Epitheta/07_nb-xa.w/0001_nb-xa.w_01.png</v>
      </c>
    </row>
    <row r="496" spans="1:12" x14ac:dyDescent="0.2">
      <c r="A496" s="2" t="s">
        <v>500</v>
      </c>
      <c r="B496" s="36">
        <v>7</v>
      </c>
      <c r="C496" s="2" t="s">
        <v>26</v>
      </c>
      <c r="L496" s="48" t="s">
        <v>1288</v>
      </c>
    </row>
    <row r="497" spans="1:12" x14ac:dyDescent="0.2">
      <c r="A497" s="2" t="s">
        <v>500</v>
      </c>
      <c r="B497" s="36">
        <v>7</v>
      </c>
      <c r="C497" s="2" t="s">
        <v>1561</v>
      </c>
      <c r="L497" s="48">
        <v>600260</v>
      </c>
    </row>
    <row r="502" spans="1:12" x14ac:dyDescent="0.2">
      <c r="A502" s="2" t="s">
        <v>524</v>
      </c>
      <c r="B502" s="36">
        <v>1</v>
      </c>
      <c r="C502" s="2" t="s">
        <v>38</v>
      </c>
      <c r="L502" s="48" t="s">
        <v>525</v>
      </c>
    </row>
    <row r="503" spans="1:12" x14ac:dyDescent="0.2">
      <c r="A503" s="2" t="s">
        <v>524</v>
      </c>
      <c r="B503" s="36">
        <v>1</v>
      </c>
      <c r="C503" s="2" t="s">
        <v>26</v>
      </c>
      <c r="L503" s="48" t="s">
        <v>527</v>
      </c>
    </row>
    <row r="504" spans="1:12" x14ac:dyDescent="0.2">
      <c r="A504" s="2" t="s">
        <v>524</v>
      </c>
      <c r="B504" s="36">
        <v>1</v>
      </c>
      <c r="C504" s="2" t="s">
        <v>39</v>
      </c>
      <c r="L504" s="48" t="s">
        <v>530</v>
      </c>
    </row>
    <row r="505" spans="1:12" x14ac:dyDescent="0.2">
      <c r="A505" s="2" t="s">
        <v>524</v>
      </c>
      <c r="B505" s="36">
        <v>1</v>
      </c>
      <c r="C505" s="2" t="s">
        <v>40</v>
      </c>
      <c r="L505" s="48" t="s">
        <v>533</v>
      </c>
    </row>
    <row r="506" spans="1:12" x14ac:dyDescent="0.2">
      <c r="A506" s="2" t="s">
        <v>524</v>
      </c>
      <c r="B506" s="36">
        <v>2</v>
      </c>
      <c r="C506" s="2" t="s">
        <v>38</v>
      </c>
      <c r="L506" s="48" t="s">
        <v>1113</v>
      </c>
    </row>
    <row r="507" spans="1:12" x14ac:dyDescent="0.2">
      <c r="A507" s="2" t="s">
        <v>524</v>
      </c>
      <c r="B507" s="36">
        <v>2</v>
      </c>
      <c r="C507" s="2" t="s">
        <v>26</v>
      </c>
      <c r="L507" s="48" t="s">
        <v>528</v>
      </c>
    </row>
    <row r="508" spans="1:12" x14ac:dyDescent="0.2">
      <c r="A508" s="2" t="s">
        <v>524</v>
      </c>
      <c r="B508" s="36">
        <v>2</v>
      </c>
      <c r="C508" s="2" t="s">
        <v>39</v>
      </c>
      <c r="L508" s="48" t="s">
        <v>531</v>
      </c>
    </row>
    <row r="509" spans="1:12" x14ac:dyDescent="0.2">
      <c r="A509" s="2" t="s">
        <v>524</v>
      </c>
      <c r="B509" s="36">
        <v>2</v>
      </c>
      <c r="C509" s="2" t="s">
        <v>40</v>
      </c>
      <c r="L509" s="48" t="s">
        <v>534</v>
      </c>
    </row>
    <row r="510" spans="1:12" x14ac:dyDescent="0.2">
      <c r="A510" s="2" t="s">
        <v>524</v>
      </c>
      <c r="B510" s="36">
        <v>3</v>
      </c>
      <c r="C510" s="2" t="s">
        <v>38</v>
      </c>
      <c r="L510" s="48" t="s">
        <v>526</v>
      </c>
    </row>
    <row r="511" spans="1:12" x14ac:dyDescent="0.2">
      <c r="A511" s="2" t="s">
        <v>524</v>
      </c>
      <c r="B511" s="36">
        <v>3</v>
      </c>
      <c r="C511" s="2" t="s">
        <v>26</v>
      </c>
      <c r="L511" s="48" t="s">
        <v>529</v>
      </c>
    </row>
    <row r="512" spans="1:12" x14ac:dyDescent="0.2">
      <c r="A512" s="2" t="s">
        <v>524</v>
      </c>
      <c r="B512" s="36">
        <v>3</v>
      </c>
      <c r="C512" s="2" t="s">
        <v>39</v>
      </c>
      <c r="L512" s="48" t="s">
        <v>532</v>
      </c>
    </row>
    <row r="513" spans="1:12" x14ac:dyDescent="0.2">
      <c r="A513" s="2" t="s">
        <v>524</v>
      </c>
      <c r="B513" s="36">
        <v>3</v>
      </c>
      <c r="C513" s="2" t="s">
        <v>40</v>
      </c>
    </row>
    <row r="516" spans="1:12" x14ac:dyDescent="0.2">
      <c r="A516" s="2" t="s">
        <v>56</v>
      </c>
      <c r="B516" s="36">
        <v>1</v>
      </c>
      <c r="C516" s="2" t="s">
        <v>101</v>
      </c>
      <c r="E516" s="2" t="s">
        <v>108</v>
      </c>
      <c r="G516" s="2" t="s">
        <v>112</v>
      </c>
      <c r="H516" s="2" t="s">
        <v>111</v>
      </c>
      <c r="L516" s="48" t="str">
        <f t="shared" ref="L516:L522" si="76">_xlfn.TEXTJOIN("", TRUE, D516:J516)</f>
        <v>02_Slots/Gottheit/Determinative_typisch/01_m/0001_A40_01.png</v>
      </c>
    </row>
    <row r="517" spans="1:12" x14ac:dyDescent="0.2">
      <c r="A517" s="2" t="s">
        <v>56</v>
      </c>
      <c r="B517" s="36">
        <v>1</v>
      </c>
      <c r="C517" s="2" t="s">
        <v>101</v>
      </c>
      <c r="E517" s="2" t="s">
        <v>108</v>
      </c>
      <c r="G517" s="2" t="s">
        <v>113</v>
      </c>
      <c r="H517" s="2" t="s">
        <v>111</v>
      </c>
      <c r="L517" s="48" t="str">
        <f t="shared" si="76"/>
        <v>02_Slots/Gottheit/Determinative_typisch/01_m/0010_G7_01.png</v>
      </c>
    </row>
    <row r="518" spans="1:12" x14ac:dyDescent="0.2">
      <c r="A518" s="2" t="s">
        <v>56</v>
      </c>
      <c r="B518" s="36">
        <v>1</v>
      </c>
      <c r="C518" s="2" t="s">
        <v>101</v>
      </c>
      <c r="E518" s="2" t="s">
        <v>108</v>
      </c>
      <c r="G518" s="2" t="s">
        <v>114</v>
      </c>
      <c r="H518" s="2" t="s">
        <v>111</v>
      </c>
      <c r="L518" s="48" t="str">
        <f t="shared" si="76"/>
        <v>02_Slots/Gottheit/Determinative_typisch/01_m/0020_R8_01.png</v>
      </c>
    </row>
    <row r="519" spans="1:12" x14ac:dyDescent="0.2">
      <c r="A519" s="2" t="s">
        <v>56</v>
      </c>
      <c r="B519" s="36">
        <v>1</v>
      </c>
      <c r="C519" s="2" t="s">
        <v>102</v>
      </c>
      <c r="E519" s="2" t="s">
        <v>103</v>
      </c>
      <c r="G519" s="2" t="s">
        <v>115</v>
      </c>
      <c r="H519" s="2" t="s">
        <v>111</v>
      </c>
      <c r="L519" s="48" t="str">
        <f t="shared" si="76"/>
        <v>02_Slots/Gottheit/Determinative_typisch/02_f/0001_B7_01.png</v>
      </c>
    </row>
    <row r="520" spans="1:12" x14ac:dyDescent="0.2">
      <c r="A520" s="2" t="s">
        <v>56</v>
      </c>
      <c r="B520" s="36">
        <v>1</v>
      </c>
      <c r="C520" s="2" t="s">
        <v>102</v>
      </c>
      <c r="E520" s="2" t="s">
        <v>103</v>
      </c>
      <c r="G520" s="2" t="s">
        <v>116</v>
      </c>
      <c r="H520" s="2" t="s">
        <v>111</v>
      </c>
      <c r="L520" s="48" t="str">
        <f t="shared" si="76"/>
        <v>02_Slots/Gottheit/Determinative_typisch/02_f/0010_I64_01.png</v>
      </c>
    </row>
    <row r="521" spans="1:12" x14ac:dyDescent="0.2">
      <c r="A521" s="2" t="s">
        <v>56</v>
      </c>
      <c r="B521" s="36">
        <v>1</v>
      </c>
      <c r="C521" s="2" t="s">
        <v>102</v>
      </c>
      <c r="E521" s="2" t="s">
        <v>103</v>
      </c>
      <c r="G521" s="2" t="s">
        <v>117</v>
      </c>
      <c r="H521" s="2" t="s">
        <v>111</v>
      </c>
      <c r="L521" s="48" t="str">
        <f t="shared" si="76"/>
        <v>02_Slots/Gottheit/Determinative_typisch/02_f/0020_H8_01.png</v>
      </c>
    </row>
    <row r="522" spans="1:12" x14ac:dyDescent="0.2">
      <c r="A522" s="2" t="s">
        <v>56</v>
      </c>
      <c r="B522" s="36">
        <v>1</v>
      </c>
      <c r="C522" s="2" t="s">
        <v>102</v>
      </c>
      <c r="E522" s="2" t="s">
        <v>103</v>
      </c>
      <c r="G522" s="2" t="s">
        <v>118</v>
      </c>
      <c r="H522" s="2" t="s">
        <v>111</v>
      </c>
      <c r="L522" s="48" t="str">
        <f t="shared" si="76"/>
        <v>02_Slots/Gottheit/Determinative_typisch/02_f/0030_H8_02.png</v>
      </c>
    </row>
    <row r="524" spans="1:12" x14ac:dyDescent="0.2">
      <c r="A524" s="2" t="s">
        <v>59</v>
      </c>
      <c r="B524" s="36">
        <v>10</v>
      </c>
      <c r="C524" s="2" t="s">
        <v>38</v>
      </c>
      <c r="L524" s="48" t="s">
        <v>1114</v>
      </c>
    </row>
    <row r="525" spans="1:12" x14ac:dyDescent="0.2">
      <c r="A525" s="2" t="s">
        <v>59</v>
      </c>
      <c r="B525" s="36">
        <v>10</v>
      </c>
      <c r="C525" s="2" t="s">
        <v>104</v>
      </c>
      <c r="E525" s="2" t="s">
        <v>1115</v>
      </c>
      <c r="G525" s="2" t="s">
        <v>947</v>
      </c>
      <c r="L525" s="48" t="str">
        <f t="shared" ref="L525" si="77">_xlfn.TEXTJOIN("", TRUE, D525:J525)</f>
        <v>02_Slots/Gottheit/Goetter-mit-Epitheta/0010_Isis/0001_st_01.png</v>
      </c>
    </row>
    <row r="526" spans="1:12" x14ac:dyDescent="0.2">
      <c r="A526" s="2" t="s">
        <v>59</v>
      </c>
      <c r="B526" s="36">
        <v>10</v>
      </c>
      <c r="C526" s="2" t="s">
        <v>104</v>
      </c>
      <c r="E526" s="2" t="s">
        <v>1115</v>
      </c>
      <c r="G526" s="2" t="s">
        <v>948</v>
      </c>
      <c r="I526" s="2" t="s">
        <v>1090</v>
      </c>
      <c r="J526" s="2" t="s">
        <v>1091</v>
      </c>
      <c r="K526" s="2" t="s">
        <v>1092</v>
      </c>
      <c r="L526" s="48" t="str">
        <f t="shared" ref="L526:L529" si="78">_xlfn.TEXTJOIN("", TRUE, D526:K526)</f>
        <v>02_Slots/Gottheit/Goetter-mit-Epitheta/0010_Isis/0010_st_AR_01.png &lt;sup&gt;(AR)&lt;/sup&gt;</v>
      </c>
    </row>
    <row r="527" spans="1:12" x14ac:dyDescent="0.2">
      <c r="A527" s="2" t="s">
        <v>59</v>
      </c>
      <c r="B527" s="36">
        <v>10</v>
      </c>
      <c r="C527" s="2" t="s">
        <v>104</v>
      </c>
      <c r="E527" s="2" t="s">
        <v>1115</v>
      </c>
      <c r="G527" s="2" t="s">
        <v>949</v>
      </c>
      <c r="I527" s="2" t="s">
        <v>1090</v>
      </c>
      <c r="J527" s="2" t="s">
        <v>1094</v>
      </c>
      <c r="K527" s="2" t="s">
        <v>1092</v>
      </c>
      <c r="L527" s="48" t="str">
        <f t="shared" si="78"/>
        <v>02_Slots/Gottheit/Goetter-mit-Epitheta/0010_Isis/0020_st_MR_01.png &lt;sup&gt;(MR)&lt;/sup&gt;</v>
      </c>
    </row>
    <row r="528" spans="1:12" x14ac:dyDescent="0.2">
      <c r="A528" s="2" t="s">
        <v>59</v>
      </c>
      <c r="B528" s="36">
        <v>10</v>
      </c>
      <c r="C528" s="2" t="s">
        <v>104</v>
      </c>
      <c r="E528" s="2" t="s">
        <v>1115</v>
      </c>
      <c r="G528" s="2" t="s">
        <v>950</v>
      </c>
      <c r="I528" s="2" t="s">
        <v>1090</v>
      </c>
      <c r="J528" s="2" t="s">
        <v>1049</v>
      </c>
      <c r="K528" s="2" t="s">
        <v>1092</v>
      </c>
      <c r="L528" s="48" t="str">
        <f t="shared" si="78"/>
        <v>02_Slots/Gottheit/Goetter-mit-Epitheta/0010_Isis/0030_st_NR_01.png &lt;sup&gt;(NR)&lt;/sup&gt;</v>
      </c>
    </row>
    <row r="529" spans="1:12" x14ac:dyDescent="0.2">
      <c r="A529" s="2" t="s">
        <v>59</v>
      </c>
      <c r="B529" s="36">
        <v>10</v>
      </c>
      <c r="C529" s="2" t="s">
        <v>104</v>
      </c>
      <c r="E529" s="2" t="s">
        <v>1115</v>
      </c>
      <c r="G529" s="2" t="s">
        <v>951</v>
      </c>
      <c r="I529" s="2" t="s">
        <v>1090</v>
      </c>
      <c r="J529" s="2" t="s">
        <v>1099</v>
      </c>
      <c r="K529" s="2" t="s">
        <v>1092</v>
      </c>
      <c r="L529" s="48" t="str">
        <f t="shared" si="78"/>
        <v>02_Slots/Gottheit/Goetter-mit-Epitheta/0010_Isis/0040_st_SP_01.png &lt;sup&gt;(Sp.)&lt;/sup&gt;</v>
      </c>
    </row>
    <row r="530" spans="1:12" x14ac:dyDescent="0.2">
      <c r="A530" s="2" t="s">
        <v>59</v>
      </c>
      <c r="B530" s="36">
        <v>10</v>
      </c>
      <c r="C530" s="2" t="s">
        <v>105</v>
      </c>
      <c r="L530" s="48" t="str">
        <f t="shared" ref="L530" si="79">_xlfn.TEXTJOIN("", TRUE, D530:J530)</f>
        <v/>
      </c>
    </row>
    <row r="531" spans="1:12" x14ac:dyDescent="0.2">
      <c r="A531" s="2" t="s">
        <v>59</v>
      </c>
      <c r="B531" s="36">
        <v>10</v>
      </c>
      <c r="C531" s="2" t="s">
        <v>106</v>
      </c>
      <c r="L531" s="48" t="s">
        <v>163</v>
      </c>
    </row>
    <row r="532" spans="1:12" x14ac:dyDescent="0.2">
      <c r="A532" s="2" t="s">
        <v>59</v>
      </c>
      <c r="B532" s="36">
        <v>10</v>
      </c>
      <c r="C532" s="2" t="s">
        <v>107</v>
      </c>
      <c r="L532" s="48" t="s">
        <v>1075</v>
      </c>
    </row>
    <row r="533" spans="1:12" x14ac:dyDescent="0.2">
      <c r="A533" s="2" t="s">
        <v>59</v>
      </c>
      <c r="B533" s="36">
        <v>10</v>
      </c>
      <c r="C533" s="2" t="s">
        <v>1561</v>
      </c>
      <c r="L533" s="48">
        <v>271</v>
      </c>
    </row>
    <row r="535" spans="1:12" x14ac:dyDescent="0.2">
      <c r="A535" s="2" t="s">
        <v>952</v>
      </c>
      <c r="B535" s="36">
        <v>1</v>
      </c>
      <c r="C535" s="2" t="s">
        <v>38</v>
      </c>
      <c r="L535" s="48" t="s">
        <v>954</v>
      </c>
    </row>
    <row r="536" spans="1:12" x14ac:dyDescent="0.2">
      <c r="A536" s="2" t="s">
        <v>952</v>
      </c>
      <c r="B536" s="36">
        <v>1</v>
      </c>
      <c r="C536" s="2" t="s">
        <v>104</v>
      </c>
      <c r="E536" s="2" t="s">
        <v>1115</v>
      </c>
      <c r="F536" s="2" t="s">
        <v>953</v>
      </c>
      <c r="G536" s="2" t="s">
        <v>956</v>
      </c>
      <c r="L536" s="48" t="str">
        <f>_xlfn.TEXTJOIN("", TRUE, D536:J536)</f>
        <v>02_Slots/Gottheit/Goetter-mit-Epitheta/0010_Isis/epitheta/01_mw.t-nTr/0001_mw.t-nTr_01.png</v>
      </c>
    </row>
    <row r="537" spans="1:12" x14ac:dyDescent="0.2">
      <c r="A537" s="2" t="s">
        <v>952</v>
      </c>
      <c r="B537" s="36">
        <v>1</v>
      </c>
      <c r="C537" s="2" t="s">
        <v>104</v>
      </c>
      <c r="E537" s="2" t="s">
        <v>1115</v>
      </c>
      <c r="F537" s="2" t="s">
        <v>953</v>
      </c>
      <c r="G537" s="2" t="s">
        <v>957</v>
      </c>
      <c r="L537" s="48" t="str">
        <f>_xlfn.TEXTJOIN("", TRUE, D537:J537)</f>
        <v>02_Slots/Gottheit/Goetter-mit-Epitheta/0010_Isis/epitheta/01_mw.t-nTr/0010_mw.t-nTr_02.png</v>
      </c>
    </row>
    <row r="538" spans="1:12" x14ac:dyDescent="0.2">
      <c r="A538" s="2" t="s">
        <v>952</v>
      </c>
      <c r="B538" s="36">
        <v>1</v>
      </c>
      <c r="C538" s="2" t="s">
        <v>104</v>
      </c>
      <c r="E538" s="2" t="s">
        <v>1115</v>
      </c>
      <c r="F538" s="2" t="s">
        <v>953</v>
      </c>
      <c r="G538" s="2" t="s">
        <v>958</v>
      </c>
      <c r="I538" s="2" t="s">
        <v>1090</v>
      </c>
      <c r="J538" s="2" t="s">
        <v>1093</v>
      </c>
      <c r="K538" s="2" t="s">
        <v>1092</v>
      </c>
      <c r="L538" s="48" t="str">
        <f>_xlfn.TEXTJOIN("", TRUE, D538:K538)</f>
        <v>02_Slots/Gottheit/Goetter-mit-Epitheta/0010_Isis/epitheta/01_mw.t-nTr/0020_mw.t-nTr_GR_01.png &lt;sup&gt;(Gr.)&lt;/sup&gt;</v>
      </c>
    </row>
    <row r="539" spans="1:12" x14ac:dyDescent="0.2">
      <c r="A539" s="2" t="s">
        <v>952</v>
      </c>
      <c r="B539" s="36">
        <v>1</v>
      </c>
      <c r="C539" s="2" t="s">
        <v>26</v>
      </c>
      <c r="L539" s="48" t="s">
        <v>955</v>
      </c>
    </row>
    <row r="540" spans="1:12" x14ac:dyDescent="0.2">
      <c r="A540" s="2" t="s">
        <v>952</v>
      </c>
      <c r="B540" s="36">
        <v>1</v>
      </c>
      <c r="C540" s="2" t="s">
        <v>1561</v>
      </c>
      <c r="L540" s="48">
        <v>69170</v>
      </c>
    </row>
    <row r="542" spans="1:12" x14ac:dyDescent="0.2">
      <c r="A542" s="2" t="s">
        <v>952</v>
      </c>
      <c r="B542" s="36">
        <v>2</v>
      </c>
      <c r="C542" s="2" t="s">
        <v>38</v>
      </c>
      <c r="L542" s="48" t="s">
        <v>1015</v>
      </c>
    </row>
    <row r="543" spans="1:12" x14ac:dyDescent="0.2">
      <c r="A543" s="2" t="s">
        <v>952</v>
      </c>
      <c r="B543" s="36">
        <v>2</v>
      </c>
      <c r="C543" s="2" t="s">
        <v>104</v>
      </c>
      <c r="E543" s="2" t="s">
        <v>1115</v>
      </c>
      <c r="F543" s="2" t="s">
        <v>959</v>
      </c>
      <c r="G543" s="2" t="s">
        <v>960</v>
      </c>
      <c r="L543" s="48" t="str">
        <f>_xlfn.TEXTJOIN("", TRUE, D543:J543)</f>
        <v>02_Slots/Gottheit/Goetter-mit-Epitheta/0010_Isis/epitheta/02_wr.t/0010_wr.t_01.png</v>
      </c>
    </row>
    <row r="544" spans="1:12" x14ac:dyDescent="0.2">
      <c r="A544" s="2" t="s">
        <v>952</v>
      </c>
      <c r="B544" s="36">
        <v>2</v>
      </c>
      <c r="C544" s="2" t="s">
        <v>104</v>
      </c>
      <c r="E544" s="2" t="s">
        <v>1115</v>
      </c>
      <c r="F544" s="2" t="s">
        <v>959</v>
      </c>
      <c r="G544" s="2" t="s">
        <v>961</v>
      </c>
      <c r="I544" s="2" t="s">
        <v>1090</v>
      </c>
      <c r="J544" s="2" t="s">
        <v>1099</v>
      </c>
      <c r="K544" s="2" t="s">
        <v>1092</v>
      </c>
      <c r="L544" s="48" t="str">
        <f>_xlfn.TEXTJOIN("", TRUE, D544:K544)</f>
        <v>02_Slots/Gottheit/Goetter-mit-Epitheta/0010_Isis/epitheta/02_wr.t/0010_wr.t_Sp._01.png &lt;sup&gt;(Sp.)&lt;/sup&gt;</v>
      </c>
    </row>
    <row r="545" spans="1:12" x14ac:dyDescent="0.2">
      <c r="A545" s="2" t="s">
        <v>952</v>
      </c>
      <c r="B545" s="36">
        <v>2</v>
      </c>
      <c r="C545" s="2" t="s">
        <v>26</v>
      </c>
      <c r="L545" s="48" t="s">
        <v>1014</v>
      </c>
    </row>
    <row r="546" spans="1:12" x14ac:dyDescent="0.2">
      <c r="A546" s="2" t="s">
        <v>952</v>
      </c>
      <c r="B546" s="36">
        <v>2</v>
      </c>
      <c r="C546" s="2" t="s">
        <v>1561</v>
      </c>
      <c r="L546" s="48">
        <v>47420</v>
      </c>
    </row>
    <row r="552" spans="1:12" x14ac:dyDescent="0.2">
      <c r="A552" s="2" t="s">
        <v>59</v>
      </c>
      <c r="B552" s="42">
        <v>20</v>
      </c>
      <c r="C552" s="2" t="s">
        <v>38</v>
      </c>
      <c r="L552" s="48" t="s">
        <v>174</v>
      </c>
    </row>
    <row r="553" spans="1:12" x14ac:dyDescent="0.2">
      <c r="A553" s="2" t="s">
        <v>59</v>
      </c>
      <c r="B553" s="42">
        <v>20</v>
      </c>
      <c r="C553" s="2" t="s">
        <v>104</v>
      </c>
      <c r="E553" s="2" t="s">
        <v>1116</v>
      </c>
      <c r="G553" s="2" t="s">
        <v>119</v>
      </c>
      <c r="H553" s="2" t="s">
        <v>111</v>
      </c>
      <c r="L553" s="48" t="str">
        <f>_xlfn.TEXTJOIN("", TRUE, D553:J553)</f>
        <v>02_Slots/Gottheit/Goetter-mit-Epitheta/0020_Amun/0001_Jmn_01.png</v>
      </c>
    </row>
    <row r="554" spans="1:12" x14ac:dyDescent="0.2">
      <c r="A554" s="2" t="s">
        <v>59</v>
      </c>
      <c r="B554" s="42">
        <v>20</v>
      </c>
      <c r="C554" s="2" t="s">
        <v>104</v>
      </c>
      <c r="E554" s="2" t="s">
        <v>1116</v>
      </c>
      <c r="G554" s="2" t="s">
        <v>121</v>
      </c>
      <c r="H554" s="2" t="s">
        <v>111</v>
      </c>
      <c r="I554" s="2" t="s">
        <v>1090</v>
      </c>
      <c r="J554" s="2" t="s">
        <v>1093</v>
      </c>
      <c r="K554" s="2" t="s">
        <v>1092</v>
      </c>
      <c r="L554" s="48" t="str">
        <f t="shared" ref="L554:L555" si="80">_xlfn.TEXTJOIN("", TRUE, D554:K554)</f>
        <v>02_Slots/Gottheit/Goetter-mit-Epitheta/0020_Amun/0010_Jmn_GR_01.png &lt;sup&gt;(Gr.)&lt;/sup&gt;</v>
      </c>
    </row>
    <row r="555" spans="1:12" x14ac:dyDescent="0.2">
      <c r="A555" s="2" t="s">
        <v>59</v>
      </c>
      <c r="B555" s="42">
        <v>20</v>
      </c>
      <c r="C555" s="2" t="s">
        <v>104</v>
      </c>
      <c r="E555" s="2" t="s">
        <v>1116</v>
      </c>
      <c r="G555" s="2" t="s">
        <v>122</v>
      </c>
      <c r="H555" s="2" t="s">
        <v>111</v>
      </c>
      <c r="I555" s="2" t="s">
        <v>1090</v>
      </c>
      <c r="J555" s="2" t="s">
        <v>1093</v>
      </c>
      <c r="K555" s="2" t="s">
        <v>1092</v>
      </c>
      <c r="L555" s="48" t="str">
        <f t="shared" si="80"/>
        <v>02_Slots/Gottheit/Goetter-mit-Epitheta/0020_Amun/0020_Jmn_GR_02.png &lt;sup&gt;(Gr.)&lt;/sup&gt;</v>
      </c>
    </row>
    <row r="556" spans="1:12" x14ac:dyDescent="0.2">
      <c r="A556" s="2" t="s">
        <v>59</v>
      </c>
      <c r="B556" s="42">
        <v>20</v>
      </c>
      <c r="C556" s="2" t="s">
        <v>105</v>
      </c>
      <c r="E556" s="2" t="s">
        <v>1116</v>
      </c>
      <c r="F556" s="2" t="s">
        <v>109</v>
      </c>
      <c r="G556" s="2" t="s">
        <v>120</v>
      </c>
      <c r="H556" s="2" t="s">
        <v>111</v>
      </c>
      <c r="L556" s="48" t="str">
        <f>_xlfn.TEXTJOIN("", TRUE, D556:J556)</f>
        <v>02_Slots/Gottheit/Goetter-mit-Epitheta/0020_Amun/det/0001_Jmn_det_01.png</v>
      </c>
    </row>
    <row r="557" spans="1:12" x14ac:dyDescent="0.2">
      <c r="A557" s="2" t="s">
        <v>59</v>
      </c>
      <c r="B557" s="42">
        <v>20</v>
      </c>
      <c r="C557" s="2" t="s">
        <v>106</v>
      </c>
      <c r="L557" s="48" t="s">
        <v>110</v>
      </c>
    </row>
    <row r="558" spans="1:12" x14ac:dyDescent="0.2">
      <c r="A558" s="2" t="s">
        <v>59</v>
      </c>
      <c r="B558" s="42">
        <v>20</v>
      </c>
      <c r="C558" s="2" t="s">
        <v>107</v>
      </c>
      <c r="L558" s="48" t="s">
        <v>1064</v>
      </c>
    </row>
    <row r="559" spans="1:12" x14ac:dyDescent="0.2">
      <c r="A559" s="2" t="s">
        <v>59</v>
      </c>
      <c r="B559" s="42">
        <v>20</v>
      </c>
      <c r="C559" s="2" t="s">
        <v>1561</v>
      </c>
      <c r="L559" s="48">
        <v>26060</v>
      </c>
    </row>
    <row r="561" spans="1:12" x14ac:dyDescent="0.2">
      <c r="A561" s="2" t="s">
        <v>558</v>
      </c>
      <c r="B561" s="36">
        <v>1</v>
      </c>
      <c r="C561" s="2" t="s">
        <v>38</v>
      </c>
      <c r="L561" s="48" t="s">
        <v>171</v>
      </c>
    </row>
    <row r="562" spans="1:12" x14ac:dyDescent="0.2">
      <c r="A562" s="2" t="s">
        <v>558</v>
      </c>
      <c r="B562" s="36">
        <v>1</v>
      </c>
      <c r="C562" s="2" t="s">
        <v>104</v>
      </c>
      <c r="E562" s="2" t="s">
        <v>1116</v>
      </c>
      <c r="F562" s="2" t="s">
        <v>123</v>
      </c>
      <c r="G562" s="2" t="s">
        <v>1283</v>
      </c>
      <c r="H562" s="2" t="s">
        <v>111</v>
      </c>
      <c r="L562" s="48" t="str">
        <f t="shared" ref="L562:L563" si="81">_xlfn.TEXTJOIN("", TRUE, D562:K562)</f>
        <v>02_Slots/Gottheit/Goetter-mit-Epitheta/0020_Amun/epitheta/01_m-jp.t/0010_m-jp.t_01.png</v>
      </c>
    </row>
    <row r="563" spans="1:12" x14ac:dyDescent="0.2">
      <c r="A563" s="2" t="s">
        <v>558</v>
      </c>
      <c r="B563" s="36">
        <v>1</v>
      </c>
      <c r="C563" s="2" t="s">
        <v>104</v>
      </c>
      <c r="E563" s="2" t="s">
        <v>1116</v>
      </c>
      <c r="F563" s="2" t="s">
        <v>123</v>
      </c>
      <c r="G563" s="2" t="s">
        <v>1284</v>
      </c>
      <c r="H563" s="2" t="s">
        <v>111</v>
      </c>
      <c r="I563" s="2" t="s">
        <v>1090</v>
      </c>
      <c r="J563" s="2" t="s">
        <v>1099</v>
      </c>
      <c r="K563" s="2" t="s">
        <v>1092</v>
      </c>
      <c r="L563" s="48" t="str">
        <f t="shared" si="81"/>
        <v>02_Slots/Gottheit/Goetter-mit-Epitheta/0020_Amun/epitheta/01_m-jp.t/0020_m-jp.t_SP_01.png &lt;sup&gt;(Sp.)&lt;/sup&gt;</v>
      </c>
    </row>
    <row r="564" spans="1:12" x14ac:dyDescent="0.2">
      <c r="A564" s="2" t="s">
        <v>558</v>
      </c>
      <c r="B564" s="36">
        <v>1</v>
      </c>
      <c r="C564" s="2" t="s">
        <v>26</v>
      </c>
      <c r="L564" s="48" t="s">
        <v>172</v>
      </c>
    </row>
    <row r="565" spans="1:12" x14ac:dyDescent="0.2">
      <c r="A565" s="2" t="s">
        <v>558</v>
      </c>
      <c r="B565" s="36">
        <v>1</v>
      </c>
      <c r="C565" s="2" t="s">
        <v>1561</v>
      </c>
      <c r="L565" s="48">
        <v>26250</v>
      </c>
    </row>
    <row r="567" spans="1:12" x14ac:dyDescent="0.2">
      <c r="A567" s="2" t="s">
        <v>59</v>
      </c>
      <c r="B567" s="42">
        <v>30</v>
      </c>
      <c r="C567" s="2" t="s">
        <v>38</v>
      </c>
      <c r="G567" s="2" t="s">
        <v>124</v>
      </c>
      <c r="L567" s="48" t="s">
        <v>173</v>
      </c>
    </row>
    <row r="568" spans="1:12" x14ac:dyDescent="0.2">
      <c r="A568" s="2" t="s">
        <v>59</v>
      </c>
      <c r="B568" s="42">
        <v>30</v>
      </c>
      <c r="C568" s="2" t="s">
        <v>104</v>
      </c>
      <c r="E568" s="2" t="s">
        <v>1117</v>
      </c>
      <c r="G568" s="2" t="s">
        <v>124</v>
      </c>
      <c r="H568" s="2" t="s">
        <v>111</v>
      </c>
      <c r="L568" s="48" t="str">
        <f>_xlfn.TEXTJOIN("", TRUE, D568:J568)</f>
        <v>02_Slots/Gottheit/Goetter-mit-Epitheta/0030_Amun-Re/0001_Jmn-Ra_01.png</v>
      </c>
    </row>
    <row r="569" spans="1:12" x14ac:dyDescent="0.2">
      <c r="A569" s="2" t="s">
        <v>59</v>
      </c>
      <c r="B569" s="42">
        <v>30</v>
      </c>
      <c r="C569" s="2" t="s">
        <v>105</v>
      </c>
    </row>
    <row r="570" spans="1:12" x14ac:dyDescent="0.2">
      <c r="A570" s="2" t="s">
        <v>59</v>
      </c>
      <c r="B570" s="42">
        <v>30</v>
      </c>
      <c r="C570" s="2" t="s">
        <v>106</v>
      </c>
      <c r="L570" s="48" t="s">
        <v>125</v>
      </c>
    </row>
    <row r="571" spans="1:12" x14ac:dyDescent="0.2">
      <c r="A571" s="2" t="s">
        <v>59</v>
      </c>
      <c r="B571" s="42">
        <v>30</v>
      </c>
      <c r="C571" s="2" t="s">
        <v>107</v>
      </c>
    </row>
    <row r="572" spans="1:12" x14ac:dyDescent="0.2">
      <c r="A572" s="2" t="s">
        <v>59</v>
      </c>
      <c r="B572" s="42">
        <v>30</v>
      </c>
      <c r="C572" s="2" t="s">
        <v>1561</v>
      </c>
      <c r="L572" s="48">
        <v>500004</v>
      </c>
    </row>
    <row r="573" spans="1:12" x14ac:dyDescent="0.2">
      <c r="B573" s="42"/>
    </row>
    <row r="574" spans="1:12" x14ac:dyDescent="0.2">
      <c r="A574" s="2" t="s">
        <v>59</v>
      </c>
      <c r="B574" s="42">
        <v>40</v>
      </c>
      <c r="C574" s="2" t="s">
        <v>38</v>
      </c>
      <c r="L574" s="48" t="s">
        <v>1120</v>
      </c>
    </row>
    <row r="575" spans="1:12" x14ac:dyDescent="0.2">
      <c r="A575" s="2" t="s">
        <v>59</v>
      </c>
      <c r="B575" s="42">
        <v>40</v>
      </c>
      <c r="C575" s="2" t="s">
        <v>104</v>
      </c>
      <c r="E575" s="2" t="s">
        <v>1118</v>
      </c>
      <c r="G575" s="2" t="s">
        <v>1119</v>
      </c>
      <c r="H575" s="2" t="s">
        <v>111</v>
      </c>
      <c r="L575" s="48" t="str">
        <f>_xlfn.TEXTJOIN("", TRUE, D575:J575)</f>
        <v>02_Slots/Gottheit/Goetter-mit-Epitheta/0040_Amun-Re-Harachte/0001_jmn-ra-Hr-Axtj_01.png</v>
      </c>
    </row>
    <row r="576" spans="1:12" x14ac:dyDescent="0.2">
      <c r="A576" s="2" t="s">
        <v>59</v>
      </c>
      <c r="B576" s="42">
        <v>40</v>
      </c>
      <c r="C576" s="2" t="s">
        <v>105</v>
      </c>
    </row>
    <row r="577" spans="1:12" x14ac:dyDescent="0.2">
      <c r="A577" s="2" t="s">
        <v>59</v>
      </c>
      <c r="B577" s="42">
        <v>40</v>
      </c>
      <c r="C577" s="2" t="s">
        <v>106</v>
      </c>
      <c r="L577" s="48" t="s">
        <v>126</v>
      </c>
    </row>
    <row r="578" spans="1:12" x14ac:dyDescent="0.2">
      <c r="A578" s="2" t="s">
        <v>59</v>
      </c>
      <c r="B578" s="42">
        <v>40</v>
      </c>
      <c r="C578" s="2" t="s">
        <v>107</v>
      </c>
    </row>
    <row r="579" spans="1:12" x14ac:dyDescent="0.2">
      <c r="A579" s="2" t="s">
        <v>59</v>
      </c>
      <c r="B579" s="42">
        <v>40</v>
      </c>
      <c r="C579" s="2" t="s">
        <v>1561</v>
      </c>
      <c r="L579" s="48">
        <v>853481</v>
      </c>
    </row>
    <row r="580" spans="1:12" x14ac:dyDescent="0.2">
      <c r="B580" s="42"/>
    </row>
    <row r="581" spans="1:12" x14ac:dyDescent="0.2">
      <c r="A581" s="2" t="s">
        <v>59</v>
      </c>
      <c r="B581" s="42">
        <v>50</v>
      </c>
      <c r="C581" s="2" t="s">
        <v>38</v>
      </c>
      <c r="L581" s="48" t="s">
        <v>536</v>
      </c>
    </row>
    <row r="582" spans="1:12" x14ac:dyDescent="0.2">
      <c r="A582" s="2" t="s">
        <v>59</v>
      </c>
      <c r="B582" s="42">
        <v>50</v>
      </c>
      <c r="C582" s="2" t="s">
        <v>104</v>
      </c>
      <c r="E582" s="2" t="s">
        <v>1121</v>
      </c>
      <c r="G582" s="2" t="s">
        <v>537</v>
      </c>
      <c r="H582" s="2" t="s">
        <v>111</v>
      </c>
      <c r="L582" s="48" t="str">
        <f t="shared" ref="L582:L584" si="82">_xlfn.TEXTJOIN("", TRUE, D582:J582)</f>
        <v>02_Slots/Gottheit/Goetter-mit-Epitheta/0050_Amset/0001_jmstj_01.png</v>
      </c>
    </row>
    <row r="583" spans="1:12" x14ac:dyDescent="0.2">
      <c r="A583" s="2" t="s">
        <v>59</v>
      </c>
      <c r="B583" s="42">
        <v>50</v>
      </c>
      <c r="C583" s="2" t="s">
        <v>104</v>
      </c>
      <c r="E583" s="2" t="s">
        <v>1121</v>
      </c>
      <c r="G583" s="2" t="s">
        <v>538</v>
      </c>
      <c r="H583" s="2" t="s">
        <v>111</v>
      </c>
      <c r="L583" s="48" t="str">
        <f t="shared" si="82"/>
        <v>02_Slots/Gottheit/Goetter-mit-Epitheta/0050_Amset/0010_jmstj_02.png</v>
      </c>
    </row>
    <row r="584" spans="1:12" x14ac:dyDescent="0.2">
      <c r="A584" s="2" t="s">
        <v>59</v>
      </c>
      <c r="B584" s="42">
        <v>50</v>
      </c>
      <c r="C584" s="2" t="s">
        <v>104</v>
      </c>
      <c r="E584" s="2" t="s">
        <v>1121</v>
      </c>
      <c r="G584" s="2" t="s">
        <v>539</v>
      </c>
      <c r="H584" s="2" t="s">
        <v>111</v>
      </c>
      <c r="L584" s="48" t="str">
        <f t="shared" si="82"/>
        <v>02_Slots/Gottheit/Goetter-mit-Epitheta/0050_Amset/0020_jmstj_03.png</v>
      </c>
    </row>
    <row r="585" spans="1:12" x14ac:dyDescent="0.2">
      <c r="A585" s="2" t="s">
        <v>59</v>
      </c>
      <c r="B585" s="42">
        <v>50</v>
      </c>
      <c r="C585" s="2" t="s">
        <v>104</v>
      </c>
      <c r="E585" s="2" t="s">
        <v>1121</v>
      </c>
      <c r="G585" s="2" t="s">
        <v>540</v>
      </c>
      <c r="H585" s="2" t="s">
        <v>111</v>
      </c>
      <c r="I585" s="2" t="s">
        <v>1090</v>
      </c>
      <c r="J585" s="2" t="s">
        <v>1091</v>
      </c>
      <c r="K585" s="2" t="s">
        <v>1092</v>
      </c>
      <c r="L585" s="48" t="str">
        <f t="shared" ref="L585:L588" si="83">_xlfn.TEXTJOIN("", TRUE, D585:K585)</f>
        <v>02_Slots/Gottheit/Goetter-mit-Epitheta/0050_Amset/0030_jmstj_AR_01.png &lt;sup&gt;(AR)&lt;/sup&gt;</v>
      </c>
    </row>
    <row r="586" spans="1:12" x14ac:dyDescent="0.2">
      <c r="A586" s="2" t="s">
        <v>59</v>
      </c>
      <c r="B586" s="42">
        <v>50</v>
      </c>
      <c r="C586" s="2" t="s">
        <v>104</v>
      </c>
      <c r="E586" s="2" t="s">
        <v>1121</v>
      </c>
      <c r="G586" s="2" t="s">
        <v>541</v>
      </c>
      <c r="H586" s="2" t="s">
        <v>111</v>
      </c>
      <c r="I586" s="2" t="s">
        <v>1090</v>
      </c>
      <c r="J586" s="2" t="s">
        <v>1094</v>
      </c>
      <c r="K586" s="2" t="s">
        <v>1092</v>
      </c>
      <c r="L586" s="48" t="str">
        <f t="shared" si="83"/>
        <v>02_Slots/Gottheit/Goetter-mit-Epitheta/0050_Amset/0040_jmstj_MR_01.png &lt;sup&gt;(MR)&lt;/sup&gt;</v>
      </c>
    </row>
    <row r="587" spans="1:12" x14ac:dyDescent="0.2">
      <c r="A587" s="2" t="s">
        <v>59</v>
      </c>
      <c r="B587" s="42">
        <v>50</v>
      </c>
      <c r="C587" s="2" t="s">
        <v>104</v>
      </c>
      <c r="E587" s="2" t="s">
        <v>1121</v>
      </c>
      <c r="G587" s="2" t="s">
        <v>542</v>
      </c>
      <c r="H587" s="2" t="s">
        <v>111</v>
      </c>
      <c r="I587" s="2" t="s">
        <v>1090</v>
      </c>
      <c r="J587" s="2" t="s">
        <v>1049</v>
      </c>
      <c r="K587" s="2" t="s">
        <v>1092</v>
      </c>
      <c r="L587" s="48" t="str">
        <f t="shared" si="83"/>
        <v>02_Slots/Gottheit/Goetter-mit-Epitheta/0050_Amset/0050_jmstj_NR_01.png &lt;sup&gt;(NR)&lt;/sup&gt;</v>
      </c>
    </row>
    <row r="588" spans="1:12" x14ac:dyDescent="0.2">
      <c r="A588" s="2" t="s">
        <v>59</v>
      </c>
      <c r="B588" s="42">
        <v>50</v>
      </c>
      <c r="C588" s="2" t="s">
        <v>104</v>
      </c>
      <c r="E588" s="2" t="s">
        <v>1121</v>
      </c>
      <c r="G588" s="2" t="s">
        <v>543</v>
      </c>
      <c r="H588" s="2" t="s">
        <v>111</v>
      </c>
      <c r="I588" s="2" t="s">
        <v>1090</v>
      </c>
      <c r="J588" s="2" t="s">
        <v>1049</v>
      </c>
      <c r="K588" s="2" t="s">
        <v>1092</v>
      </c>
      <c r="L588" s="48" t="str">
        <f t="shared" si="83"/>
        <v>02_Slots/Gottheit/Goetter-mit-Epitheta/0050_Amset/0060_jmstj_NR_02.png &lt;sup&gt;(NR)&lt;/sup&gt;</v>
      </c>
    </row>
    <row r="589" spans="1:12" x14ac:dyDescent="0.2">
      <c r="A589" s="2" t="s">
        <v>59</v>
      </c>
      <c r="B589" s="42">
        <v>50</v>
      </c>
      <c r="C589" s="2" t="s">
        <v>105</v>
      </c>
    </row>
    <row r="590" spans="1:12" x14ac:dyDescent="0.2">
      <c r="A590" s="2" t="s">
        <v>59</v>
      </c>
      <c r="B590" s="42">
        <v>50</v>
      </c>
      <c r="C590" s="2" t="s">
        <v>106</v>
      </c>
      <c r="L590" s="48" t="s">
        <v>127</v>
      </c>
    </row>
    <row r="591" spans="1:12" x14ac:dyDescent="0.2">
      <c r="A591" s="2" t="s">
        <v>59</v>
      </c>
      <c r="B591" s="42">
        <v>50</v>
      </c>
      <c r="C591" s="2" t="s">
        <v>107</v>
      </c>
    </row>
    <row r="592" spans="1:12" x14ac:dyDescent="0.2">
      <c r="A592" s="2" t="s">
        <v>59</v>
      </c>
      <c r="B592" s="42">
        <v>50</v>
      </c>
      <c r="C592" s="2" t="s">
        <v>1561</v>
      </c>
      <c r="L592" s="48">
        <v>26460</v>
      </c>
    </row>
    <row r="593" spans="1:12" x14ac:dyDescent="0.2">
      <c r="B593" s="42"/>
    </row>
    <row r="594" spans="1:12" x14ac:dyDescent="0.2">
      <c r="B594" s="42"/>
    </row>
    <row r="595" spans="1:12" x14ac:dyDescent="0.2">
      <c r="B595" s="42"/>
    </row>
    <row r="596" spans="1:12" x14ac:dyDescent="0.2">
      <c r="A596" s="2" t="s">
        <v>59</v>
      </c>
      <c r="B596" s="42">
        <v>60</v>
      </c>
      <c r="C596" s="2" t="s">
        <v>38</v>
      </c>
      <c r="L596" s="48" t="s">
        <v>544</v>
      </c>
    </row>
    <row r="597" spans="1:12" x14ac:dyDescent="0.2">
      <c r="A597" s="2" t="s">
        <v>59</v>
      </c>
      <c r="B597" s="42">
        <v>60</v>
      </c>
      <c r="C597" s="2" t="s">
        <v>104</v>
      </c>
      <c r="E597" s="2" t="s">
        <v>1122</v>
      </c>
      <c r="G597" s="2" t="s">
        <v>545</v>
      </c>
      <c r="H597" s="2" t="s">
        <v>111</v>
      </c>
      <c r="L597" s="48" t="str">
        <f t="shared" ref="L597:L601" si="84">_xlfn.TEXTJOIN("", TRUE, D597:J597)</f>
        <v>02_Slots/Gottheit/Goetter-mit-Epitheta/0060_Onuris/0001_jnj-Hr.t_01.png</v>
      </c>
    </row>
    <row r="598" spans="1:12" x14ac:dyDescent="0.2">
      <c r="A598" s="2" t="s">
        <v>59</v>
      </c>
      <c r="B598" s="42">
        <v>60</v>
      </c>
      <c r="C598" s="2" t="s">
        <v>104</v>
      </c>
      <c r="E598" s="2" t="s">
        <v>1122</v>
      </c>
      <c r="G598" s="2" t="s">
        <v>546</v>
      </c>
      <c r="H598" s="2" t="s">
        <v>111</v>
      </c>
      <c r="L598" s="48" t="str">
        <f t="shared" si="84"/>
        <v>02_Slots/Gottheit/Goetter-mit-Epitheta/0060_Onuris/0010_jnj-Hr.t_02.png</v>
      </c>
    </row>
    <row r="599" spans="1:12" x14ac:dyDescent="0.2">
      <c r="A599" s="2" t="s">
        <v>59</v>
      </c>
      <c r="B599" s="42">
        <v>60</v>
      </c>
      <c r="C599" s="2" t="s">
        <v>104</v>
      </c>
      <c r="E599" s="2" t="s">
        <v>1122</v>
      </c>
      <c r="G599" s="2" t="s">
        <v>547</v>
      </c>
      <c r="H599" s="2" t="s">
        <v>111</v>
      </c>
      <c r="L599" s="48" t="str">
        <f t="shared" si="84"/>
        <v>02_Slots/Gottheit/Goetter-mit-Epitheta/0060_Onuris/0020_jnj-Hr.t_03.png</v>
      </c>
    </row>
    <row r="600" spans="1:12" x14ac:dyDescent="0.2">
      <c r="A600" s="2" t="s">
        <v>59</v>
      </c>
      <c r="B600" s="42">
        <v>60</v>
      </c>
      <c r="C600" s="2" t="s">
        <v>104</v>
      </c>
      <c r="E600" s="2" t="s">
        <v>1122</v>
      </c>
      <c r="G600" s="2" t="s">
        <v>548</v>
      </c>
      <c r="H600" s="2" t="s">
        <v>111</v>
      </c>
      <c r="L600" s="48" t="str">
        <f t="shared" si="84"/>
        <v>02_Slots/Gottheit/Goetter-mit-Epitheta/0060_Onuris/0030_jnj-Hr.t_04.png</v>
      </c>
    </row>
    <row r="601" spans="1:12" x14ac:dyDescent="0.2">
      <c r="A601" s="2" t="s">
        <v>59</v>
      </c>
      <c r="B601" s="42">
        <v>60</v>
      </c>
      <c r="C601" s="2" t="s">
        <v>104</v>
      </c>
      <c r="E601" s="2" t="s">
        <v>1122</v>
      </c>
      <c r="G601" s="2" t="s">
        <v>549</v>
      </c>
      <c r="H601" s="2" t="s">
        <v>111</v>
      </c>
      <c r="L601" s="48" t="str">
        <f t="shared" si="84"/>
        <v>02_Slots/Gottheit/Goetter-mit-Epitheta/0060_Onuris/0040_jnj-Hr.t_05.png</v>
      </c>
    </row>
    <row r="602" spans="1:12" x14ac:dyDescent="0.2">
      <c r="A602" s="2" t="s">
        <v>59</v>
      </c>
      <c r="B602" s="42">
        <v>60</v>
      </c>
      <c r="C602" s="2" t="s">
        <v>104</v>
      </c>
      <c r="E602" s="2" t="s">
        <v>1122</v>
      </c>
      <c r="G602" s="2" t="s">
        <v>550</v>
      </c>
      <c r="H602" s="2" t="s">
        <v>111</v>
      </c>
      <c r="I602" s="2" t="s">
        <v>1090</v>
      </c>
      <c r="J602" s="2" t="s">
        <v>1049</v>
      </c>
      <c r="K602" s="2" t="s">
        <v>1092</v>
      </c>
      <c r="L602" s="48" t="str">
        <f>_xlfn.TEXTJOIN("", TRUE, D602:K602)</f>
        <v>02_Slots/Gottheit/Goetter-mit-Epitheta/0060_Onuris/0050_jnj-Hr.t_NR_01.png &lt;sup&gt;(NR)&lt;/sup&gt;</v>
      </c>
    </row>
    <row r="603" spans="1:12" x14ac:dyDescent="0.2">
      <c r="A603" s="2" t="s">
        <v>59</v>
      </c>
      <c r="B603" s="42">
        <v>60</v>
      </c>
      <c r="C603" s="2" t="s">
        <v>105</v>
      </c>
    </row>
    <row r="604" spans="1:12" x14ac:dyDescent="0.2">
      <c r="A604" s="2" t="s">
        <v>59</v>
      </c>
      <c r="B604" s="42">
        <v>60</v>
      </c>
      <c r="C604" s="2" t="s">
        <v>106</v>
      </c>
      <c r="L604" s="48" t="s">
        <v>128</v>
      </c>
    </row>
    <row r="605" spans="1:12" x14ac:dyDescent="0.2">
      <c r="A605" s="2" t="s">
        <v>59</v>
      </c>
      <c r="B605" s="42">
        <v>60</v>
      </c>
      <c r="C605" s="2" t="s">
        <v>107</v>
      </c>
    </row>
    <row r="606" spans="1:12" x14ac:dyDescent="0.2">
      <c r="A606" s="2" t="s">
        <v>59</v>
      </c>
      <c r="B606" s="42">
        <v>60</v>
      </c>
      <c r="C606" s="2" t="s">
        <v>1561</v>
      </c>
      <c r="L606" s="48">
        <v>26850</v>
      </c>
    </row>
    <row r="607" spans="1:12" x14ac:dyDescent="0.2">
      <c r="B607" s="42"/>
    </row>
    <row r="608" spans="1:12" x14ac:dyDescent="0.2">
      <c r="B608" s="42"/>
    </row>
    <row r="609" spans="1:12" x14ac:dyDescent="0.2">
      <c r="A609" s="2" t="s">
        <v>59</v>
      </c>
      <c r="B609" s="42">
        <v>70</v>
      </c>
      <c r="C609" s="2" t="s">
        <v>38</v>
      </c>
      <c r="L609" s="48" t="s">
        <v>551</v>
      </c>
    </row>
    <row r="610" spans="1:12" x14ac:dyDescent="0.2">
      <c r="A610" s="2" t="s">
        <v>59</v>
      </c>
      <c r="B610" s="42">
        <v>70</v>
      </c>
      <c r="C610" s="2" t="s">
        <v>104</v>
      </c>
      <c r="E610" s="2" t="s">
        <v>1123</v>
      </c>
      <c r="G610" s="2" t="s">
        <v>552</v>
      </c>
      <c r="H610" s="2" t="s">
        <v>111</v>
      </c>
      <c r="L610" s="48" t="str">
        <f t="shared" ref="L610:L615" si="85">_xlfn.TEXTJOIN("", TRUE, D610:J610)</f>
        <v>02_Slots/Gottheit/Goetter-mit-Epitheta/0070_Anubis/0001_Jnpw_01.png</v>
      </c>
    </row>
    <row r="611" spans="1:12" x14ac:dyDescent="0.2">
      <c r="A611" s="2" t="s">
        <v>59</v>
      </c>
      <c r="B611" s="42">
        <v>70</v>
      </c>
      <c r="C611" s="2" t="s">
        <v>104</v>
      </c>
      <c r="E611" s="2" t="s">
        <v>1123</v>
      </c>
      <c r="G611" s="2" t="s">
        <v>553</v>
      </c>
      <c r="H611" s="2" t="s">
        <v>111</v>
      </c>
      <c r="L611" s="48" t="str">
        <f t="shared" si="85"/>
        <v>02_Slots/Gottheit/Goetter-mit-Epitheta/0070_Anubis/0010_Jnpw_02.png</v>
      </c>
    </row>
    <row r="612" spans="1:12" x14ac:dyDescent="0.2">
      <c r="A612" s="2" t="s">
        <v>59</v>
      </c>
      <c r="B612" s="42">
        <v>70</v>
      </c>
      <c r="C612" s="2" t="s">
        <v>104</v>
      </c>
      <c r="E612" s="2" t="s">
        <v>1123</v>
      </c>
      <c r="G612" s="2" t="s">
        <v>554</v>
      </c>
      <c r="H612" s="2" t="s">
        <v>111</v>
      </c>
      <c r="L612" s="48" t="str">
        <f t="shared" si="85"/>
        <v>02_Slots/Gottheit/Goetter-mit-Epitheta/0070_Anubis/0020_Jnpw_03.png</v>
      </c>
    </row>
    <row r="613" spans="1:12" x14ac:dyDescent="0.2">
      <c r="A613" s="2" t="s">
        <v>59</v>
      </c>
      <c r="B613" s="42">
        <v>70</v>
      </c>
      <c r="C613" s="2" t="s">
        <v>104</v>
      </c>
      <c r="E613" s="2" t="s">
        <v>1123</v>
      </c>
      <c r="G613" s="2" t="s">
        <v>555</v>
      </c>
      <c r="H613" s="2" t="s">
        <v>111</v>
      </c>
      <c r="L613" s="48" t="str">
        <f t="shared" si="85"/>
        <v>02_Slots/Gottheit/Goetter-mit-Epitheta/0070_Anubis/0030_Jnpw_04.png</v>
      </c>
    </row>
    <row r="614" spans="1:12" x14ac:dyDescent="0.2">
      <c r="A614" s="2" t="s">
        <v>59</v>
      </c>
      <c r="B614" s="42">
        <v>70</v>
      </c>
      <c r="C614" s="2" t="s">
        <v>104</v>
      </c>
      <c r="E614" s="2" t="s">
        <v>1123</v>
      </c>
      <c r="G614" s="2" t="s">
        <v>556</v>
      </c>
      <c r="H614" s="2" t="s">
        <v>111</v>
      </c>
      <c r="I614" s="2" t="s">
        <v>1090</v>
      </c>
      <c r="J614" s="2" t="s">
        <v>1082</v>
      </c>
      <c r="K614" s="2" t="s">
        <v>1092</v>
      </c>
      <c r="L614" s="48" t="str">
        <f>_xlfn.TEXTJOIN("", TRUE, D614:K614)</f>
        <v>02_Slots/Gottheit/Goetter-mit-Epitheta/0070_Anubis/0040_Jnpw_sp_01.png &lt;sup&gt;(Spät.)&lt;/sup&gt;</v>
      </c>
    </row>
    <row r="615" spans="1:12" x14ac:dyDescent="0.2">
      <c r="A615" s="2" t="s">
        <v>59</v>
      </c>
      <c r="B615" s="42">
        <v>70</v>
      </c>
      <c r="C615" s="2" t="s">
        <v>105</v>
      </c>
      <c r="E615" s="2" t="s">
        <v>1123</v>
      </c>
      <c r="F615" s="2" t="s">
        <v>109</v>
      </c>
      <c r="G615" s="2" t="s">
        <v>557</v>
      </c>
      <c r="H615" s="2" t="s">
        <v>111</v>
      </c>
      <c r="L615" s="48" t="str">
        <f t="shared" si="85"/>
        <v>02_Slots/Gottheit/Goetter-mit-Epitheta/0070_Anubis/det/0001_Jnpw_det_01.png</v>
      </c>
    </row>
    <row r="616" spans="1:12" x14ac:dyDescent="0.2">
      <c r="A616" s="2" t="s">
        <v>59</v>
      </c>
      <c r="B616" s="42">
        <v>70</v>
      </c>
      <c r="C616" s="2" t="s">
        <v>106</v>
      </c>
      <c r="L616" s="48" t="s">
        <v>129</v>
      </c>
    </row>
    <row r="617" spans="1:12" x14ac:dyDescent="0.2">
      <c r="A617" s="2" t="s">
        <v>59</v>
      </c>
      <c r="B617" s="42">
        <v>70</v>
      </c>
      <c r="C617" s="2" t="s">
        <v>107</v>
      </c>
      <c r="L617" s="48" t="s">
        <v>1065</v>
      </c>
    </row>
    <row r="618" spans="1:12" x14ac:dyDescent="0.2">
      <c r="A618" s="2" t="s">
        <v>59</v>
      </c>
      <c r="B618" s="42">
        <v>70</v>
      </c>
      <c r="C618" s="2" t="s">
        <v>1561</v>
      </c>
      <c r="L618" s="48">
        <v>27360</v>
      </c>
    </row>
    <row r="620" spans="1:12" x14ac:dyDescent="0.2">
      <c r="A620" s="2" t="s">
        <v>559</v>
      </c>
      <c r="B620" s="36">
        <v>1</v>
      </c>
      <c r="C620" s="2" t="s">
        <v>38</v>
      </c>
      <c r="L620" s="48" t="s">
        <v>566</v>
      </c>
    </row>
    <row r="621" spans="1:12" x14ac:dyDescent="0.2">
      <c r="A621" s="2" t="s">
        <v>559</v>
      </c>
      <c r="B621" s="36">
        <v>1</v>
      </c>
      <c r="C621" s="2" t="s">
        <v>104</v>
      </c>
      <c r="E621" s="2" t="s">
        <v>1123</v>
      </c>
      <c r="F621" s="2" t="s">
        <v>560</v>
      </c>
      <c r="G621" s="2" t="s">
        <v>561</v>
      </c>
      <c r="H621" s="2" t="s">
        <v>111</v>
      </c>
      <c r="L621" s="48" t="str">
        <f>_xlfn.TEXTJOIN("", TRUE, D621:J621)</f>
        <v>02_Slots/Gottheit/Goetter-mit-Epitheta/0070_Anubis/epitheta/01_jmj-wt/0001_jmj-wt_01.png</v>
      </c>
    </row>
    <row r="622" spans="1:12" x14ac:dyDescent="0.2">
      <c r="A622" s="2" t="s">
        <v>559</v>
      </c>
      <c r="B622" s="36">
        <v>1</v>
      </c>
      <c r="C622" s="2" t="s">
        <v>104</v>
      </c>
      <c r="E622" s="2" t="s">
        <v>1123</v>
      </c>
      <c r="F622" s="2" t="s">
        <v>560</v>
      </c>
      <c r="G622" s="2" t="s">
        <v>562</v>
      </c>
      <c r="H622" s="2" t="s">
        <v>111</v>
      </c>
      <c r="L622" s="48" t="str">
        <f>_xlfn.TEXTJOIN("", TRUE, D622:J622)</f>
        <v>02_Slots/Gottheit/Goetter-mit-Epitheta/0070_Anubis/epitheta/01_jmj-wt/0010_jmj-wt_02.png</v>
      </c>
    </row>
    <row r="623" spans="1:12" x14ac:dyDescent="0.2">
      <c r="A623" s="2" t="s">
        <v>559</v>
      </c>
      <c r="B623" s="36">
        <v>1</v>
      </c>
      <c r="C623" s="2" t="s">
        <v>104</v>
      </c>
      <c r="E623" s="2" t="s">
        <v>1123</v>
      </c>
      <c r="F623" s="2" t="s">
        <v>560</v>
      </c>
      <c r="G623" s="2" t="s">
        <v>563</v>
      </c>
      <c r="H623" s="2" t="s">
        <v>111</v>
      </c>
      <c r="I623" s="2" t="s">
        <v>1090</v>
      </c>
      <c r="J623" s="2" t="s">
        <v>1091</v>
      </c>
      <c r="K623" s="2" t="s">
        <v>1092</v>
      </c>
      <c r="L623" s="48" t="str">
        <f t="shared" ref="L623:L624" si="86">_xlfn.TEXTJOIN("", TRUE, D623:K623)</f>
        <v>02_Slots/Gottheit/Goetter-mit-Epitheta/0070_Anubis/epitheta/01_jmj-wt/0020_jmj-wt_AR_01.png &lt;sup&gt;(AR)&lt;/sup&gt;</v>
      </c>
    </row>
    <row r="624" spans="1:12" x14ac:dyDescent="0.2">
      <c r="A624" s="2" t="s">
        <v>559</v>
      </c>
      <c r="B624" s="36">
        <v>1</v>
      </c>
      <c r="C624" s="2" t="s">
        <v>104</v>
      </c>
      <c r="E624" s="2" t="s">
        <v>1123</v>
      </c>
      <c r="F624" s="2" t="s">
        <v>560</v>
      </c>
      <c r="G624" s="2" t="s">
        <v>564</v>
      </c>
      <c r="H624" s="2" t="s">
        <v>111</v>
      </c>
      <c r="I624" s="2" t="s">
        <v>1090</v>
      </c>
      <c r="J624" s="2" t="s">
        <v>1091</v>
      </c>
      <c r="K624" s="2" t="s">
        <v>1092</v>
      </c>
      <c r="L624" s="48" t="str">
        <f t="shared" si="86"/>
        <v>02_Slots/Gottheit/Goetter-mit-Epitheta/0070_Anubis/epitheta/01_jmj-wt/0030_jmj-wt_AR_02.png &lt;sup&gt;(AR)&lt;/sup&gt;</v>
      </c>
    </row>
    <row r="625" spans="1:12" x14ac:dyDescent="0.2">
      <c r="A625" s="2" t="s">
        <v>559</v>
      </c>
      <c r="B625" s="36">
        <v>1</v>
      </c>
      <c r="C625" s="2" t="s">
        <v>26</v>
      </c>
      <c r="L625" s="48" t="s">
        <v>565</v>
      </c>
    </row>
    <row r="626" spans="1:12" x14ac:dyDescent="0.2">
      <c r="A626" s="2" t="s">
        <v>559</v>
      </c>
      <c r="B626" s="36">
        <v>1</v>
      </c>
      <c r="C626" s="2" t="s">
        <v>1561</v>
      </c>
      <c r="L626" s="48">
        <v>25390</v>
      </c>
    </row>
    <row r="628" spans="1:12" x14ac:dyDescent="0.2">
      <c r="A628" s="2" t="s">
        <v>559</v>
      </c>
      <c r="B628" s="36">
        <v>2</v>
      </c>
      <c r="C628" s="2" t="s">
        <v>38</v>
      </c>
      <c r="L628" s="48" t="s">
        <v>569</v>
      </c>
    </row>
    <row r="629" spans="1:12" x14ac:dyDescent="0.2">
      <c r="A629" s="2" t="s">
        <v>559</v>
      </c>
      <c r="B629" s="36">
        <v>2</v>
      </c>
      <c r="C629" s="2" t="s">
        <v>104</v>
      </c>
      <c r="E629" s="2" t="s">
        <v>1123</v>
      </c>
      <c r="F629" s="2" t="s">
        <v>567</v>
      </c>
      <c r="G629" s="2" t="s">
        <v>568</v>
      </c>
      <c r="H629" s="2" t="s">
        <v>111</v>
      </c>
      <c r="L629" s="48" t="str">
        <f>_xlfn.TEXTJOIN("", TRUE, D629:J629)</f>
        <v>02_Slots/Gottheit/Goetter-mit-Epitheta/0070_Anubis/epitheta/02_nb-tA-Dsr/0001_nb-tA-Dsr_01.png</v>
      </c>
    </row>
    <row r="630" spans="1:12" x14ac:dyDescent="0.2">
      <c r="A630" s="2" t="s">
        <v>559</v>
      </c>
      <c r="B630" s="36">
        <v>2</v>
      </c>
      <c r="C630" s="2" t="s">
        <v>26</v>
      </c>
      <c r="L630" s="48" t="s">
        <v>570</v>
      </c>
    </row>
    <row r="631" spans="1:12" x14ac:dyDescent="0.2">
      <c r="A631" s="2" t="s">
        <v>559</v>
      </c>
      <c r="B631" s="36">
        <v>2</v>
      </c>
      <c r="C631" s="2" t="s">
        <v>1561</v>
      </c>
      <c r="L631" s="48">
        <v>400939</v>
      </c>
    </row>
    <row r="633" spans="1:12" x14ac:dyDescent="0.2">
      <c r="A633" s="2" t="s">
        <v>559</v>
      </c>
      <c r="B633" s="36">
        <v>3</v>
      </c>
      <c r="C633" s="2" t="s">
        <v>38</v>
      </c>
      <c r="L633" s="48" t="s">
        <v>571</v>
      </c>
    </row>
    <row r="634" spans="1:12" x14ac:dyDescent="0.2">
      <c r="A634" s="2" t="s">
        <v>559</v>
      </c>
      <c r="B634" s="36">
        <v>3</v>
      </c>
      <c r="C634" s="2" t="s">
        <v>104</v>
      </c>
      <c r="E634" s="2" t="s">
        <v>1123</v>
      </c>
      <c r="F634" s="2" t="s">
        <v>573</v>
      </c>
      <c r="G634" s="2" t="s">
        <v>574</v>
      </c>
      <c r="H634" s="2" t="s">
        <v>111</v>
      </c>
      <c r="L634" s="48" t="str">
        <f>_xlfn.TEXTJOIN("", TRUE, D634:J634)</f>
        <v>02_Slots/Gottheit/Goetter-mit-Epitheta/0070_Anubis/epitheta/03_tp.j-Dw=f/0001_tp.j-Dw=f_01.png</v>
      </c>
    </row>
    <row r="635" spans="1:12" x14ac:dyDescent="0.2">
      <c r="A635" s="2" t="s">
        <v>559</v>
      </c>
      <c r="B635" s="36">
        <v>3</v>
      </c>
      <c r="C635" s="2" t="s">
        <v>104</v>
      </c>
      <c r="E635" s="2" t="s">
        <v>1123</v>
      </c>
      <c r="F635" s="2" t="s">
        <v>573</v>
      </c>
      <c r="G635" s="2" t="s">
        <v>575</v>
      </c>
      <c r="H635" s="2" t="s">
        <v>111</v>
      </c>
      <c r="L635" s="48" t="str">
        <f>_xlfn.TEXTJOIN("", TRUE, D635:J635)</f>
        <v>02_Slots/Gottheit/Goetter-mit-Epitheta/0070_Anubis/epitheta/03_tp.j-Dw=f/0010_tp.j-Dw=f_02.png</v>
      </c>
    </row>
    <row r="636" spans="1:12" x14ac:dyDescent="0.2">
      <c r="A636" s="2" t="s">
        <v>559</v>
      </c>
      <c r="B636" s="36">
        <v>3</v>
      </c>
      <c r="C636" s="2" t="s">
        <v>104</v>
      </c>
      <c r="E636" s="2" t="s">
        <v>1123</v>
      </c>
      <c r="F636" s="2" t="s">
        <v>573</v>
      </c>
      <c r="G636" s="2" t="s">
        <v>576</v>
      </c>
      <c r="H636" s="2" t="s">
        <v>111</v>
      </c>
      <c r="L636" s="48" t="str">
        <f>_xlfn.TEXTJOIN("", TRUE, D636:J636)</f>
        <v>02_Slots/Gottheit/Goetter-mit-Epitheta/0070_Anubis/epitheta/03_tp.j-Dw=f/0020_tp.j.Dw=f_03.png</v>
      </c>
    </row>
    <row r="637" spans="1:12" x14ac:dyDescent="0.2">
      <c r="A637" s="2" t="s">
        <v>559</v>
      </c>
      <c r="B637" s="36">
        <v>3</v>
      </c>
      <c r="C637" s="2" t="s">
        <v>104</v>
      </c>
      <c r="E637" s="2" t="s">
        <v>1123</v>
      </c>
      <c r="F637" s="2" t="s">
        <v>573</v>
      </c>
      <c r="G637" s="2" t="s">
        <v>577</v>
      </c>
      <c r="H637" s="2" t="s">
        <v>111</v>
      </c>
      <c r="I637" s="2" t="s">
        <v>1090</v>
      </c>
      <c r="J637" s="2" t="s">
        <v>1049</v>
      </c>
      <c r="K637" s="2" t="s">
        <v>1092</v>
      </c>
      <c r="L637" s="48" t="str">
        <f>_xlfn.TEXTJOIN("", TRUE, D637:K637)</f>
        <v>02_Slots/Gottheit/Goetter-mit-Epitheta/0070_Anubis/epitheta/03_tp.j-Dw=f/0030_tp.j-Dw=f_NR_01.png &lt;sup&gt;(NR)&lt;/sup&gt;</v>
      </c>
    </row>
    <row r="638" spans="1:12" x14ac:dyDescent="0.2">
      <c r="A638" s="2" t="s">
        <v>559</v>
      </c>
      <c r="B638" s="36">
        <v>3</v>
      </c>
      <c r="C638" s="2" t="s">
        <v>26</v>
      </c>
      <c r="L638" s="48" t="s">
        <v>572</v>
      </c>
    </row>
    <row r="639" spans="1:12" x14ac:dyDescent="0.2">
      <c r="A639" s="2" t="s">
        <v>559</v>
      </c>
      <c r="B639" s="36">
        <v>3</v>
      </c>
      <c r="C639" s="2" t="s">
        <v>1561</v>
      </c>
      <c r="L639" s="48">
        <v>600421</v>
      </c>
    </row>
    <row r="641" spans="1:12" x14ac:dyDescent="0.2">
      <c r="A641" s="2" t="s">
        <v>559</v>
      </c>
      <c r="B641" s="36">
        <v>4</v>
      </c>
      <c r="C641" s="2" t="s">
        <v>38</v>
      </c>
      <c r="L641" s="48" t="s">
        <v>578</v>
      </c>
    </row>
    <row r="642" spans="1:12" x14ac:dyDescent="0.2">
      <c r="A642" s="2" t="s">
        <v>559</v>
      </c>
      <c r="B642" s="36">
        <v>4</v>
      </c>
      <c r="C642" s="2" t="s">
        <v>104</v>
      </c>
      <c r="E642" s="2" t="s">
        <v>1123</v>
      </c>
      <c r="F642" s="2" t="s">
        <v>580</v>
      </c>
      <c r="G642" s="2" t="s">
        <v>581</v>
      </c>
      <c r="H642" s="2" t="s">
        <v>111</v>
      </c>
      <c r="I642" s="2" t="s">
        <v>1090</v>
      </c>
      <c r="J642" s="2" t="s">
        <v>1091</v>
      </c>
      <c r="K642" s="2" t="s">
        <v>1092</v>
      </c>
      <c r="L642" s="48" t="str">
        <f t="shared" ref="L642:L650" si="87">_xlfn.TEXTJOIN("", TRUE, D642:K642)</f>
        <v>02_Slots/Gottheit/Goetter-mit-Epitheta/0070_Anubis/epitheta/04_xnt.j-sH-nTr/0001_xnt.j-sH-nTr_AR_01.png &lt;sup&gt;(AR)&lt;/sup&gt;</v>
      </c>
    </row>
    <row r="643" spans="1:12" x14ac:dyDescent="0.2">
      <c r="A643" s="2" t="s">
        <v>559</v>
      </c>
      <c r="B643" s="36">
        <v>4</v>
      </c>
      <c r="C643" s="2" t="s">
        <v>104</v>
      </c>
      <c r="E643" s="2" t="s">
        <v>1123</v>
      </c>
      <c r="F643" s="2" t="s">
        <v>580</v>
      </c>
      <c r="G643" s="2" t="s">
        <v>582</v>
      </c>
      <c r="H643" s="2" t="s">
        <v>111</v>
      </c>
      <c r="I643" s="2" t="s">
        <v>1090</v>
      </c>
      <c r="J643" s="2" t="s">
        <v>1091</v>
      </c>
      <c r="K643" s="2" t="s">
        <v>1092</v>
      </c>
      <c r="L643" s="48" t="str">
        <f t="shared" si="87"/>
        <v>02_Slots/Gottheit/Goetter-mit-Epitheta/0070_Anubis/epitheta/04_xnt.j-sH-nTr/0010_xnt.j-sH-nTr_AR_02.png &lt;sup&gt;(AR)&lt;/sup&gt;</v>
      </c>
    </row>
    <row r="644" spans="1:12" x14ac:dyDescent="0.2">
      <c r="A644" s="2" t="s">
        <v>559</v>
      </c>
      <c r="B644" s="36">
        <v>4</v>
      </c>
      <c r="C644" s="2" t="s">
        <v>104</v>
      </c>
      <c r="E644" s="2" t="s">
        <v>1123</v>
      </c>
      <c r="F644" s="2" t="s">
        <v>580</v>
      </c>
      <c r="G644" s="2" t="s">
        <v>583</v>
      </c>
      <c r="H644" s="2" t="s">
        <v>111</v>
      </c>
      <c r="I644" s="2" t="s">
        <v>1090</v>
      </c>
      <c r="J644" s="2" t="s">
        <v>1091</v>
      </c>
      <c r="K644" s="2" t="s">
        <v>1092</v>
      </c>
      <c r="L644" s="48" t="str">
        <f t="shared" si="87"/>
        <v>02_Slots/Gottheit/Goetter-mit-Epitheta/0070_Anubis/epitheta/04_xnt.j-sH-nTr/0020_xnt.j-sH-nTr_AR_03.png &lt;sup&gt;(AR)&lt;/sup&gt;</v>
      </c>
    </row>
    <row r="645" spans="1:12" x14ac:dyDescent="0.2">
      <c r="A645" s="2" t="s">
        <v>559</v>
      </c>
      <c r="B645" s="36">
        <v>4</v>
      </c>
      <c r="C645" s="2" t="s">
        <v>104</v>
      </c>
      <c r="E645" s="2" t="s">
        <v>1123</v>
      </c>
      <c r="F645" s="2" t="s">
        <v>580</v>
      </c>
      <c r="G645" s="2" t="s">
        <v>584</v>
      </c>
      <c r="H645" s="2" t="s">
        <v>111</v>
      </c>
      <c r="I645" s="2" t="s">
        <v>1090</v>
      </c>
      <c r="J645" s="2" t="s">
        <v>1094</v>
      </c>
      <c r="K645" s="2" t="s">
        <v>1092</v>
      </c>
      <c r="L645" s="48" t="str">
        <f t="shared" si="87"/>
        <v>02_Slots/Gottheit/Goetter-mit-Epitheta/0070_Anubis/epitheta/04_xnt.j-sH-nTr/0030_xnt.j-sH-nTr_MR_01.png &lt;sup&gt;(MR)&lt;/sup&gt;</v>
      </c>
    </row>
    <row r="646" spans="1:12" x14ac:dyDescent="0.2">
      <c r="A646" s="2" t="s">
        <v>559</v>
      </c>
      <c r="B646" s="36">
        <v>4</v>
      </c>
      <c r="C646" s="2" t="s">
        <v>104</v>
      </c>
      <c r="E646" s="2" t="s">
        <v>1123</v>
      </c>
      <c r="F646" s="2" t="s">
        <v>580</v>
      </c>
      <c r="G646" s="2" t="s">
        <v>585</v>
      </c>
      <c r="H646" s="2" t="s">
        <v>111</v>
      </c>
      <c r="I646" s="2" t="s">
        <v>1090</v>
      </c>
      <c r="J646" s="2" t="s">
        <v>1094</v>
      </c>
      <c r="K646" s="2" t="s">
        <v>1092</v>
      </c>
      <c r="L646" s="48" t="str">
        <f t="shared" si="87"/>
        <v>02_Slots/Gottheit/Goetter-mit-Epitheta/0070_Anubis/epitheta/04_xnt.j-sH-nTr/0040_xnt.j-sH-nTr_MR_02.png &lt;sup&gt;(MR)&lt;/sup&gt;</v>
      </c>
    </row>
    <row r="647" spans="1:12" x14ac:dyDescent="0.2">
      <c r="A647" s="2" t="s">
        <v>559</v>
      </c>
      <c r="B647" s="36">
        <v>4</v>
      </c>
      <c r="C647" s="2" t="s">
        <v>104</v>
      </c>
      <c r="E647" s="2" t="s">
        <v>1123</v>
      </c>
      <c r="F647" s="2" t="s">
        <v>580</v>
      </c>
      <c r="G647" s="2" t="s">
        <v>586</v>
      </c>
      <c r="H647" s="2" t="s">
        <v>111</v>
      </c>
      <c r="I647" s="2" t="s">
        <v>1090</v>
      </c>
      <c r="J647" s="2" t="s">
        <v>1098</v>
      </c>
      <c r="K647" s="2" t="s">
        <v>1092</v>
      </c>
      <c r="L647" s="48" t="str">
        <f t="shared" si="87"/>
        <v>02_Slots/Gottheit/Goetter-mit-Epitheta/0070_Anubis/epitheta/04_xnt.j-sH-nTr/0050_xnt.j-sH-nTr_D.18_01.png &lt;sup&gt;(D.18)&lt;/sup&gt;</v>
      </c>
    </row>
    <row r="648" spans="1:12" x14ac:dyDescent="0.2">
      <c r="A648" s="2" t="s">
        <v>559</v>
      </c>
      <c r="B648" s="36">
        <v>4</v>
      </c>
      <c r="C648" s="2" t="s">
        <v>104</v>
      </c>
      <c r="E648" s="2" t="s">
        <v>1123</v>
      </c>
      <c r="F648" s="2" t="s">
        <v>580</v>
      </c>
      <c r="G648" s="2" t="s">
        <v>587</v>
      </c>
      <c r="H648" s="2" t="s">
        <v>111</v>
      </c>
      <c r="I648" s="2" t="s">
        <v>1090</v>
      </c>
      <c r="J648" s="2" t="s">
        <v>1093</v>
      </c>
      <c r="K648" s="2" t="s">
        <v>1092</v>
      </c>
      <c r="L648" s="48" t="str">
        <f t="shared" si="87"/>
        <v>02_Slots/Gottheit/Goetter-mit-Epitheta/0070_Anubis/epitheta/04_xnt.j-sH-nTr/0060_xnt.j-sH-nTr_GR_01.png &lt;sup&gt;(Gr.)&lt;/sup&gt;</v>
      </c>
    </row>
    <row r="649" spans="1:12" x14ac:dyDescent="0.2">
      <c r="A649" s="2" t="s">
        <v>559</v>
      </c>
      <c r="B649" s="36">
        <v>4</v>
      </c>
      <c r="C649" s="2" t="s">
        <v>104</v>
      </c>
      <c r="E649" s="2" t="s">
        <v>1123</v>
      </c>
      <c r="F649" s="2" t="s">
        <v>580</v>
      </c>
      <c r="G649" s="2" t="s">
        <v>588</v>
      </c>
      <c r="H649" s="2" t="s">
        <v>111</v>
      </c>
      <c r="I649" s="2" t="s">
        <v>1090</v>
      </c>
      <c r="J649" s="2" t="s">
        <v>1093</v>
      </c>
      <c r="K649" s="2" t="s">
        <v>1092</v>
      </c>
      <c r="L649" s="48" t="str">
        <f t="shared" si="87"/>
        <v>02_Slots/Gottheit/Goetter-mit-Epitheta/0070_Anubis/epitheta/04_xnt.j-sH-nTr/0070_xnt.j-sH-nTr_GR_02.png &lt;sup&gt;(Gr.)&lt;/sup&gt;</v>
      </c>
    </row>
    <row r="650" spans="1:12" x14ac:dyDescent="0.2">
      <c r="A650" s="2" t="s">
        <v>559</v>
      </c>
      <c r="B650" s="36">
        <v>4</v>
      </c>
      <c r="C650" s="2" t="s">
        <v>104</v>
      </c>
      <c r="E650" s="2" t="s">
        <v>1123</v>
      </c>
      <c r="F650" s="2" t="s">
        <v>580</v>
      </c>
      <c r="G650" s="2" t="s">
        <v>589</v>
      </c>
      <c r="H650" s="2" t="s">
        <v>111</v>
      </c>
      <c r="I650" s="2" t="s">
        <v>1090</v>
      </c>
      <c r="J650" s="2" t="s">
        <v>1093</v>
      </c>
      <c r="K650" s="2" t="s">
        <v>1092</v>
      </c>
      <c r="L650" s="48" t="str">
        <f t="shared" si="87"/>
        <v>02_Slots/Gottheit/Goetter-mit-Epitheta/0070_Anubis/epitheta/04_xnt.j-sH-nTr/0080_xnt.j-sH-nTr_GR_03.png &lt;sup&gt;(Gr.)&lt;/sup&gt;</v>
      </c>
    </row>
    <row r="651" spans="1:12" x14ac:dyDescent="0.2">
      <c r="A651" s="2" t="s">
        <v>559</v>
      </c>
      <c r="B651" s="36">
        <v>4</v>
      </c>
      <c r="C651" s="2" t="s">
        <v>26</v>
      </c>
      <c r="L651" s="48" t="s">
        <v>579</v>
      </c>
    </row>
    <row r="652" spans="1:12" x14ac:dyDescent="0.2">
      <c r="A652" s="2" t="s">
        <v>559</v>
      </c>
      <c r="B652" s="36">
        <v>4</v>
      </c>
      <c r="C652" s="2" t="s">
        <v>1561</v>
      </c>
      <c r="L652" s="48">
        <v>119260</v>
      </c>
    </row>
    <row r="658" spans="1:12" x14ac:dyDescent="0.2">
      <c r="A658" s="2" t="s">
        <v>59</v>
      </c>
      <c r="B658" s="42">
        <v>80</v>
      </c>
      <c r="C658" s="2" t="s">
        <v>38</v>
      </c>
      <c r="L658" s="48" t="s">
        <v>590</v>
      </c>
    </row>
    <row r="659" spans="1:12" x14ac:dyDescent="0.2">
      <c r="A659" s="2" t="s">
        <v>59</v>
      </c>
      <c r="B659" s="42">
        <v>80</v>
      </c>
      <c r="C659" s="2" t="s">
        <v>104</v>
      </c>
      <c r="E659" s="2" t="s">
        <v>1124</v>
      </c>
      <c r="G659" s="2" t="s">
        <v>591</v>
      </c>
      <c r="H659" s="2" t="s">
        <v>111</v>
      </c>
      <c r="L659" s="48" t="str">
        <f t="shared" ref="L659:L661" si="88">_xlfn.TEXTJOIN("", TRUE, D659:J659)</f>
        <v>02_Slots/Gottheit/Goetter-mit-Epitheta/0080_Atum/0001_Jtm_01.png</v>
      </c>
    </row>
    <row r="660" spans="1:12" x14ac:dyDescent="0.2">
      <c r="A660" s="2" t="s">
        <v>59</v>
      </c>
      <c r="B660" s="42">
        <v>80</v>
      </c>
      <c r="C660" s="2" t="s">
        <v>104</v>
      </c>
      <c r="E660" s="2" t="s">
        <v>1124</v>
      </c>
      <c r="G660" s="2" t="s">
        <v>592</v>
      </c>
      <c r="H660" s="2" t="s">
        <v>111</v>
      </c>
      <c r="L660" s="48" t="str">
        <f t="shared" si="88"/>
        <v>02_Slots/Gottheit/Goetter-mit-Epitheta/0080_Atum/0010_Jtm_02.png</v>
      </c>
    </row>
    <row r="661" spans="1:12" x14ac:dyDescent="0.2">
      <c r="A661" s="2" t="s">
        <v>59</v>
      </c>
      <c r="B661" s="42">
        <v>80</v>
      </c>
      <c r="C661" s="2" t="s">
        <v>104</v>
      </c>
      <c r="E661" s="2" t="s">
        <v>1124</v>
      </c>
      <c r="G661" s="2" t="s">
        <v>593</v>
      </c>
      <c r="H661" s="2" t="s">
        <v>111</v>
      </c>
      <c r="L661" s="48" t="str">
        <f t="shared" si="88"/>
        <v>02_Slots/Gottheit/Goetter-mit-Epitheta/0080_Atum/0020_Jtm_03.png</v>
      </c>
    </row>
    <row r="662" spans="1:12" x14ac:dyDescent="0.2">
      <c r="A662" s="2" t="s">
        <v>59</v>
      </c>
      <c r="B662" s="42">
        <v>80</v>
      </c>
      <c r="C662" s="2" t="s">
        <v>104</v>
      </c>
      <c r="E662" s="2" t="s">
        <v>1124</v>
      </c>
      <c r="G662" s="2" t="s">
        <v>594</v>
      </c>
      <c r="H662" s="2" t="s">
        <v>111</v>
      </c>
      <c r="I662" s="2" t="s">
        <v>1090</v>
      </c>
      <c r="J662" s="2" t="s">
        <v>1094</v>
      </c>
      <c r="K662" s="2" t="s">
        <v>1092</v>
      </c>
      <c r="L662" s="48" t="str">
        <f t="shared" ref="L662:L665" si="89">_xlfn.TEXTJOIN("", TRUE, D662:K662)</f>
        <v>02_Slots/Gottheit/Goetter-mit-Epitheta/0080_Atum/0030_Jtm_MR_01.png &lt;sup&gt;(MR)&lt;/sup&gt;</v>
      </c>
    </row>
    <row r="663" spans="1:12" x14ac:dyDescent="0.2">
      <c r="A663" s="2" t="s">
        <v>59</v>
      </c>
      <c r="B663" s="42">
        <v>80</v>
      </c>
      <c r="C663" s="2" t="s">
        <v>104</v>
      </c>
      <c r="E663" s="2" t="s">
        <v>1124</v>
      </c>
      <c r="G663" s="2" t="s">
        <v>595</v>
      </c>
      <c r="H663" s="2" t="s">
        <v>111</v>
      </c>
      <c r="I663" s="2" t="s">
        <v>1090</v>
      </c>
      <c r="J663" s="2" t="s">
        <v>1094</v>
      </c>
      <c r="K663" s="2" t="s">
        <v>1092</v>
      </c>
      <c r="L663" s="48" t="str">
        <f t="shared" si="89"/>
        <v>02_Slots/Gottheit/Goetter-mit-Epitheta/0080_Atum/0040_Jtm_MR_02.png &lt;sup&gt;(MR)&lt;/sup&gt;</v>
      </c>
    </row>
    <row r="664" spans="1:12" x14ac:dyDescent="0.2">
      <c r="A664" s="2" t="s">
        <v>59</v>
      </c>
      <c r="B664" s="42">
        <v>80</v>
      </c>
      <c r="C664" s="2" t="s">
        <v>104</v>
      </c>
      <c r="E664" s="2" t="s">
        <v>1124</v>
      </c>
      <c r="G664" s="2" t="s">
        <v>596</v>
      </c>
      <c r="H664" s="2" t="s">
        <v>111</v>
      </c>
      <c r="I664" s="2" t="s">
        <v>1090</v>
      </c>
      <c r="J664" s="2" t="s">
        <v>1049</v>
      </c>
      <c r="K664" s="2" t="s">
        <v>1092</v>
      </c>
      <c r="L664" s="48" t="str">
        <f t="shared" si="89"/>
        <v>02_Slots/Gottheit/Goetter-mit-Epitheta/0080_Atum/0050_Jtm_NR_01.png &lt;sup&gt;(NR)&lt;/sup&gt;</v>
      </c>
    </row>
    <row r="665" spans="1:12" x14ac:dyDescent="0.2">
      <c r="A665" s="2" t="s">
        <v>59</v>
      </c>
      <c r="B665" s="42">
        <v>80</v>
      </c>
      <c r="C665" s="2" t="s">
        <v>104</v>
      </c>
      <c r="E665" s="2" t="s">
        <v>1124</v>
      </c>
      <c r="G665" s="2" t="s">
        <v>597</v>
      </c>
      <c r="H665" s="2" t="s">
        <v>111</v>
      </c>
      <c r="I665" s="2" t="s">
        <v>1090</v>
      </c>
      <c r="J665" s="2" t="s">
        <v>1099</v>
      </c>
      <c r="K665" s="2" t="s">
        <v>1092</v>
      </c>
      <c r="L665" s="48" t="str">
        <f t="shared" si="89"/>
        <v>02_Slots/Gottheit/Goetter-mit-Epitheta/0080_Atum/0060_Jtm_SP_01.png &lt;sup&gt;(Sp.)&lt;/sup&gt;</v>
      </c>
    </row>
    <row r="666" spans="1:12" x14ac:dyDescent="0.2">
      <c r="A666" s="2" t="s">
        <v>59</v>
      </c>
      <c r="B666" s="42">
        <v>80</v>
      </c>
      <c r="C666" s="2" t="s">
        <v>105</v>
      </c>
    </row>
    <row r="667" spans="1:12" x14ac:dyDescent="0.2">
      <c r="A667" s="2" t="s">
        <v>59</v>
      </c>
      <c r="B667" s="42">
        <v>80</v>
      </c>
      <c r="C667" s="2" t="s">
        <v>106</v>
      </c>
      <c r="L667" s="48" t="s">
        <v>130</v>
      </c>
    </row>
    <row r="668" spans="1:12" x14ac:dyDescent="0.2">
      <c r="A668" s="2" t="s">
        <v>59</v>
      </c>
      <c r="B668" s="42">
        <v>80</v>
      </c>
      <c r="C668" s="2" t="s">
        <v>107</v>
      </c>
      <c r="L668" s="48" t="s">
        <v>1066</v>
      </c>
    </row>
    <row r="669" spans="1:12" x14ac:dyDescent="0.2">
      <c r="A669" s="2" t="s">
        <v>59</v>
      </c>
      <c r="B669" s="42">
        <v>80</v>
      </c>
      <c r="C669" s="2" t="s">
        <v>1561</v>
      </c>
      <c r="L669" s="48">
        <v>33040</v>
      </c>
    </row>
    <row r="671" spans="1:12" x14ac:dyDescent="0.2">
      <c r="A671" s="2" t="s">
        <v>599</v>
      </c>
      <c r="B671" s="36">
        <v>1</v>
      </c>
      <c r="C671" s="2" t="s">
        <v>38</v>
      </c>
      <c r="L671" s="48" t="s">
        <v>602</v>
      </c>
    </row>
    <row r="672" spans="1:12" x14ac:dyDescent="0.2">
      <c r="A672" s="2" t="s">
        <v>599</v>
      </c>
      <c r="B672" s="36">
        <v>1</v>
      </c>
      <c r="C672" s="2" t="s">
        <v>104</v>
      </c>
      <c r="E672" s="2" t="s">
        <v>1124</v>
      </c>
      <c r="F672" s="2" t="s">
        <v>600</v>
      </c>
      <c r="G672" s="2" t="s">
        <v>601</v>
      </c>
      <c r="H672" s="2" t="s">
        <v>111</v>
      </c>
      <c r="L672" s="48" t="str">
        <f>_xlfn.TEXTJOIN("", TRUE, D672:J672)</f>
        <v>02_Slots/Gottheit/Goetter-mit-Epitheta/0080_Atum/epitheta/01_jwnwy/0001_jwnwy_01.png</v>
      </c>
    </row>
    <row r="673" spans="1:12" ht="17" customHeight="1" x14ac:dyDescent="0.2">
      <c r="A673" s="2" t="s">
        <v>599</v>
      </c>
      <c r="B673" s="36">
        <v>1</v>
      </c>
      <c r="C673" s="2" t="s">
        <v>104</v>
      </c>
      <c r="E673" s="2" t="s">
        <v>1124</v>
      </c>
      <c r="F673" s="2" t="s">
        <v>600</v>
      </c>
      <c r="G673" s="2" t="s">
        <v>603</v>
      </c>
      <c r="H673" s="2" t="s">
        <v>111</v>
      </c>
      <c r="L673" s="48" t="str">
        <f>_xlfn.TEXTJOIN("", TRUE, D673:J673)</f>
        <v>02_Slots/Gottheit/Goetter-mit-Epitheta/0080_Atum/epitheta/01_jwnwy/0010_jwnwy_02.png</v>
      </c>
    </row>
    <row r="674" spans="1:12" x14ac:dyDescent="0.2">
      <c r="A674" s="2" t="s">
        <v>599</v>
      </c>
      <c r="B674" s="36">
        <v>1</v>
      </c>
      <c r="C674" s="2" t="s">
        <v>26</v>
      </c>
      <c r="L674" s="48" t="s">
        <v>625</v>
      </c>
    </row>
    <row r="675" spans="1:12" x14ac:dyDescent="0.2">
      <c r="A675" s="2" t="s">
        <v>599</v>
      </c>
      <c r="B675" s="36">
        <v>1</v>
      </c>
      <c r="C675" s="2" t="s">
        <v>1561</v>
      </c>
      <c r="L675" s="48">
        <v>22900</v>
      </c>
    </row>
    <row r="678" spans="1:12" x14ac:dyDescent="0.2">
      <c r="A678" s="2" t="s">
        <v>59</v>
      </c>
      <c r="B678" s="42">
        <v>90</v>
      </c>
      <c r="C678" s="2" t="s">
        <v>38</v>
      </c>
      <c r="L678" s="48" t="s">
        <v>604</v>
      </c>
    </row>
    <row r="679" spans="1:12" x14ac:dyDescent="0.2">
      <c r="A679" s="2" t="s">
        <v>59</v>
      </c>
      <c r="B679" s="42">
        <v>90</v>
      </c>
      <c r="C679" s="2" t="s">
        <v>104</v>
      </c>
      <c r="E679" s="2" t="s">
        <v>1125</v>
      </c>
      <c r="G679" s="2" t="s">
        <v>605</v>
      </c>
      <c r="H679" s="2" t="s">
        <v>111</v>
      </c>
      <c r="L679" s="48" t="str">
        <f>_xlfn.TEXTJOIN("", TRUE, D679:J679)</f>
        <v>02_Slots/Gottheit/Goetter-mit-Epitheta/0090_Aton/0001_jtn_01.png</v>
      </c>
    </row>
    <row r="680" spans="1:12" x14ac:dyDescent="0.2">
      <c r="A680" s="2" t="s">
        <v>59</v>
      </c>
      <c r="B680" s="42">
        <v>90</v>
      </c>
      <c r="C680" s="2" t="s">
        <v>104</v>
      </c>
      <c r="E680" s="2" t="s">
        <v>1125</v>
      </c>
      <c r="G680" s="2" t="s">
        <v>606</v>
      </c>
      <c r="H680" s="2" t="s">
        <v>111</v>
      </c>
      <c r="L680" s="48" t="str">
        <f>_xlfn.TEXTJOIN("", TRUE, D680:J680)</f>
        <v>02_Slots/Gottheit/Goetter-mit-Epitheta/0090_Aton/0010_jtn_02.png</v>
      </c>
    </row>
    <row r="681" spans="1:12" x14ac:dyDescent="0.2">
      <c r="A681" s="2" t="s">
        <v>59</v>
      </c>
      <c r="B681" s="42">
        <v>90</v>
      </c>
      <c r="C681" s="2" t="s">
        <v>104</v>
      </c>
      <c r="E681" s="2" t="s">
        <v>1125</v>
      </c>
      <c r="G681" s="2" t="s">
        <v>607</v>
      </c>
      <c r="H681" s="2" t="s">
        <v>111</v>
      </c>
      <c r="I681" s="2" t="s">
        <v>1090</v>
      </c>
      <c r="J681" s="2" t="s">
        <v>1098</v>
      </c>
      <c r="K681" s="2" t="s">
        <v>1092</v>
      </c>
      <c r="L681" s="48" t="str">
        <f t="shared" ref="L681:L683" si="90">_xlfn.TEXTJOIN("", TRUE, D681:K681)</f>
        <v>02_Slots/Gottheit/Goetter-mit-Epitheta/0090_Aton/0020_jtn_D.18_01.png &lt;sup&gt;(D.18)&lt;/sup&gt;</v>
      </c>
    </row>
    <row r="682" spans="1:12" x14ac:dyDescent="0.2">
      <c r="A682" s="2" t="s">
        <v>59</v>
      </c>
      <c r="B682" s="42">
        <v>90</v>
      </c>
      <c r="C682" s="2" t="s">
        <v>104</v>
      </c>
      <c r="E682" s="2" t="s">
        <v>1125</v>
      </c>
      <c r="G682" s="2" t="s">
        <v>608</v>
      </c>
      <c r="H682" s="2" t="s">
        <v>111</v>
      </c>
      <c r="I682" s="2" t="s">
        <v>1090</v>
      </c>
      <c r="J682" s="2" t="s">
        <v>1093</v>
      </c>
      <c r="K682" s="2" t="s">
        <v>1092</v>
      </c>
      <c r="L682" s="48" t="str">
        <f t="shared" si="90"/>
        <v>02_Slots/Gottheit/Goetter-mit-Epitheta/0090_Aton/0030_jtn_GR_01.png &lt;sup&gt;(Gr.)&lt;/sup&gt;</v>
      </c>
    </row>
    <row r="683" spans="1:12" x14ac:dyDescent="0.2">
      <c r="A683" s="2" t="s">
        <v>59</v>
      </c>
      <c r="B683" s="42">
        <v>90</v>
      </c>
      <c r="C683" s="2" t="s">
        <v>104</v>
      </c>
      <c r="E683" s="2" t="s">
        <v>1125</v>
      </c>
      <c r="G683" s="2" t="s">
        <v>609</v>
      </c>
      <c r="H683" s="2" t="s">
        <v>111</v>
      </c>
      <c r="I683" s="2" t="s">
        <v>1090</v>
      </c>
      <c r="J683" s="2" t="s">
        <v>1093</v>
      </c>
      <c r="K683" s="2" t="s">
        <v>1092</v>
      </c>
      <c r="L683" s="48" t="str">
        <f t="shared" si="90"/>
        <v>02_Slots/Gottheit/Goetter-mit-Epitheta/0090_Aton/0040_jtn_GR_02.png &lt;sup&gt;(Gr.)&lt;/sup&gt;</v>
      </c>
    </row>
    <row r="684" spans="1:12" x14ac:dyDescent="0.2">
      <c r="A684" s="2" t="s">
        <v>59</v>
      </c>
      <c r="B684" s="42">
        <v>90</v>
      </c>
      <c r="C684" s="2" t="s">
        <v>105</v>
      </c>
    </row>
    <row r="685" spans="1:12" x14ac:dyDescent="0.2">
      <c r="A685" s="2" t="s">
        <v>59</v>
      </c>
      <c r="B685" s="42">
        <v>90</v>
      </c>
      <c r="C685" s="2" t="s">
        <v>106</v>
      </c>
      <c r="L685" s="48" t="s">
        <v>131</v>
      </c>
    </row>
    <row r="686" spans="1:12" x14ac:dyDescent="0.2">
      <c r="A686" s="2" t="s">
        <v>59</v>
      </c>
      <c r="B686" s="42">
        <v>90</v>
      </c>
      <c r="C686" s="2" t="s">
        <v>107</v>
      </c>
      <c r="L686" s="48" t="s">
        <v>1067</v>
      </c>
    </row>
    <row r="687" spans="1:12" x14ac:dyDescent="0.2">
      <c r="A687" s="2" t="s">
        <v>59</v>
      </c>
      <c r="B687" s="42">
        <v>90</v>
      </c>
      <c r="C687" s="2" t="s">
        <v>1561</v>
      </c>
      <c r="L687" s="48">
        <v>850317</v>
      </c>
    </row>
    <row r="689" spans="1:12" x14ac:dyDescent="0.2">
      <c r="A689" s="2" t="s">
        <v>598</v>
      </c>
      <c r="B689" s="36">
        <v>1</v>
      </c>
      <c r="C689" s="2" t="s">
        <v>38</v>
      </c>
      <c r="L689" s="48" t="s">
        <v>1275</v>
      </c>
    </row>
    <row r="690" spans="1:12" x14ac:dyDescent="0.2">
      <c r="A690" s="2" t="s">
        <v>598</v>
      </c>
      <c r="B690" s="36">
        <v>1</v>
      </c>
      <c r="C690" s="2" t="s">
        <v>104</v>
      </c>
      <c r="E690" s="2" t="s">
        <v>1125</v>
      </c>
      <c r="F690" s="2" t="s">
        <v>1279</v>
      </c>
      <c r="G690" s="2" t="s">
        <v>610</v>
      </c>
      <c r="H690" s="2" t="s">
        <v>111</v>
      </c>
      <c r="L690" s="48" t="str">
        <f>_xlfn.TEXTJOIN("", TRUE, D690:J690)</f>
        <v>02_Slots/Gottheit/Goetter-mit-Epitheta/0090_Aton/epitheta/01_anx-Hr-Ax.tj-Hay-m-Ax.t-m-rn=f-m-jt-Ra-jj-m-jtn/0001_anx-Hr-Ax.tj-Hay-m-Ax.t_01.png</v>
      </c>
    </row>
    <row r="691" spans="1:12" x14ac:dyDescent="0.2">
      <c r="A691" s="2" t="s">
        <v>598</v>
      </c>
      <c r="B691" s="36">
        <v>1</v>
      </c>
      <c r="C691" s="2" t="s">
        <v>104</v>
      </c>
      <c r="E691" s="2" t="s">
        <v>1125</v>
      </c>
      <c r="F691" s="2" t="s">
        <v>1279</v>
      </c>
      <c r="G691" s="2" t="s">
        <v>1280</v>
      </c>
      <c r="H691" s="2" t="s">
        <v>111</v>
      </c>
      <c r="L691" s="48" t="str">
        <f>_xlfn.TEXTJOIN("", TRUE, D691:J691)</f>
        <v>02_Slots/Gottheit/Goetter-mit-Epitheta/0090_Aton/epitheta/01_anx-Hr-Ax.tj-Hay-m-Ax.t-m-rn=f-m-jt-Ra-jj-m-jtn/0010_m-rn=f-m-jt-Ra-jj-m-jtn_01.png</v>
      </c>
    </row>
    <row r="692" spans="1:12" x14ac:dyDescent="0.2">
      <c r="A692" s="2" t="s">
        <v>598</v>
      </c>
      <c r="B692" s="36">
        <v>1</v>
      </c>
      <c r="C692" s="2" t="s">
        <v>26</v>
      </c>
      <c r="L692" s="48" t="s">
        <v>1276</v>
      </c>
    </row>
    <row r="694" spans="1:12" x14ac:dyDescent="0.2">
      <c r="A694" s="2" t="s">
        <v>598</v>
      </c>
      <c r="B694" s="36">
        <v>2</v>
      </c>
      <c r="C694" s="2" t="s">
        <v>38</v>
      </c>
      <c r="L694" s="48" t="s">
        <v>1277</v>
      </c>
    </row>
    <row r="695" spans="1:12" x14ac:dyDescent="0.2">
      <c r="A695" s="2" t="s">
        <v>598</v>
      </c>
      <c r="B695" s="36">
        <v>2</v>
      </c>
      <c r="C695" s="2" t="s">
        <v>104</v>
      </c>
      <c r="E695" s="2" t="s">
        <v>1125</v>
      </c>
      <c r="F695" s="2" t="s">
        <v>1281</v>
      </c>
      <c r="G695" s="2" t="s">
        <v>611</v>
      </c>
      <c r="H695" s="2" t="s">
        <v>111</v>
      </c>
      <c r="L695" s="48" t="str">
        <f>_xlfn.TEXTJOIN("", TRUE, D695:J695)</f>
        <v>02_Slots/Gottheit/Goetter-mit-Epitheta/0090_Aton/epitheta/02_anx-ra-HqA-Ax.tj-Hay-m-Ax.t-m-rn=f-m-Sw-nty-m-jtn/0001_anx-ra-HqA-Ax.tj-Hay-m-Ax.t_01.png</v>
      </c>
    </row>
    <row r="696" spans="1:12" x14ac:dyDescent="0.2">
      <c r="A696" s="2" t="s">
        <v>598</v>
      </c>
      <c r="B696" s="36">
        <v>2</v>
      </c>
      <c r="C696" s="2" t="s">
        <v>104</v>
      </c>
      <c r="E696" s="2" t="s">
        <v>1125</v>
      </c>
      <c r="F696" s="2" t="s">
        <v>1281</v>
      </c>
      <c r="G696" s="2" t="s">
        <v>1282</v>
      </c>
      <c r="H696" s="2" t="s">
        <v>111</v>
      </c>
      <c r="L696" s="48" t="str">
        <f>_xlfn.TEXTJOIN("", TRUE, D696:J696)</f>
        <v>02_Slots/Gottheit/Goetter-mit-Epitheta/0090_Aton/epitheta/02_anx-ra-HqA-Ax.tj-Hay-m-Ax.t-m-rn=f-m-Sw-nty-m-jtn/0010_m-rn=f-m-Sw-nty-m-jtn_01.png</v>
      </c>
    </row>
    <row r="697" spans="1:12" x14ac:dyDescent="0.2">
      <c r="A697" s="2" t="s">
        <v>598</v>
      </c>
      <c r="B697" s="36">
        <v>2</v>
      </c>
      <c r="C697" s="2" t="s">
        <v>26</v>
      </c>
      <c r="L697" s="48" t="s">
        <v>1278</v>
      </c>
    </row>
    <row r="699" spans="1:12" x14ac:dyDescent="0.2">
      <c r="A699" s="2" t="s">
        <v>598</v>
      </c>
      <c r="B699" s="36">
        <v>6</v>
      </c>
      <c r="C699" s="2" t="s">
        <v>38</v>
      </c>
      <c r="L699" s="48" t="s">
        <v>616</v>
      </c>
    </row>
    <row r="700" spans="1:12" x14ac:dyDescent="0.2">
      <c r="A700" s="2" t="s">
        <v>598</v>
      </c>
      <c r="B700" s="36">
        <v>6</v>
      </c>
      <c r="C700" s="2" t="s">
        <v>104</v>
      </c>
      <c r="E700" s="2" t="s">
        <v>1125</v>
      </c>
      <c r="F700" s="2" t="s">
        <v>612</v>
      </c>
      <c r="G700" s="2" t="s">
        <v>614</v>
      </c>
      <c r="H700" s="2" t="s">
        <v>111</v>
      </c>
      <c r="I700" s="2" t="s">
        <v>1090</v>
      </c>
      <c r="J700" s="2" t="s">
        <v>1098</v>
      </c>
      <c r="K700" s="2" t="s">
        <v>1092</v>
      </c>
      <c r="L700" s="48" t="str">
        <f>_xlfn.TEXTJOIN("", TRUE, D700:K700)</f>
        <v>02_Slots/Gottheit/Goetter-mit-Epitheta/0090_Aton/epitheta/06_pA-jtn-anx/0001_pA-jtn-anx_D.18_01.png &lt;sup&gt;(D.18)&lt;/sup&gt;</v>
      </c>
    </row>
    <row r="701" spans="1:12" x14ac:dyDescent="0.2">
      <c r="A701" s="2" t="s">
        <v>598</v>
      </c>
      <c r="B701" s="36">
        <v>6</v>
      </c>
      <c r="C701" s="2" t="s">
        <v>26</v>
      </c>
      <c r="L701" s="48" t="s">
        <v>626</v>
      </c>
    </row>
    <row r="704" spans="1:12" x14ac:dyDescent="0.2">
      <c r="A704" s="2" t="s">
        <v>598</v>
      </c>
      <c r="B704" s="36">
        <v>8</v>
      </c>
      <c r="C704" s="2" t="s">
        <v>38</v>
      </c>
      <c r="L704" s="48" t="s">
        <v>618</v>
      </c>
    </row>
    <row r="705" spans="1:12" x14ac:dyDescent="0.2">
      <c r="A705" s="2" t="s">
        <v>598</v>
      </c>
      <c r="B705" s="36">
        <v>8</v>
      </c>
      <c r="C705" s="2" t="s">
        <v>104</v>
      </c>
      <c r="E705" s="2" t="s">
        <v>1125</v>
      </c>
      <c r="F705" s="2" t="s">
        <v>613</v>
      </c>
      <c r="G705" s="2" t="s">
        <v>615</v>
      </c>
      <c r="H705" s="2" t="s">
        <v>111</v>
      </c>
      <c r="L705" s="48" t="str">
        <f>_xlfn.TEXTJOIN("", TRUE, D705:J705)</f>
        <v>02_Slots/Gottheit/Goetter-mit-Epitheta/0090_Aton/epitheta/08_jmj-jtn=f/0001_jmj-jtn=f_01.png</v>
      </c>
    </row>
    <row r="706" spans="1:12" x14ac:dyDescent="0.2">
      <c r="A706" s="2" t="s">
        <v>598</v>
      </c>
      <c r="B706" s="36">
        <v>8</v>
      </c>
      <c r="C706" s="2" t="s">
        <v>26</v>
      </c>
      <c r="L706" s="48" t="s">
        <v>627</v>
      </c>
    </row>
    <row r="710" spans="1:12" x14ac:dyDescent="0.2">
      <c r="A710" s="2" t="s">
        <v>59</v>
      </c>
      <c r="B710" s="42">
        <v>100</v>
      </c>
      <c r="C710" s="2" t="s">
        <v>38</v>
      </c>
      <c r="L710" s="48" t="s">
        <v>624</v>
      </c>
    </row>
    <row r="711" spans="1:12" x14ac:dyDescent="0.2">
      <c r="A711" s="2" t="s">
        <v>59</v>
      </c>
      <c r="B711" s="42">
        <v>100</v>
      </c>
      <c r="C711" s="2" t="s">
        <v>104</v>
      </c>
      <c r="E711" s="2" t="s">
        <v>1126</v>
      </c>
      <c r="G711" s="2" t="s">
        <v>620</v>
      </c>
      <c r="H711" s="2" t="s">
        <v>111</v>
      </c>
      <c r="L711" s="48" t="str">
        <f>_xlfn.TEXTJOIN("", TRUE, D711:J711)</f>
        <v>02_Slots/Gottheit/Goetter-mit-Epitheta/0100_Wepwaut/0001_wpj-wA.wt_01.png</v>
      </c>
    </row>
    <row r="712" spans="1:12" x14ac:dyDescent="0.2">
      <c r="A712" s="2" t="s">
        <v>59</v>
      </c>
      <c r="B712" s="42">
        <v>100</v>
      </c>
      <c r="C712" s="2" t="s">
        <v>104</v>
      </c>
      <c r="E712" s="2" t="s">
        <v>1126</v>
      </c>
      <c r="G712" s="2" t="s">
        <v>621</v>
      </c>
      <c r="H712" s="2" t="s">
        <v>111</v>
      </c>
      <c r="L712" s="48" t="str">
        <f>_xlfn.TEXTJOIN("", TRUE, D712:J712)</f>
        <v>02_Slots/Gottheit/Goetter-mit-Epitheta/0100_Wepwaut/0010_wpj-wA.wt_02.png</v>
      </c>
    </row>
    <row r="713" spans="1:12" x14ac:dyDescent="0.2">
      <c r="A713" s="2" t="s">
        <v>59</v>
      </c>
      <c r="B713" s="42">
        <v>100</v>
      </c>
      <c r="C713" s="2" t="s">
        <v>104</v>
      </c>
      <c r="E713" s="2" t="s">
        <v>1126</v>
      </c>
      <c r="G713" s="2" t="s">
        <v>622</v>
      </c>
      <c r="H713" s="2" t="s">
        <v>111</v>
      </c>
      <c r="L713" s="48" t="str">
        <f>_xlfn.TEXTJOIN("", TRUE, D713:J713)</f>
        <v>02_Slots/Gottheit/Goetter-mit-Epitheta/0100_Wepwaut/0020_wpj-wA.wt_03.png</v>
      </c>
    </row>
    <row r="714" spans="1:12" x14ac:dyDescent="0.2">
      <c r="A714" s="2" t="s">
        <v>59</v>
      </c>
      <c r="B714" s="42">
        <v>100</v>
      </c>
      <c r="C714" s="2" t="s">
        <v>104</v>
      </c>
      <c r="E714" s="2" t="s">
        <v>1126</v>
      </c>
      <c r="G714" s="2" t="s">
        <v>623</v>
      </c>
      <c r="H714" s="2" t="s">
        <v>111</v>
      </c>
      <c r="L714" s="48" t="str">
        <f>_xlfn.TEXTJOIN("", TRUE, D714:J714)</f>
        <v>02_Slots/Gottheit/Goetter-mit-Epitheta/0100_Wepwaut/0040_wpj-wA.wt_04.png</v>
      </c>
    </row>
    <row r="715" spans="1:12" x14ac:dyDescent="0.2">
      <c r="A715" s="2" t="s">
        <v>59</v>
      </c>
      <c r="B715" s="42">
        <v>100</v>
      </c>
      <c r="C715" s="2" t="s">
        <v>105</v>
      </c>
    </row>
    <row r="716" spans="1:12" x14ac:dyDescent="0.2">
      <c r="A716" s="2" t="s">
        <v>59</v>
      </c>
      <c r="B716" s="42">
        <v>100</v>
      </c>
      <c r="C716" s="2" t="s">
        <v>106</v>
      </c>
      <c r="L716" s="48" t="s">
        <v>132</v>
      </c>
    </row>
    <row r="717" spans="1:12" x14ac:dyDescent="0.2">
      <c r="A717" s="2" t="s">
        <v>59</v>
      </c>
      <c r="B717" s="42">
        <v>100</v>
      </c>
      <c r="C717" s="2" t="s">
        <v>107</v>
      </c>
    </row>
    <row r="718" spans="1:12" x14ac:dyDescent="0.2">
      <c r="A718" s="2" t="s">
        <v>59</v>
      </c>
      <c r="B718" s="42">
        <v>100</v>
      </c>
      <c r="C718" s="2" t="s">
        <v>1561</v>
      </c>
      <c r="L718" s="48">
        <v>45580</v>
      </c>
    </row>
    <row r="719" spans="1:12" x14ac:dyDescent="0.2">
      <c r="B719" s="42"/>
    </row>
    <row r="720" spans="1:12" x14ac:dyDescent="0.2">
      <c r="B720" s="42"/>
    </row>
    <row r="721" spans="1:12" x14ac:dyDescent="0.2">
      <c r="A721" s="2" t="s">
        <v>59</v>
      </c>
      <c r="B721" s="42">
        <v>110</v>
      </c>
      <c r="C721" s="2" t="s">
        <v>38</v>
      </c>
      <c r="L721" s="48" t="s">
        <v>397</v>
      </c>
    </row>
    <row r="722" spans="1:12" x14ac:dyDescent="0.2">
      <c r="A722" s="2" t="s">
        <v>59</v>
      </c>
      <c r="B722" s="42">
        <v>110</v>
      </c>
      <c r="C722" s="2" t="s">
        <v>104</v>
      </c>
      <c r="E722" s="2" t="s">
        <v>1127</v>
      </c>
      <c r="G722" s="2" t="s">
        <v>657</v>
      </c>
      <c r="H722" s="2" t="s">
        <v>111</v>
      </c>
      <c r="L722" s="48" t="str">
        <f t="shared" ref="L722:L732" si="91">_xlfn.TEXTJOIN("", TRUE, D722:J722)</f>
        <v>02_Slots/Gottheit/Goetter-mit-Epitheta/0110_Osiris/0001_wsjr_01.png</v>
      </c>
    </row>
    <row r="723" spans="1:12" x14ac:dyDescent="0.2">
      <c r="A723" s="2" t="s">
        <v>59</v>
      </c>
      <c r="B723" s="42">
        <v>110</v>
      </c>
      <c r="C723" s="2" t="s">
        <v>104</v>
      </c>
      <c r="E723" s="2" t="s">
        <v>1127</v>
      </c>
      <c r="G723" s="2" t="s">
        <v>658</v>
      </c>
      <c r="H723" s="2" t="s">
        <v>111</v>
      </c>
      <c r="L723" s="48" t="str">
        <f t="shared" si="91"/>
        <v>02_Slots/Gottheit/Goetter-mit-Epitheta/0110_Osiris/0010_wsjr_02.png</v>
      </c>
    </row>
    <row r="724" spans="1:12" x14ac:dyDescent="0.2">
      <c r="A724" s="2" t="s">
        <v>59</v>
      </c>
      <c r="B724" s="42">
        <v>110</v>
      </c>
      <c r="C724" s="2" t="s">
        <v>104</v>
      </c>
      <c r="E724" s="2" t="s">
        <v>1127</v>
      </c>
      <c r="G724" s="2" t="s">
        <v>659</v>
      </c>
      <c r="H724" s="2" t="s">
        <v>111</v>
      </c>
      <c r="L724" s="48" t="str">
        <f t="shared" si="91"/>
        <v>02_Slots/Gottheit/Goetter-mit-Epitheta/0110_Osiris/0020_wsjr_03.png</v>
      </c>
    </row>
    <row r="725" spans="1:12" x14ac:dyDescent="0.2">
      <c r="A725" s="2" t="s">
        <v>59</v>
      </c>
      <c r="B725" s="42">
        <v>110</v>
      </c>
      <c r="C725" s="2" t="s">
        <v>104</v>
      </c>
      <c r="E725" s="2" t="s">
        <v>1127</v>
      </c>
      <c r="G725" s="2" t="s">
        <v>660</v>
      </c>
      <c r="H725" s="2" t="s">
        <v>111</v>
      </c>
      <c r="I725" s="2" t="s">
        <v>1090</v>
      </c>
      <c r="J725" s="2" t="s">
        <v>1094</v>
      </c>
      <c r="K725" s="2" t="s">
        <v>1092</v>
      </c>
      <c r="L725" s="48" t="str">
        <f t="shared" ref="L725:L731" si="92">_xlfn.TEXTJOIN("", TRUE, D725:K725)</f>
        <v>02_Slots/Gottheit/Goetter-mit-Epitheta/0110_Osiris/0030_wsjr_MR_01.png &lt;sup&gt;(MR)&lt;/sup&gt;</v>
      </c>
    </row>
    <row r="726" spans="1:12" x14ac:dyDescent="0.2">
      <c r="A726" s="2" t="s">
        <v>59</v>
      </c>
      <c r="B726" s="42">
        <v>110</v>
      </c>
      <c r="C726" s="2" t="s">
        <v>104</v>
      </c>
      <c r="E726" s="2" t="s">
        <v>1127</v>
      </c>
      <c r="G726" s="2" t="s">
        <v>661</v>
      </c>
      <c r="H726" s="2" t="s">
        <v>111</v>
      </c>
      <c r="I726" s="2" t="s">
        <v>1090</v>
      </c>
      <c r="J726" s="2" t="s">
        <v>1094</v>
      </c>
      <c r="K726" s="2" t="s">
        <v>1092</v>
      </c>
      <c r="L726" s="48" t="str">
        <f t="shared" si="92"/>
        <v>02_Slots/Gottheit/Goetter-mit-Epitheta/0110_Osiris/0040_wsjr_MR_02.png &lt;sup&gt;(MR)&lt;/sup&gt;</v>
      </c>
    </row>
    <row r="727" spans="1:12" x14ac:dyDescent="0.2">
      <c r="A727" s="2" t="s">
        <v>59</v>
      </c>
      <c r="B727" s="42">
        <v>110</v>
      </c>
      <c r="C727" s="2" t="s">
        <v>104</v>
      </c>
      <c r="E727" s="2" t="s">
        <v>1127</v>
      </c>
      <c r="G727" s="2" t="s">
        <v>662</v>
      </c>
      <c r="H727" s="2" t="s">
        <v>111</v>
      </c>
      <c r="I727" s="2" t="s">
        <v>1090</v>
      </c>
      <c r="J727" s="2" t="s">
        <v>1094</v>
      </c>
      <c r="K727" s="2" t="s">
        <v>1092</v>
      </c>
      <c r="L727" s="48" t="str">
        <f t="shared" si="92"/>
        <v>02_Slots/Gottheit/Goetter-mit-Epitheta/0110_Osiris/0050_wsjr_MR_03.png &lt;sup&gt;(MR)&lt;/sup&gt;</v>
      </c>
    </row>
    <row r="728" spans="1:12" x14ac:dyDescent="0.2">
      <c r="A728" s="2" t="s">
        <v>59</v>
      </c>
      <c r="B728" s="42">
        <v>110</v>
      </c>
      <c r="C728" s="2" t="s">
        <v>104</v>
      </c>
      <c r="E728" s="2" t="s">
        <v>1127</v>
      </c>
      <c r="G728" s="2" t="s">
        <v>663</v>
      </c>
      <c r="H728" s="2" t="s">
        <v>111</v>
      </c>
      <c r="I728" s="2" t="s">
        <v>1090</v>
      </c>
      <c r="J728" s="2" t="s">
        <v>1093</v>
      </c>
      <c r="K728" s="2" t="s">
        <v>1092</v>
      </c>
      <c r="L728" s="48" t="str">
        <f t="shared" si="92"/>
        <v>02_Slots/Gottheit/Goetter-mit-Epitheta/0110_Osiris/0060_wsjr_GR_01.png &lt;sup&gt;(Gr.)&lt;/sup&gt;</v>
      </c>
    </row>
    <row r="729" spans="1:12" x14ac:dyDescent="0.2">
      <c r="A729" s="2" t="s">
        <v>59</v>
      </c>
      <c r="B729" s="42">
        <v>110</v>
      </c>
      <c r="C729" s="2" t="s">
        <v>104</v>
      </c>
      <c r="E729" s="2" t="s">
        <v>1127</v>
      </c>
      <c r="G729" s="2" t="s">
        <v>664</v>
      </c>
      <c r="H729" s="2" t="s">
        <v>111</v>
      </c>
      <c r="I729" s="2" t="s">
        <v>1090</v>
      </c>
      <c r="J729" s="2" t="s">
        <v>1093</v>
      </c>
      <c r="K729" s="2" t="s">
        <v>1092</v>
      </c>
      <c r="L729" s="48" t="str">
        <f t="shared" si="92"/>
        <v>02_Slots/Gottheit/Goetter-mit-Epitheta/0110_Osiris/0070_wsjr_GR_02.png &lt;sup&gt;(Gr.)&lt;/sup&gt;</v>
      </c>
    </row>
    <row r="730" spans="1:12" x14ac:dyDescent="0.2">
      <c r="A730" s="2" t="s">
        <v>59</v>
      </c>
      <c r="B730" s="42">
        <v>110</v>
      </c>
      <c r="C730" s="2" t="s">
        <v>104</v>
      </c>
      <c r="E730" s="2" t="s">
        <v>1127</v>
      </c>
      <c r="G730" s="2" t="s">
        <v>665</v>
      </c>
      <c r="H730" s="2" t="s">
        <v>111</v>
      </c>
      <c r="I730" s="2" t="s">
        <v>1090</v>
      </c>
      <c r="J730" s="2" t="s">
        <v>1093</v>
      </c>
      <c r="K730" s="2" t="s">
        <v>1092</v>
      </c>
      <c r="L730" s="48" t="str">
        <f t="shared" si="92"/>
        <v>02_Slots/Gottheit/Goetter-mit-Epitheta/0110_Osiris/0080_wsjr_GR_03.png &lt;sup&gt;(Gr.)&lt;/sup&gt;</v>
      </c>
    </row>
    <row r="731" spans="1:12" x14ac:dyDescent="0.2">
      <c r="A731" s="2" t="s">
        <v>59</v>
      </c>
      <c r="B731" s="42">
        <v>110</v>
      </c>
      <c r="C731" s="2" t="s">
        <v>104</v>
      </c>
      <c r="E731" s="2" t="s">
        <v>1127</v>
      </c>
      <c r="G731" s="2" t="s">
        <v>666</v>
      </c>
      <c r="H731" s="2" t="s">
        <v>111</v>
      </c>
      <c r="I731" s="2" t="s">
        <v>1090</v>
      </c>
      <c r="J731" s="2" t="s">
        <v>1093</v>
      </c>
      <c r="K731" s="2" t="s">
        <v>1092</v>
      </c>
      <c r="L731" s="48" t="str">
        <f t="shared" si="92"/>
        <v>02_Slots/Gottheit/Goetter-mit-Epitheta/0110_Osiris/0090_wsjr_GR_04.png &lt;sup&gt;(Gr.)&lt;/sup&gt;</v>
      </c>
    </row>
    <row r="732" spans="1:12" x14ac:dyDescent="0.2">
      <c r="A732" s="2" t="s">
        <v>59</v>
      </c>
      <c r="B732" s="42">
        <v>110</v>
      </c>
      <c r="C732" s="2" t="s">
        <v>105</v>
      </c>
      <c r="E732" s="2" t="s">
        <v>1127</v>
      </c>
      <c r="F732" s="2" t="s">
        <v>109</v>
      </c>
      <c r="G732" s="2" t="s">
        <v>667</v>
      </c>
      <c r="H732" s="2" t="s">
        <v>111</v>
      </c>
      <c r="L732" s="48" t="str">
        <f t="shared" si="91"/>
        <v>02_Slots/Gottheit/Goetter-mit-Epitheta/0110_Osiris/det/0001_wsjr_det_01.png</v>
      </c>
    </row>
    <row r="733" spans="1:12" x14ac:dyDescent="0.2">
      <c r="A733" s="2" t="s">
        <v>59</v>
      </c>
      <c r="B733" s="42">
        <v>110</v>
      </c>
      <c r="C733" s="2" t="s">
        <v>106</v>
      </c>
      <c r="L733" s="48" t="s">
        <v>133</v>
      </c>
    </row>
    <row r="734" spans="1:12" x14ac:dyDescent="0.2">
      <c r="A734" s="2" t="s">
        <v>59</v>
      </c>
      <c r="B734" s="42">
        <v>110</v>
      </c>
      <c r="C734" s="2" t="s">
        <v>107</v>
      </c>
      <c r="L734" s="48" t="s">
        <v>1068</v>
      </c>
    </row>
    <row r="735" spans="1:12" x14ac:dyDescent="0.2">
      <c r="A735" s="2" t="s">
        <v>59</v>
      </c>
      <c r="B735" s="42">
        <v>110</v>
      </c>
      <c r="C735" s="2" t="s">
        <v>1561</v>
      </c>
      <c r="L735" s="48">
        <v>49460</v>
      </c>
    </row>
    <row r="737" spans="1:12" x14ac:dyDescent="0.2">
      <c r="A737" s="2" t="s">
        <v>668</v>
      </c>
      <c r="B737" s="36">
        <v>1</v>
      </c>
      <c r="C737" s="2" t="s">
        <v>38</v>
      </c>
      <c r="L737" s="48" t="s">
        <v>669</v>
      </c>
    </row>
    <row r="738" spans="1:12" x14ac:dyDescent="0.2">
      <c r="A738" s="2" t="s">
        <v>668</v>
      </c>
      <c r="B738" s="36">
        <v>1</v>
      </c>
      <c r="C738" s="2" t="s">
        <v>104</v>
      </c>
      <c r="E738" s="2" t="s">
        <v>1127</v>
      </c>
      <c r="F738" s="2" t="s">
        <v>680</v>
      </c>
      <c r="G738" s="2" t="s">
        <v>687</v>
      </c>
      <c r="H738" s="2" t="s">
        <v>111</v>
      </c>
      <c r="L738" s="48" t="str">
        <f>_xlfn.TEXTJOIN("", TRUE, D738:J738)</f>
        <v>02_Slots/Gottheit/Goetter-mit-Epitheta/0110_Osiris/epitheta/01_nb-AbDw/0001_nb-AbDw_01.png</v>
      </c>
    </row>
    <row r="739" spans="1:12" x14ac:dyDescent="0.2">
      <c r="A739" s="2" t="s">
        <v>668</v>
      </c>
      <c r="B739" s="36">
        <v>1</v>
      </c>
      <c r="C739" s="2" t="s">
        <v>104</v>
      </c>
      <c r="E739" s="2" t="s">
        <v>1127</v>
      </c>
      <c r="F739" s="2" t="s">
        <v>680</v>
      </c>
      <c r="G739" s="2" t="s">
        <v>688</v>
      </c>
      <c r="H739" s="2" t="s">
        <v>111</v>
      </c>
      <c r="L739" s="48" t="str">
        <f>_xlfn.TEXTJOIN("", TRUE, D739:J739)</f>
        <v>02_Slots/Gottheit/Goetter-mit-Epitheta/0110_Osiris/epitheta/01_nb-AbDw/0010_nb-AbDw_02.png</v>
      </c>
    </row>
    <row r="740" spans="1:12" x14ac:dyDescent="0.2">
      <c r="A740" s="2" t="s">
        <v>668</v>
      </c>
      <c r="B740" s="36">
        <v>1</v>
      </c>
      <c r="C740" s="2" t="s">
        <v>104</v>
      </c>
      <c r="E740" s="2" t="s">
        <v>1127</v>
      </c>
      <c r="F740" s="2" t="s">
        <v>680</v>
      </c>
      <c r="G740" s="2" t="s">
        <v>689</v>
      </c>
      <c r="H740" s="2" t="s">
        <v>111</v>
      </c>
      <c r="L740" s="48" t="str">
        <f>_xlfn.TEXTJOIN("", TRUE, D740:J740)</f>
        <v>02_Slots/Gottheit/Goetter-mit-Epitheta/0110_Osiris/epitheta/01_nb-AbDw/0020_nb-AbDw_03.png</v>
      </c>
    </row>
    <row r="741" spans="1:12" x14ac:dyDescent="0.2">
      <c r="A741" s="2" t="s">
        <v>668</v>
      </c>
      <c r="B741" s="36">
        <v>1</v>
      </c>
      <c r="C741" s="2" t="s">
        <v>104</v>
      </c>
      <c r="E741" s="2" t="s">
        <v>1127</v>
      </c>
      <c r="F741" s="2" t="s">
        <v>680</v>
      </c>
      <c r="G741" s="2" t="s">
        <v>690</v>
      </c>
      <c r="H741" s="2" t="s">
        <v>111</v>
      </c>
      <c r="I741" s="2" t="s">
        <v>1090</v>
      </c>
      <c r="J741" s="2" t="s">
        <v>1049</v>
      </c>
      <c r="K741" s="2" t="s">
        <v>1092</v>
      </c>
      <c r="L741" s="48" t="str">
        <f t="shared" ref="L741:L742" si="93">_xlfn.TEXTJOIN("", TRUE, D741:K741)</f>
        <v>02_Slots/Gottheit/Goetter-mit-Epitheta/0110_Osiris/epitheta/01_nb-AbDw/0030_nb-AbDw_NR_01.png &lt;sup&gt;(NR)&lt;/sup&gt;</v>
      </c>
    </row>
    <row r="742" spans="1:12" x14ac:dyDescent="0.2">
      <c r="A742" s="2" t="s">
        <v>668</v>
      </c>
      <c r="B742" s="36">
        <v>1</v>
      </c>
      <c r="C742" s="2" t="s">
        <v>104</v>
      </c>
      <c r="E742" s="2" t="s">
        <v>1127</v>
      </c>
      <c r="F742" s="2" t="s">
        <v>680</v>
      </c>
      <c r="G742" s="2" t="s">
        <v>691</v>
      </c>
      <c r="H742" s="2" t="s">
        <v>111</v>
      </c>
      <c r="I742" s="2" t="s">
        <v>1090</v>
      </c>
      <c r="J742" s="2" t="s">
        <v>1093</v>
      </c>
      <c r="K742" s="2" t="s">
        <v>1092</v>
      </c>
      <c r="L742" s="48" t="str">
        <f t="shared" si="93"/>
        <v>02_Slots/Gottheit/Goetter-mit-Epitheta/0110_Osiris/epitheta/01_nb-AbDw/0040_nb-AbDw_GR_01.png &lt;sup&gt;(Gr.)&lt;/sup&gt;</v>
      </c>
    </row>
    <row r="743" spans="1:12" x14ac:dyDescent="0.2">
      <c r="A743" s="2" t="s">
        <v>668</v>
      </c>
      <c r="B743" s="36">
        <v>1</v>
      </c>
      <c r="C743" s="2" t="s">
        <v>26</v>
      </c>
      <c r="L743" s="48" t="s">
        <v>670</v>
      </c>
    </row>
    <row r="744" spans="1:12" x14ac:dyDescent="0.2">
      <c r="A744" s="2" t="s">
        <v>668</v>
      </c>
      <c r="B744" s="36">
        <v>1</v>
      </c>
      <c r="C744" s="2" t="s">
        <v>1561</v>
      </c>
      <c r="L744" s="48">
        <v>400976</v>
      </c>
    </row>
    <row r="746" spans="1:12" x14ac:dyDescent="0.2">
      <c r="A746" s="2" t="s">
        <v>668</v>
      </c>
      <c r="B746" s="36">
        <v>2</v>
      </c>
      <c r="C746" s="2" t="s">
        <v>38</v>
      </c>
      <c r="L746" s="48" t="s">
        <v>671</v>
      </c>
    </row>
    <row r="747" spans="1:12" x14ac:dyDescent="0.2">
      <c r="A747" s="2" t="s">
        <v>668</v>
      </c>
      <c r="B747" s="36">
        <v>2</v>
      </c>
      <c r="C747" s="2" t="s">
        <v>104</v>
      </c>
      <c r="E747" s="2" t="s">
        <v>1127</v>
      </c>
      <c r="F747" s="2" t="s">
        <v>681</v>
      </c>
      <c r="G747" s="2" t="s">
        <v>692</v>
      </c>
      <c r="H747" s="2" t="s">
        <v>111</v>
      </c>
      <c r="L747" s="48" t="str">
        <f t="shared" ref="L747:L754" si="94">_xlfn.TEXTJOIN("", TRUE, D747:J747)</f>
        <v>02_Slots/Gottheit/Goetter-mit-Epitheta/0110_Osiris/epitheta/02_nb-Dd.w/0001_nb-Dd.w_01.png</v>
      </c>
    </row>
    <row r="748" spans="1:12" x14ac:dyDescent="0.2">
      <c r="A748" s="2" t="s">
        <v>668</v>
      </c>
      <c r="B748" s="36">
        <v>2</v>
      </c>
      <c r="C748" s="2" t="s">
        <v>104</v>
      </c>
      <c r="E748" s="2" t="s">
        <v>1127</v>
      </c>
      <c r="F748" s="2" t="s">
        <v>681</v>
      </c>
      <c r="G748" s="2" t="s">
        <v>693</v>
      </c>
      <c r="L748" s="48" t="str">
        <f t="shared" si="94"/>
        <v>02_Slots/Gottheit/Goetter-mit-Epitheta/0110_Osiris/epitheta/02_nb-Dd.w/0010_nb-Dd.w_02.png</v>
      </c>
    </row>
    <row r="749" spans="1:12" x14ac:dyDescent="0.2">
      <c r="A749" s="2" t="s">
        <v>668</v>
      </c>
      <c r="B749" s="36">
        <v>2</v>
      </c>
      <c r="C749" s="2" t="s">
        <v>104</v>
      </c>
      <c r="E749" s="2" t="s">
        <v>1127</v>
      </c>
      <c r="F749" s="2" t="s">
        <v>681</v>
      </c>
      <c r="G749" s="2" t="s">
        <v>694</v>
      </c>
      <c r="L749" s="48" t="str">
        <f t="shared" si="94"/>
        <v>02_Slots/Gottheit/Goetter-mit-Epitheta/0110_Osiris/epitheta/02_nb-Dd.w/0020_nb-Dd.w_03.png</v>
      </c>
    </row>
    <row r="750" spans="1:12" x14ac:dyDescent="0.2">
      <c r="A750" s="2" t="s">
        <v>668</v>
      </c>
      <c r="B750" s="36">
        <v>2</v>
      </c>
      <c r="C750" s="2" t="s">
        <v>104</v>
      </c>
      <c r="E750" s="2" t="s">
        <v>1127</v>
      </c>
      <c r="F750" s="2" t="s">
        <v>681</v>
      </c>
      <c r="G750" s="2" t="s">
        <v>695</v>
      </c>
      <c r="L750" s="48" t="str">
        <f t="shared" si="94"/>
        <v>02_Slots/Gottheit/Goetter-mit-Epitheta/0110_Osiris/epitheta/02_nb-Dd.w/0030_nb-Dd.w_04.png</v>
      </c>
    </row>
    <row r="751" spans="1:12" x14ac:dyDescent="0.2">
      <c r="A751" s="2" t="s">
        <v>668</v>
      </c>
      <c r="B751" s="36">
        <v>2</v>
      </c>
      <c r="C751" s="2" t="s">
        <v>104</v>
      </c>
      <c r="E751" s="2" t="s">
        <v>1127</v>
      </c>
      <c r="F751" s="2" t="s">
        <v>681</v>
      </c>
      <c r="G751" s="2" t="s">
        <v>696</v>
      </c>
      <c r="L751" s="48" t="str">
        <f t="shared" si="94"/>
        <v>02_Slots/Gottheit/Goetter-mit-Epitheta/0110_Osiris/epitheta/02_nb-Dd.w/0040_nb-Dd.w_05.png</v>
      </c>
    </row>
    <row r="752" spans="1:12" x14ac:dyDescent="0.2">
      <c r="A752" s="2" t="s">
        <v>668</v>
      </c>
      <c r="B752" s="36">
        <v>2</v>
      </c>
      <c r="C752" s="2" t="s">
        <v>104</v>
      </c>
      <c r="E752" s="2" t="s">
        <v>1127</v>
      </c>
      <c r="F752" s="2" t="s">
        <v>681</v>
      </c>
      <c r="G752" s="2" t="s">
        <v>697</v>
      </c>
      <c r="L752" s="48" t="str">
        <f t="shared" si="94"/>
        <v>02_Slots/Gottheit/Goetter-mit-Epitheta/0110_Osiris/epitheta/02_nb-Dd.w/0050_nb-Dd.w_06.png</v>
      </c>
    </row>
    <row r="753" spans="1:12" x14ac:dyDescent="0.2">
      <c r="A753" s="2" t="s">
        <v>668</v>
      </c>
      <c r="B753" s="36">
        <v>2</v>
      </c>
      <c r="C753" s="2" t="s">
        <v>104</v>
      </c>
      <c r="E753" s="2" t="s">
        <v>1127</v>
      </c>
      <c r="F753" s="2" t="s">
        <v>681</v>
      </c>
      <c r="G753" s="2" t="s">
        <v>698</v>
      </c>
      <c r="L753" s="48" t="str">
        <f t="shared" si="94"/>
        <v>02_Slots/Gottheit/Goetter-mit-Epitheta/0110_Osiris/epitheta/02_nb-Dd.w/0060_nb-Dd.w_07.png</v>
      </c>
    </row>
    <row r="754" spans="1:12" x14ac:dyDescent="0.2">
      <c r="A754" s="2" t="s">
        <v>668</v>
      </c>
      <c r="B754" s="36">
        <v>2</v>
      </c>
      <c r="C754" s="2" t="s">
        <v>104</v>
      </c>
      <c r="E754" s="2" t="s">
        <v>1127</v>
      </c>
      <c r="F754" s="2" t="s">
        <v>681</v>
      </c>
      <c r="G754" s="2" t="s">
        <v>699</v>
      </c>
      <c r="L754" s="48" t="str">
        <f t="shared" si="94"/>
        <v>02_Slots/Gottheit/Goetter-mit-Epitheta/0110_Osiris/epitheta/02_nb-Dd.w/0070_nb-Dd.w_08.png</v>
      </c>
    </row>
    <row r="755" spans="1:12" x14ac:dyDescent="0.2">
      <c r="A755" s="2" t="s">
        <v>668</v>
      </c>
      <c r="B755" s="36">
        <v>2</v>
      </c>
      <c r="C755" s="2" t="s">
        <v>104</v>
      </c>
      <c r="E755" s="2" t="s">
        <v>1127</v>
      </c>
      <c r="F755" s="2" t="s">
        <v>681</v>
      </c>
      <c r="G755" s="2" t="s">
        <v>700</v>
      </c>
      <c r="I755" s="2" t="s">
        <v>1090</v>
      </c>
      <c r="J755" s="2" t="s">
        <v>1100</v>
      </c>
      <c r="K755" s="2" t="s">
        <v>1092</v>
      </c>
      <c r="L755" s="48" t="str">
        <f>_xlfn.TEXTJOIN("", TRUE, D755:K755)</f>
        <v>02_Slots/Gottheit/Goetter-mit-Epitheta/0110_Osiris/epitheta/02_nb-Dd.w/0080_nb-Dd.w_Pyr._01.png &lt;sup&gt;(Pyr.)&lt;/sup&gt;</v>
      </c>
    </row>
    <row r="756" spans="1:12" x14ac:dyDescent="0.2">
      <c r="A756" s="2" t="s">
        <v>668</v>
      </c>
      <c r="B756" s="36">
        <v>2</v>
      </c>
      <c r="C756" s="2" t="s">
        <v>26</v>
      </c>
      <c r="L756" s="48" t="s">
        <v>672</v>
      </c>
    </row>
    <row r="757" spans="1:12" x14ac:dyDescent="0.2">
      <c r="A757" s="2" t="s">
        <v>668</v>
      </c>
      <c r="B757" s="36">
        <v>2</v>
      </c>
      <c r="C757" s="2" t="s">
        <v>1561</v>
      </c>
      <c r="L757" s="48">
        <v>400982</v>
      </c>
    </row>
    <row r="759" spans="1:12" x14ac:dyDescent="0.2">
      <c r="A759" s="2" t="s">
        <v>668</v>
      </c>
      <c r="B759" s="36">
        <v>3</v>
      </c>
      <c r="C759" s="2" t="s">
        <v>38</v>
      </c>
      <c r="L759" s="48" t="s">
        <v>569</v>
      </c>
    </row>
    <row r="760" spans="1:12" x14ac:dyDescent="0.2">
      <c r="A760" s="2" t="s">
        <v>668</v>
      </c>
      <c r="B760" s="36">
        <v>3</v>
      </c>
      <c r="C760" s="2" t="s">
        <v>104</v>
      </c>
      <c r="E760" s="2" t="s">
        <v>1127</v>
      </c>
      <c r="F760" s="2" t="s">
        <v>682</v>
      </c>
      <c r="G760" s="2" t="s">
        <v>701</v>
      </c>
      <c r="L760" s="48" t="str">
        <f>_xlfn.TEXTJOIN("", TRUE, D760:J760)</f>
        <v>02_Slots/Gottheit/Goetter-mit-Epitheta/0110_Osiris/epitheta/03_nb-tA-Dsr/0001_nb-tA-Dsr_01.png</v>
      </c>
    </row>
    <row r="761" spans="1:12" x14ac:dyDescent="0.2">
      <c r="A761" s="2" t="s">
        <v>668</v>
      </c>
      <c r="B761" s="36">
        <v>3</v>
      </c>
      <c r="C761" s="2" t="s">
        <v>26</v>
      </c>
      <c r="L761" s="48" t="s">
        <v>570</v>
      </c>
    </row>
    <row r="762" spans="1:12" x14ac:dyDescent="0.2">
      <c r="A762" s="2" t="s">
        <v>668</v>
      </c>
      <c r="B762" s="36">
        <v>3</v>
      </c>
      <c r="C762" s="2" t="s">
        <v>1561</v>
      </c>
      <c r="L762" s="48">
        <v>400939</v>
      </c>
    </row>
    <row r="764" spans="1:12" x14ac:dyDescent="0.2">
      <c r="A764" s="2" t="s">
        <v>668</v>
      </c>
      <c r="B764" s="36">
        <v>4</v>
      </c>
      <c r="C764" s="2" t="s">
        <v>38</v>
      </c>
      <c r="L764" s="48" t="s">
        <v>673</v>
      </c>
    </row>
    <row r="765" spans="1:12" x14ac:dyDescent="0.2">
      <c r="A765" s="2" t="s">
        <v>668</v>
      </c>
      <c r="B765" s="36">
        <v>4</v>
      </c>
      <c r="C765" s="2" t="s">
        <v>104</v>
      </c>
      <c r="E765" s="2" t="s">
        <v>1127</v>
      </c>
      <c r="F765" s="2" t="s">
        <v>683</v>
      </c>
      <c r="G765" s="2" t="s">
        <v>702</v>
      </c>
      <c r="H765" s="2" t="s">
        <v>111</v>
      </c>
      <c r="L765" s="48" t="str">
        <f>_xlfn.TEXTJOIN("", TRUE, D765:J765)</f>
        <v>02_Slots/Gottheit/Goetter-mit-Epitheta/0110_Osiris/epitheta/04_m-tA-Dsr/0001_m-tA-Dsr_01.png</v>
      </c>
    </row>
    <row r="766" spans="1:12" x14ac:dyDescent="0.2">
      <c r="A766" s="2" t="s">
        <v>668</v>
      </c>
      <c r="B766" s="36">
        <v>4</v>
      </c>
      <c r="C766" s="2" t="s">
        <v>26</v>
      </c>
      <c r="L766" s="48" t="s">
        <v>674</v>
      </c>
    </row>
    <row r="767" spans="1:12" x14ac:dyDescent="0.2">
      <c r="A767" s="2" t="s">
        <v>668</v>
      </c>
      <c r="B767" s="36">
        <v>4</v>
      </c>
      <c r="C767" s="2" t="s">
        <v>1561</v>
      </c>
      <c r="L767" s="48">
        <v>169370</v>
      </c>
    </row>
    <row r="769" spans="1:12" x14ac:dyDescent="0.2">
      <c r="A769" s="2" t="s">
        <v>668</v>
      </c>
      <c r="B769" s="36">
        <v>5</v>
      </c>
      <c r="C769" s="2" t="s">
        <v>38</v>
      </c>
      <c r="L769" s="48" t="s">
        <v>675</v>
      </c>
    </row>
    <row r="770" spans="1:12" x14ac:dyDescent="0.2">
      <c r="A770" s="2" t="s">
        <v>668</v>
      </c>
      <c r="B770" s="36">
        <v>5</v>
      </c>
      <c r="C770" s="2" t="s">
        <v>104</v>
      </c>
      <c r="E770" s="2" t="s">
        <v>1127</v>
      </c>
      <c r="F770" s="2" t="s">
        <v>684</v>
      </c>
      <c r="G770" s="2" t="s">
        <v>703</v>
      </c>
      <c r="L770" s="48" t="str">
        <f t="shared" ref="L770:L771" si="95">_xlfn.TEXTJOIN("", TRUE, D770:J770)</f>
        <v>02_Slots/Gottheit/Goetter-mit-Epitheta/0110_Osiris/epitheta/05_xnt.y-jmn.ty.w/0001_xnt.y-jmn.ty.w_01.png</v>
      </c>
    </row>
    <row r="771" spans="1:12" x14ac:dyDescent="0.2">
      <c r="A771" s="2" t="s">
        <v>668</v>
      </c>
      <c r="B771" s="36">
        <v>5</v>
      </c>
      <c r="C771" s="2" t="s">
        <v>104</v>
      </c>
      <c r="E771" s="2" t="s">
        <v>1127</v>
      </c>
      <c r="F771" s="2" t="s">
        <v>684</v>
      </c>
      <c r="G771" s="2" t="s">
        <v>704</v>
      </c>
      <c r="L771" s="48" t="str">
        <f t="shared" si="95"/>
        <v>02_Slots/Gottheit/Goetter-mit-Epitheta/0110_Osiris/epitheta/05_xnt.y-jmn.ty.w/0010_xnt.y-jmn.ty.w_02.png</v>
      </c>
    </row>
    <row r="772" spans="1:12" x14ac:dyDescent="0.2">
      <c r="A772" s="2" t="s">
        <v>668</v>
      </c>
      <c r="B772" s="36">
        <v>5</v>
      </c>
      <c r="C772" s="2" t="s">
        <v>104</v>
      </c>
      <c r="E772" s="2" t="s">
        <v>1127</v>
      </c>
      <c r="F772" s="2" t="s">
        <v>684</v>
      </c>
      <c r="G772" s="2" t="s">
        <v>705</v>
      </c>
      <c r="I772" s="2" t="s">
        <v>1090</v>
      </c>
      <c r="J772" s="2" t="s">
        <v>1091</v>
      </c>
      <c r="K772" s="2" t="s">
        <v>1092</v>
      </c>
      <c r="L772" s="48" t="str">
        <f t="shared" ref="L772:L776" si="96">_xlfn.TEXTJOIN("", TRUE, D772:K772)</f>
        <v>02_Slots/Gottheit/Goetter-mit-Epitheta/0110_Osiris/epitheta/05_xnt.y-jmn.ty.w/0020_xnt.y-jmn.ty.w_AR_01.png &lt;sup&gt;(AR)&lt;/sup&gt;</v>
      </c>
    </row>
    <row r="773" spans="1:12" x14ac:dyDescent="0.2">
      <c r="A773" s="2" t="s">
        <v>668</v>
      </c>
      <c r="B773" s="36">
        <v>5</v>
      </c>
      <c r="C773" s="2" t="s">
        <v>104</v>
      </c>
      <c r="E773" s="2" t="s">
        <v>1127</v>
      </c>
      <c r="F773" s="2" t="s">
        <v>684</v>
      </c>
      <c r="G773" s="2" t="s">
        <v>706</v>
      </c>
      <c r="I773" s="2" t="s">
        <v>1090</v>
      </c>
      <c r="J773" s="2" t="s">
        <v>1091</v>
      </c>
      <c r="K773" s="2" t="s">
        <v>1092</v>
      </c>
      <c r="L773" s="48" t="str">
        <f t="shared" si="96"/>
        <v>02_Slots/Gottheit/Goetter-mit-Epitheta/0110_Osiris/epitheta/05_xnt.y-jmn.ty.w/0030_xnt.y-jmn.ty.w_AR_02.png &lt;sup&gt;(AR)&lt;/sup&gt;</v>
      </c>
    </row>
    <row r="774" spans="1:12" x14ac:dyDescent="0.2">
      <c r="A774" s="2" t="s">
        <v>668</v>
      </c>
      <c r="B774" s="36">
        <v>5</v>
      </c>
      <c r="C774" s="2" t="s">
        <v>104</v>
      </c>
      <c r="E774" s="2" t="s">
        <v>1127</v>
      </c>
      <c r="F774" s="2" t="s">
        <v>684</v>
      </c>
      <c r="G774" s="2" t="s">
        <v>707</v>
      </c>
      <c r="I774" s="2" t="s">
        <v>1090</v>
      </c>
      <c r="J774" s="2" t="s">
        <v>1100</v>
      </c>
      <c r="K774" s="2" t="s">
        <v>1092</v>
      </c>
      <c r="L774" s="48" t="str">
        <f t="shared" si="96"/>
        <v>02_Slots/Gottheit/Goetter-mit-Epitheta/0110_Osiris/epitheta/05_xnt.y-jmn.ty.w/0040_xnt.y-jmn.ty.w_Pyr._01.png &lt;sup&gt;(Pyr.)&lt;/sup&gt;</v>
      </c>
    </row>
    <row r="775" spans="1:12" x14ac:dyDescent="0.2">
      <c r="A775" s="2" t="s">
        <v>668</v>
      </c>
      <c r="B775" s="36">
        <v>5</v>
      </c>
      <c r="C775" s="2" t="s">
        <v>104</v>
      </c>
      <c r="E775" s="2" t="s">
        <v>1127</v>
      </c>
      <c r="F775" s="2" t="s">
        <v>684</v>
      </c>
      <c r="G775" s="2" t="s">
        <v>708</v>
      </c>
      <c r="I775" s="2" t="s">
        <v>1090</v>
      </c>
      <c r="J775" s="2" t="s">
        <v>1094</v>
      </c>
      <c r="K775" s="2" t="s">
        <v>1092</v>
      </c>
      <c r="L775" s="48" t="str">
        <f t="shared" si="96"/>
        <v>02_Slots/Gottheit/Goetter-mit-Epitheta/0110_Osiris/epitheta/05_xnt.y-jmn.ty.w/0050_xnt.y-jmn.ty.w_MR_01.png &lt;sup&gt;(MR)&lt;/sup&gt;</v>
      </c>
    </row>
    <row r="776" spans="1:12" x14ac:dyDescent="0.2">
      <c r="A776" s="2" t="s">
        <v>668</v>
      </c>
      <c r="B776" s="36">
        <v>5</v>
      </c>
      <c r="C776" s="2" t="s">
        <v>104</v>
      </c>
      <c r="E776" s="2" t="s">
        <v>1127</v>
      </c>
      <c r="F776" s="2" t="s">
        <v>684</v>
      </c>
      <c r="G776" s="2" t="s">
        <v>709</v>
      </c>
      <c r="I776" s="2" t="s">
        <v>1090</v>
      </c>
      <c r="J776" s="2" t="s">
        <v>1110</v>
      </c>
      <c r="K776" s="2" t="s">
        <v>1092</v>
      </c>
      <c r="L776" s="48" t="str">
        <f t="shared" si="96"/>
        <v>02_Slots/Gottheit/Goetter-mit-Epitheta/0110_Osiris/epitheta/05_xnt.y-jmn.ty.w/0060_xnt.y-jmn.ty.w_typ.-ab-NR_01.png &lt;sup&gt;(ab NR)&lt;/sup&gt;</v>
      </c>
    </row>
    <row r="777" spans="1:12" x14ac:dyDescent="0.2">
      <c r="A777" s="2" t="s">
        <v>668</v>
      </c>
      <c r="B777" s="36">
        <v>5</v>
      </c>
      <c r="C777" s="2" t="s">
        <v>26</v>
      </c>
      <c r="L777" s="48" t="s">
        <v>676</v>
      </c>
    </row>
    <row r="778" spans="1:12" x14ac:dyDescent="0.2">
      <c r="A778" s="2" t="s">
        <v>668</v>
      </c>
      <c r="B778" s="36">
        <v>5</v>
      </c>
      <c r="C778" s="2" t="s">
        <v>1561</v>
      </c>
      <c r="L778" s="48">
        <v>119180</v>
      </c>
    </row>
    <row r="780" spans="1:12" x14ac:dyDescent="0.2">
      <c r="A780" s="2" t="s">
        <v>668</v>
      </c>
      <c r="B780" s="36">
        <v>6</v>
      </c>
      <c r="C780" s="2" t="s">
        <v>38</v>
      </c>
      <c r="L780" s="48" t="s">
        <v>675</v>
      </c>
    </row>
    <row r="781" spans="1:12" x14ac:dyDescent="0.2">
      <c r="A781" s="2" t="s">
        <v>668</v>
      </c>
      <c r="B781" s="36">
        <v>6</v>
      </c>
      <c r="C781" s="2" t="s">
        <v>104</v>
      </c>
      <c r="E781" s="2" t="s">
        <v>1127</v>
      </c>
      <c r="F781" s="2" t="s">
        <v>685</v>
      </c>
      <c r="G781" s="2" t="s">
        <v>710</v>
      </c>
      <c r="L781" s="48" t="str">
        <f>_xlfn.TEXTJOIN("", TRUE, D781:J781)</f>
        <v>02_Slots/Gottheit/Goetter-mit-Epitheta/0110_Osiris/epitheta/06_xnt.y-jmn.t.t/0001_xnt.y-jmn.t.t_seit-NR_01.png</v>
      </c>
    </row>
    <row r="782" spans="1:12" x14ac:dyDescent="0.2">
      <c r="A782" s="2" t="s">
        <v>668</v>
      </c>
      <c r="B782" s="36">
        <v>6</v>
      </c>
      <c r="C782" s="2" t="s">
        <v>104</v>
      </c>
      <c r="E782" s="2" t="s">
        <v>1127</v>
      </c>
      <c r="F782" s="2" t="s">
        <v>685</v>
      </c>
      <c r="G782" s="2" t="s">
        <v>711</v>
      </c>
      <c r="L782" s="48" t="str">
        <f>_xlfn.TEXTJOIN("", TRUE, D782:J782)</f>
        <v>02_Slots/Gottheit/Goetter-mit-Epitheta/0110_Osiris/epitheta/06_xnt.y-jmn.t.t/0010_xnt.y-jmn.t.t_seit-NR_02.png</v>
      </c>
    </row>
    <row r="783" spans="1:12" x14ac:dyDescent="0.2">
      <c r="A783" s="2" t="s">
        <v>668</v>
      </c>
      <c r="B783" s="36">
        <v>6</v>
      </c>
      <c r="C783" s="2" t="s">
        <v>26</v>
      </c>
      <c r="L783" s="48" t="s">
        <v>677</v>
      </c>
    </row>
    <row r="784" spans="1:12" x14ac:dyDescent="0.2">
      <c r="A784" s="2" t="s">
        <v>668</v>
      </c>
      <c r="B784" s="36">
        <v>6</v>
      </c>
      <c r="C784" s="2" t="s">
        <v>1561</v>
      </c>
      <c r="L784" s="48">
        <v>850240</v>
      </c>
    </row>
    <row r="786" spans="1:12" x14ac:dyDescent="0.2">
      <c r="A786" s="2" t="s">
        <v>668</v>
      </c>
      <c r="B786" s="36">
        <v>7</v>
      </c>
      <c r="C786" s="2" t="s">
        <v>38</v>
      </c>
      <c r="L786" s="48" t="s">
        <v>678</v>
      </c>
    </row>
    <row r="787" spans="1:12" x14ac:dyDescent="0.2">
      <c r="A787" s="2" t="s">
        <v>668</v>
      </c>
      <c r="B787" s="36">
        <v>7</v>
      </c>
      <c r="C787" s="2" t="s">
        <v>104</v>
      </c>
      <c r="E787" s="2" t="s">
        <v>1127</v>
      </c>
      <c r="F787" s="2" t="s">
        <v>686</v>
      </c>
      <c r="G787" s="2" t="s">
        <v>712</v>
      </c>
      <c r="H787" s="2" t="s">
        <v>111</v>
      </c>
      <c r="L787" s="48" t="str">
        <f>_xlfn.TEXTJOIN("", TRUE, D787:J787)</f>
        <v>02_Slots/Gottheit/Goetter-mit-Epitheta/0110_Osiris/epitheta/07_xnt.y-tA-Dsr/0001_xnt.y-tA-Dsr_01.png</v>
      </c>
    </row>
    <row r="788" spans="1:12" x14ac:dyDescent="0.2">
      <c r="A788" s="2" t="s">
        <v>668</v>
      </c>
      <c r="B788" s="36">
        <v>7</v>
      </c>
      <c r="C788" s="2" t="s">
        <v>26</v>
      </c>
      <c r="L788" s="48" t="s">
        <v>679</v>
      </c>
    </row>
    <row r="789" spans="1:12" x14ac:dyDescent="0.2">
      <c r="A789" s="2" t="s">
        <v>668</v>
      </c>
      <c r="B789" s="36">
        <v>7</v>
      </c>
      <c r="C789" s="2" t="s">
        <v>26</v>
      </c>
      <c r="L789" s="48" t="s">
        <v>679</v>
      </c>
    </row>
    <row r="790" spans="1:12" x14ac:dyDescent="0.2">
      <c r="A790" s="2" t="s">
        <v>668</v>
      </c>
      <c r="B790" s="36">
        <v>7</v>
      </c>
      <c r="C790" s="2" t="s">
        <v>1561</v>
      </c>
      <c r="L790" s="48">
        <v>450749</v>
      </c>
    </row>
    <row r="796" spans="1:12" x14ac:dyDescent="0.2">
      <c r="A796" s="2" t="s">
        <v>59</v>
      </c>
      <c r="B796" s="36">
        <v>120</v>
      </c>
      <c r="C796" s="2" t="s">
        <v>38</v>
      </c>
      <c r="L796" s="48" t="s">
        <v>628</v>
      </c>
    </row>
    <row r="797" spans="1:12" x14ac:dyDescent="0.2">
      <c r="A797" s="2" t="s">
        <v>59</v>
      </c>
      <c r="B797" s="36">
        <v>120</v>
      </c>
      <c r="C797" s="2" t="s">
        <v>104</v>
      </c>
      <c r="E797" s="2" t="s">
        <v>1128</v>
      </c>
      <c r="G797" s="2" t="s">
        <v>713</v>
      </c>
      <c r="L797" s="48" t="str">
        <f>_xlfn.TEXTJOIN("", TRUE, D797:J797)</f>
        <v>02_Slots/Gottheit/Goetter-mit-Epitheta/0120_Bastet/0001_bAst.t_01.png</v>
      </c>
    </row>
    <row r="798" spans="1:12" x14ac:dyDescent="0.2">
      <c r="A798" s="2" t="s">
        <v>59</v>
      </c>
      <c r="B798" s="36">
        <v>120</v>
      </c>
      <c r="C798" s="2" t="s">
        <v>104</v>
      </c>
      <c r="E798" s="2" t="s">
        <v>1128</v>
      </c>
      <c r="G798" s="2" t="s">
        <v>714</v>
      </c>
      <c r="I798" s="2" t="s">
        <v>1090</v>
      </c>
      <c r="J798" s="2" t="s">
        <v>1091</v>
      </c>
      <c r="K798" s="2" t="s">
        <v>1092</v>
      </c>
      <c r="L798" s="48" t="str">
        <f t="shared" ref="L798:L799" si="97">_xlfn.TEXTJOIN("", TRUE, D798:K798)</f>
        <v>02_Slots/Gottheit/Goetter-mit-Epitheta/0120_Bastet/0010_bAst.t_AR_01.png &lt;sup&gt;(AR)&lt;/sup&gt;</v>
      </c>
    </row>
    <row r="799" spans="1:12" x14ac:dyDescent="0.2">
      <c r="A799" s="2" t="s">
        <v>59</v>
      </c>
      <c r="B799" s="36">
        <v>120</v>
      </c>
      <c r="C799" s="2" t="s">
        <v>104</v>
      </c>
      <c r="E799" s="2" t="s">
        <v>1128</v>
      </c>
      <c r="G799" s="2" t="s">
        <v>715</v>
      </c>
      <c r="I799" s="2" t="s">
        <v>1090</v>
      </c>
      <c r="J799" s="2" t="s">
        <v>1049</v>
      </c>
      <c r="K799" s="2" t="s">
        <v>1092</v>
      </c>
      <c r="L799" s="48" t="str">
        <f t="shared" si="97"/>
        <v>02_Slots/Gottheit/Goetter-mit-Epitheta/0120_Bastet/0020_bAst.t_NR_01.png &lt;sup&gt;(NR)&lt;/sup&gt;</v>
      </c>
    </row>
    <row r="800" spans="1:12" x14ac:dyDescent="0.2">
      <c r="A800" s="2" t="s">
        <v>59</v>
      </c>
      <c r="B800" s="36">
        <v>120</v>
      </c>
      <c r="C800" s="2" t="s">
        <v>105</v>
      </c>
    </row>
    <row r="801" spans="1:12" x14ac:dyDescent="0.2">
      <c r="A801" s="2" t="s">
        <v>59</v>
      </c>
      <c r="B801" s="36">
        <v>120</v>
      </c>
      <c r="C801" s="2" t="s">
        <v>106</v>
      </c>
      <c r="L801" s="48" t="s">
        <v>134</v>
      </c>
    </row>
    <row r="802" spans="1:12" x14ac:dyDescent="0.2">
      <c r="A802" s="2" t="s">
        <v>59</v>
      </c>
      <c r="B802" s="36">
        <v>120</v>
      </c>
      <c r="C802" s="2" t="s">
        <v>107</v>
      </c>
    </row>
    <row r="803" spans="1:12" x14ac:dyDescent="0.2">
      <c r="A803" s="2" t="s">
        <v>59</v>
      </c>
      <c r="B803" s="36">
        <v>120</v>
      </c>
      <c r="C803" s="2" t="s">
        <v>1561</v>
      </c>
      <c r="L803" s="48">
        <v>53640</v>
      </c>
    </row>
    <row r="806" spans="1:12" x14ac:dyDescent="0.2">
      <c r="A806" s="2" t="s">
        <v>59</v>
      </c>
      <c r="B806" s="36">
        <v>130</v>
      </c>
      <c r="C806" s="2" t="s">
        <v>38</v>
      </c>
      <c r="L806" s="48" t="s">
        <v>629</v>
      </c>
    </row>
    <row r="807" spans="1:12" x14ac:dyDescent="0.2">
      <c r="A807" s="2" t="s">
        <v>59</v>
      </c>
      <c r="B807" s="36">
        <v>130</v>
      </c>
      <c r="C807" s="2" t="s">
        <v>104</v>
      </c>
      <c r="E807" s="2" t="s">
        <v>1129</v>
      </c>
      <c r="G807" s="2" t="s">
        <v>716</v>
      </c>
      <c r="L807" s="48" t="str">
        <f>_xlfn.TEXTJOIN("", TRUE, D807:J807)</f>
        <v>02_Slots/Gottheit/Goetter-mit-Epitheta/0130_Behedeti/0001_bHd.t_01.png</v>
      </c>
    </row>
    <row r="808" spans="1:12" x14ac:dyDescent="0.2">
      <c r="A808" s="2" t="s">
        <v>59</v>
      </c>
      <c r="B808" s="36">
        <v>130</v>
      </c>
      <c r="C808" s="2" t="s">
        <v>104</v>
      </c>
      <c r="E808" s="2" t="s">
        <v>1129</v>
      </c>
      <c r="G808" s="2" t="s">
        <v>717</v>
      </c>
      <c r="L808" s="48" t="str">
        <f>_xlfn.TEXTJOIN("", TRUE, D808:J808)</f>
        <v>02_Slots/Gottheit/Goetter-mit-Epitheta/0130_Behedeti/0010_bHd.t_02.png</v>
      </c>
    </row>
    <row r="809" spans="1:12" x14ac:dyDescent="0.2">
      <c r="A809" s="2" t="s">
        <v>59</v>
      </c>
      <c r="B809" s="36">
        <v>130</v>
      </c>
      <c r="C809" s="2" t="s">
        <v>104</v>
      </c>
      <c r="E809" s="2" t="s">
        <v>1129</v>
      </c>
      <c r="G809" s="2" t="s">
        <v>718</v>
      </c>
      <c r="I809" s="2" t="s">
        <v>1090</v>
      </c>
      <c r="J809" s="2" t="s">
        <v>1093</v>
      </c>
      <c r="K809" s="2" t="s">
        <v>1092</v>
      </c>
      <c r="L809" s="48" t="str">
        <f t="shared" ref="L809:L810" si="98">_xlfn.TEXTJOIN("", TRUE, D809:K809)</f>
        <v>02_Slots/Gottheit/Goetter-mit-Epitheta/0130_Behedeti/0020_bHd.t_GR_01.png &lt;sup&gt;(Gr.)&lt;/sup&gt;</v>
      </c>
    </row>
    <row r="810" spans="1:12" x14ac:dyDescent="0.2">
      <c r="A810" s="2" t="s">
        <v>59</v>
      </c>
      <c r="B810" s="36">
        <v>130</v>
      </c>
      <c r="C810" s="2" t="s">
        <v>104</v>
      </c>
      <c r="E810" s="2" t="s">
        <v>1129</v>
      </c>
      <c r="G810" s="2" t="s">
        <v>719</v>
      </c>
      <c r="I810" s="2" t="s">
        <v>1090</v>
      </c>
      <c r="J810" s="2" t="s">
        <v>1093</v>
      </c>
      <c r="K810" s="2" t="s">
        <v>1092</v>
      </c>
      <c r="L810" s="48" t="str">
        <f t="shared" si="98"/>
        <v>02_Slots/Gottheit/Goetter-mit-Epitheta/0130_Behedeti/0030_bHd.t_GR_02.png &lt;sup&gt;(Gr.)&lt;/sup&gt;</v>
      </c>
    </row>
    <row r="811" spans="1:12" x14ac:dyDescent="0.2">
      <c r="A811" s="2" t="s">
        <v>59</v>
      </c>
      <c r="B811" s="36">
        <v>130</v>
      </c>
      <c r="C811" s="2" t="s">
        <v>105</v>
      </c>
      <c r="E811" s="2" t="s">
        <v>1129</v>
      </c>
      <c r="F811" s="2" t="s">
        <v>109</v>
      </c>
      <c r="G811" s="2" t="s">
        <v>720</v>
      </c>
      <c r="H811" s="2" t="s">
        <v>111</v>
      </c>
      <c r="L811" s="48" t="str">
        <f>_xlfn.TEXTJOIN("", TRUE, D811:J811)</f>
        <v>02_Slots/Gottheit/Goetter-mit-Epitheta/0130_Behedeti/det/0001_bHd.t_det_01.png</v>
      </c>
    </row>
    <row r="812" spans="1:12" x14ac:dyDescent="0.2">
      <c r="A812" s="2" t="s">
        <v>59</v>
      </c>
      <c r="B812" s="36">
        <v>130</v>
      </c>
      <c r="C812" s="2" t="s">
        <v>106</v>
      </c>
      <c r="L812" s="48" t="s">
        <v>135</v>
      </c>
    </row>
    <row r="813" spans="1:12" x14ac:dyDescent="0.2">
      <c r="A813" s="2" t="s">
        <v>59</v>
      </c>
      <c r="B813" s="36">
        <v>130</v>
      </c>
      <c r="C813" s="2" t="s">
        <v>107</v>
      </c>
      <c r="L813" s="48" t="s">
        <v>1069</v>
      </c>
    </row>
    <row r="814" spans="1:12" x14ac:dyDescent="0.2">
      <c r="A814" s="2" t="s">
        <v>59</v>
      </c>
      <c r="B814" s="36">
        <v>130</v>
      </c>
      <c r="C814" s="2" t="s">
        <v>1561</v>
      </c>
      <c r="L814" s="48">
        <v>850566</v>
      </c>
    </row>
    <row r="816" spans="1:12" x14ac:dyDescent="0.2">
      <c r="A816" s="2" t="s">
        <v>721</v>
      </c>
      <c r="B816" s="36">
        <v>1</v>
      </c>
      <c r="C816" s="2" t="s">
        <v>38</v>
      </c>
      <c r="L816" s="48" t="s">
        <v>722</v>
      </c>
    </row>
    <row r="817" spans="1:12" x14ac:dyDescent="0.2">
      <c r="A817" s="2" t="s">
        <v>721</v>
      </c>
      <c r="B817" s="36">
        <v>1</v>
      </c>
      <c r="C817" s="2" t="s">
        <v>104</v>
      </c>
      <c r="E817" s="2" t="s">
        <v>1129</v>
      </c>
      <c r="F817" s="2" t="s">
        <v>729</v>
      </c>
      <c r="G817" s="2" t="s">
        <v>726</v>
      </c>
      <c r="H817" s="2" t="s">
        <v>111</v>
      </c>
      <c r="L817" s="48" t="str">
        <f>_xlfn.TEXTJOIN("", TRUE, D817:J817)</f>
        <v>02_Slots/Gottheit/Goetter-mit-Epitheta/0130_Behedeti/epitheta/01_prj-m-Ax.t/0001_prj-m-Ax.t_01.png</v>
      </c>
    </row>
    <row r="818" spans="1:12" x14ac:dyDescent="0.2">
      <c r="A818" s="2" t="s">
        <v>721</v>
      </c>
      <c r="B818" s="36">
        <v>1</v>
      </c>
      <c r="C818" s="2" t="s">
        <v>26</v>
      </c>
      <c r="L818" s="48" t="s">
        <v>725</v>
      </c>
    </row>
    <row r="819" spans="1:12" x14ac:dyDescent="0.2">
      <c r="A819" s="2" t="s">
        <v>721</v>
      </c>
      <c r="B819" s="36">
        <v>1</v>
      </c>
      <c r="C819" s="2" t="s">
        <v>1561</v>
      </c>
      <c r="L819" s="48">
        <v>851332</v>
      </c>
    </row>
    <row r="821" spans="1:12" x14ac:dyDescent="0.2">
      <c r="A821" s="2" t="s">
        <v>721</v>
      </c>
      <c r="B821" s="36">
        <v>2</v>
      </c>
      <c r="C821" s="2" t="s">
        <v>38</v>
      </c>
      <c r="L821" s="48" t="s">
        <v>723</v>
      </c>
    </row>
    <row r="822" spans="1:12" x14ac:dyDescent="0.2">
      <c r="A822" s="2" t="s">
        <v>721</v>
      </c>
      <c r="B822" s="36">
        <v>2</v>
      </c>
      <c r="C822" s="2" t="s">
        <v>104</v>
      </c>
      <c r="E822" s="2" t="s">
        <v>1129</v>
      </c>
      <c r="F822" s="2" t="s">
        <v>730</v>
      </c>
      <c r="G822" s="2" t="s">
        <v>727</v>
      </c>
      <c r="L822" s="48" t="str">
        <f>_xlfn.TEXTJOIN("", TRUE, D822:J822)</f>
        <v>02_Slots/Gottheit/Goetter-mit-Epitheta/0130_Behedeti/epitheta/02_sAb-Sw.t/0001_sAb-Sw.t_01.png</v>
      </c>
    </row>
    <row r="823" spans="1:12" x14ac:dyDescent="0.2">
      <c r="A823" s="2" t="s">
        <v>721</v>
      </c>
      <c r="B823" s="36">
        <v>2</v>
      </c>
      <c r="C823" s="2" t="s">
        <v>104</v>
      </c>
      <c r="E823" s="2" t="s">
        <v>1129</v>
      </c>
      <c r="F823" s="2" t="s">
        <v>730</v>
      </c>
      <c r="G823" s="2" t="s">
        <v>728</v>
      </c>
      <c r="L823" s="48" t="str">
        <f>_xlfn.TEXTJOIN("", TRUE, D823:J823)</f>
        <v>02_Slots/Gottheit/Goetter-mit-Epitheta/0130_Behedeti/epitheta/02_sAb-Sw.t/0010_sAb-Sw.t_D.18_01.png</v>
      </c>
    </row>
    <row r="824" spans="1:12" x14ac:dyDescent="0.2">
      <c r="A824" s="2" t="s">
        <v>721</v>
      </c>
      <c r="B824" s="36">
        <v>2</v>
      </c>
      <c r="C824" s="2" t="s">
        <v>26</v>
      </c>
      <c r="L824" s="48" t="s">
        <v>724</v>
      </c>
    </row>
    <row r="825" spans="1:12" x14ac:dyDescent="0.2">
      <c r="A825" s="2" t="s">
        <v>721</v>
      </c>
      <c r="B825" s="36">
        <v>2</v>
      </c>
      <c r="C825" s="2" t="s">
        <v>1561</v>
      </c>
      <c r="L825" s="48">
        <v>550420</v>
      </c>
    </row>
    <row r="828" spans="1:12" x14ac:dyDescent="0.2">
      <c r="A828" s="2" t="s">
        <v>59</v>
      </c>
      <c r="B828" s="36">
        <v>140</v>
      </c>
      <c r="C828" s="2" t="s">
        <v>38</v>
      </c>
      <c r="L828" s="48" t="s">
        <v>630</v>
      </c>
    </row>
    <row r="829" spans="1:12" x14ac:dyDescent="0.2">
      <c r="A829" s="2" t="s">
        <v>59</v>
      </c>
      <c r="B829" s="36">
        <v>140</v>
      </c>
      <c r="C829" s="2" t="s">
        <v>104</v>
      </c>
      <c r="E829" s="2" t="s">
        <v>1130</v>
      </c>
      <c r="G829" s="2" t="s">
        <v>732</v>
      </c>
      <c r="L829" s="48" t="str">
        <f t="shared" ref="L829" si="99">_xlfn.TEXTJOIN("", TRUE, D829:J829)</f>
        <v>02_Slots/Gottheit/Goetter-mit-Epitheta/0140_Goetterneunheit/0001_psD.t_01.png</v>
      </c>
    </row>
    <row r="830" spans="1:12" x14ac:dyDescent="0.2">
      <c r="A830" s="2" t="s">
        <v>59</v>
      </c>
      <c r="B830" s="36">
        <v>140</v>
      </c>
      <c r="C830" s="2" t="s">
        <v>104</v>
      </c>
      <c r="E830" s="2" t="s">
        <v>1130</v>
      </c>
      <c r="G830" s="2" t="s">
        <v>733</v>
      </c>
      <c r="I830" s="2" t="s">
        <v>1090</v>
      </c>
      <c r="J830" s="2" t="s">
        <v>1091</v>
      </c>
      <c r="K830" s="2" t="s">
        <v>1092</v>
      </c>
      <c r="L830" s="48" t="str">
        <f t="shared" ref="L830:L840" si="100">_xlfn.TEXTJOIN("", TRUE, D830:K830)</f>
        <v>02_Slots/Gottheit/Goetter-mit-Epitheta/0140_Goetterneunheit/0010_psD.t_AR_01.png &lt;sup&gt;(AR)&lt;/sup&gt;</v>
      </c>
    </row>
    <row r="831" spans="1:12" x14ac:dyDescent="0.2">
      <c r="A831" s="2" t="s">
        <v>59</v>
      </c>
      <c r="B831" s="36">
        <v>140</v>
      </c>
      <c r="C831" s="2" t="s">
        <v>104</v>
      </c>
      <c r="E831" s="2" t="s">
        <v>1130</v>
      </c>
      <c r="G831" s="2" t="s">
        <v>734</v>
      </c>
      <c r="I831" s="2" t="s">
        <v>1090</v>
      </c>
      <c r="J831" s="2" t="s">
        <v>1091</v>
      </c>
      <c r="K831" s="2" t="s">
        <v>1092</v>
      </c>
      <c r="L831" s="48" t="str">
        <f t="shared" si="100"/>
        <v>02_Slots/Gottheit/Goetter-mit-Epitheta/0140_Goetterneunheit/0020_psD.t_AR_02.png &lt;sup&gt;(AR)&lt;/sup&gt;</v>
      </c>
    </row>
    <row r="832" spans="1:12" x14ac:dyDescent="0.2">
      <c r="A832" s="2" t="s">
        <v>59</v>
      </c>
      <c r="B832" s="36">
        <v>140</v>
      </c>
      <c r="C832" s="2" t="s">
        <v>104</v>
      </c>
      <c r="E832" s="2" t="s">
        <v>1130</v>
      </c>
      <c r="G832" s="2" t="s">
        <v>735</v>
      </c>
      <c r="I832" s="2" t="s">
        <v>1090</v>
      </c>
      <c r="J832" s="2" t="s">
        <v>1091</v>
      </c>
      <c r="K832" s="2" t="s">
        <v>1092</v>
      </c>
      <c r="L832" s="48" t="str">
        <f t="shared" si="100"/>
        <v>02_Slots/Gottheit/Goetter-mit-Epitheta/0140_Goetterneunheit/0030_psD.t_AR_03.png &lt;sup&gt;(AR)&lt;/sup&gt;</v>
      </c>
    </row>
    <row r="833" spans="1:12" x14ac:dyDescent="0.2">
      <c r="A833" s="2" t="s">
        <v>59</v>
      </c>
      <c r="B833" s="36">
        <v>140</v>
      </c>
      <c r="C833" s="2" t="s">
        <v>104</v>
      </c>
      <c r="E833" s="2" t="s">
        <v>1130</v>
      </c>
      <c r="G833" s="2" t="s">
        <v>736</v>
      </c>
      <c r="I833" s="2" t="s">
        <v>1090</v>
      </c>
      <c r="J833" s="2" t="s">
        <v>1094</v>
      </c>
      <c r="K833" s="2" t="s">
        <v>1092</v>
      </c>
      <c r="L833" s="48" t="str">
        <f t="shared" si="100"/>
        <v>02_Slots/Gottheit/Goetter-mit-Epitheta/0140_Goetterneunheit/0040_psD.t_MR_01.png &lt;sup&gt;(MR)&lt;/sup&gt;</v>
      </c>
    </row>
    <row r="834" spans="1:12" x14ac:dyDescent="0.2">
      <c r="A834" s="2" t="s">
        <v>59</v>
      </c>
      <c r="B834" s="36">
        <v>140</v>
      </c>
      <c r="C834" s="2" t="s">
        <v>104</v>
      </c>
      <c r="E834" s="2" t="s">
        <v>1130</v>
      </c>
      <c r="G834" s="2" t="s">
        <v>737</v>
      </c>
      <c r="I834" s="2" t="s">
        <v>1090</v>
      </c>
      <c r="J834" s="2" t="s">
        <v>1099</v>
      </c>
      <c r="K834" s="2" t="s">
        <v>1092</v>
      </c>
      <c r="L834" s="48" t="str">
        <f t="shared" si="100"/>
        <v>02_Slots/Gottheit/Goetter-mit-Epitheta/0140_Goetterneunheit/0050_psD.t_SP_01.png &lt;sup&gt;(Sp.)&lt;/sup&gt;</v>
      </c>
    </row>
    <row r="835" spans="1:12" x14ac:dyDescent="0.2">
      <c r="A835" s="2" t="s">
        <v>59</v>
      </c>
      <c r="B835" s="36">
        <v>140</v>
      </c>
      <c r="C835" s="2" t="s">
        <v>104</v>
      </c>
      <c r="E835" s="2" t="s">
        <v>1130</v>
      </c>
      <c r="G835" s="2" t="s">
        <v>738</v>
      </c>
      <c r="I835" s="2" t="s">
        <v>1090</v>
      </c>
      <c r="J835" s="2" t="s">
        <v>1093</v>
      </c>
      <c r="K835" s="2" t="s">
        <v>1092</v>
      </c>
      <c r="L835" s="48" t="str">
        <f t="shared" si="100"/>
        <v>02_Slots/Gottheit/Goetter-mit-Epitheta/0140_Goetterneunheit/0060_psD.t_GR_01.png &lt;sup&gt;(Gr.)&lt;/sup&gt;</v>
      </c>
    </row>
    <row r="836" spans="1:12" x14ac:dyDescent="0.2">
      <c r="A836" s="2" t="s">
        <v>59</v>
      </c>
      <c r="B836" s="36">
        <v>140</v>
      </c>
      <c r="C836" s="2" t="s">
        <v>104</v>
      </c>
      <c r="E836" s="2" t="s">
        <v>1130</v>
      </c>
      <c r="G836" s="2" t="s">
        <v>731</v>
      </c>
      <c r="I836" s="2" t="s">
        <v>1090</v>
      </c>
      <c r="J836" s="2" t="s">
        <v>1093</v>
      </c>
      <c r="K836" s="2" t="s">
        <v>1092</v>
      </c>
      <c r="L836" s="48" t="str">
        <f t="shared" si="100"/>
        <v>02_Slots/Gottheit/Goetter-mit-Epitheta/0140_Goetterneunheit/0070_psD.t_GR_02.png &lt;sup&gt;(Gr.)&lt;/sup&gt;</v>
      </c>
    </row>
    <row r="837" spans="1:12" x14ac:dyDescent="0.2">
      <c r="A837" s="2" t="s">
        <v>59</v>
      </c>
      <c r="B837" s="36">
        <v>140</v>
      </c>
      <c r="C837" s="2" t="s">
        <v>105</v>
      </c>
      <c r="E837" s="2" t="s">
        <v>1130</v>
      </c>
      <c r="F837" s="2" t="s">
        <v>109</v>
      </c>
      <c r="G837" s="2" t="s">
        <v>739</v>
      </c>
      <c r="I837" s="2" t="s">
        <v>1090</v>
      </c>
      <c r="J837" s="2" t="s">
        <v>1091</v>
      </c>
      <c r="K837" s="2" t="s">
        <v>1092</v>
      </c>
      <c r="L837" s="48" t="str">
        <f t="shared" si="100"/>
        <v>02_Slots/Gottheit/Goetter-mit-Epitheta/0140_Goetterneunheit/det/0001_psD.t_det_AR_01.png &lt;sup&gt;(AR)&lt;/sup&gt;</v>
      </c>
    </row>
    <row r="838" spans="1:12" x14ac:dyDescent="0.2">
      <c r="A838" s="2" t="s">
        <v>59</v>
      </c>
      <c r="B838" s="36">
        <v>140</v>
      </c>
      <c r="C838" s="2" t="s">
        <v>105</v>
      </c>
      <c r="E838" s="2" t="s">
        <v>1130</v>
      </c>
      <c r="F838" s="2" t="s">
        <v>109</v>
      </c>
      <c r="G838" s="2" t="s">
        <v>740</v>
      </c>
      <c r="I838" s="2" t="s">
        <v>1090</v>
      </c>
      <c r="J838" s="2" t="s">
        <v>1094</v>
      </c>
      <c r="K838" s="2" t="s">
        <v>1092</v>
      </c>
      <c r="L838" s="48" t="str">
        <f t="shared" si="100"/>
        <v>02_Slots/Gottheit/Goetter-mit-Epitheta/0140_Goetterneunheit/det/0010_psD.t_det_MR_01.png &lt;sup&gt;(MR)&lt;/sup&gt;</v>
      </c>
    </row>
    <row r="839" spans="1:12" x14ac:dyDescent="0.2">
      <c r="A839" s="2" t="s">
        <v>59</v>
      </c>
      <c r="B839" s="36">
        <v>140</v>
      </c>
      <c r="C839" s="2" t="s">
        <v>105</v>
      </c>
      <c r="E839" s="2" t="s">
        <v>1130</v>
      </c>
      <c r="F839" s="2" t="s">
        <v>109</v>
      </c>
      <c r="G839" s="2" t="s">
        <v>741</v>
      </c>
      <c r="I839" s="2" t="s">
        <v>1090</v>
      </c>
      <c r="J839" s="2" t="s">
        <v>1094</v>
      </c>
      <c r="K839" s="2" t="s">
        <v>1092</v>
      </c>
      <c r="L839" s="48" t="str">
        <f t="shared" si="100"/>
        <v>02_Slots/Gottheit/Goetter-mit-Epitheta/0140_Goetterneunheit/det/0020_psD.t_det_MR_02.png &lt;sup&gt;(MR)&lt;/sup&gt;</v>
      </c>
    </row>
    <row r="840" spans="1:12" x14ac:dyDescent="0.2">
      <c r="A840" s="2" t="s">
        <v>59</v>
      </c>
      <c r="B840" s="36">
        <v>140</v>
      </c>
      <c r="C840" s="2" t="s">
        <v>105</v>
      </c>
      <c r="E840" s="2" t="s">
        <v>1130</v>
      </c>
      <c r="F840" s="2" t="s">
        <v>109</v>
      </c>
      <c r="G840" s="2" t="s">
        <v>742</v>
      </c>
      <c r="I840" s="2" t="s">
        <v>1090</v>
      </c>
      <c r="J840" s="2" t="s">
        <v>1099</v>
      </c>
      <c r="K840" s="2" t="s">
        <v>1092</v>
      </c>
      <c r="L840" s="48" t="str">
        <f t="shared" si="100"/>
        <v>02_Slots/Gottheit/Goetter-mit-Epitheta/0140_Goetterneunheit/det/0030_psD.t_det_SP_01.png &lt;sup&gt;(Sp.)&lt;/sup&gt;</v>
      </c>
    </row>
    <row r="841" spans="1:12" x14ac:dyDescent="0.2">
      <c r="A841" s="2" t="s">
        <v>59</v>
      </c>
      <c r="B841" s="36">
        <v>140</v>
      </c>
      <c r="C841" s="2" t="s">
        <v>106</v>
      </c>
      <c r="L841" s="48" t="s">
        <v>136</v>
      </c>
    </row>
    <row r="842" spans="1:12" x14ac:dyDescent="0.2">
      <c r="A842" s="2" t="s">
        <v>59</v>
      </c>
      <c r="B842" s="36">
        <v>140</v>
      </c>
      <c r="C842" s="2" t="s">
        <v>107</v>
      </c>
      <c r="L842" s="48" t="s">
        <v>1070</v>
      </c>
    </row>
    <row r="843" spans="1:12" x14ac:dyDescent="0.2">
      <c r="A843" s="2" t="s">
        <v>59</v>
      </c>
      <c r="B843" s="36">
        <v>140</v>
      </c>
      <c r="C843" s="2" t="s">
        <v>1561</v>
      </c>
      <c r="L843" s="48">
        <v>62500</v>
      </c>
    </row>
    <row r="845" spans="1:12" x14ac:dyDescent="0.2">
      <c r="A845" s="2" t="s">
        <v>743</v>
      </c>
      <c r="B845" s="36">
        <v>1</v>
      </c>
      <c r="C845" s="2" t="s">
        <v>38</v>
      </c>
      <c r="L845" s="48" t="s">
        <v>745</v>
      </c>
    </row>
    <row r="846" spans="1:12" x14ac:dyDescent="0.2">
      <c r="A846" s="2" t="s">
        <v>743</v>
      </c>
      <c r="B846" s="36">
        <v>1</v>
      </c>
      <c r="C846" s="2" t="s">
        <v>104</v>
      </c>
      <c r="E846" s="2" t="s">
        <v>1130</v>
      </c>
      <c r="F846" s="2" t="s">
        <v>744</v>
      </c>
      <c r="G846" s="2" t="s">
        <v>750</v>
      </c>
      <c r="L846" s="48" t="str">
        <f t="shared" ref="L846:L847" si="101">_xlfn.TEXTJOIN("", TRUE, D846:J846)</f>
        <v>02_Slots/Gottheit/Goetter-mit-Epitheta/0140_Goetterneunheit/epitheta/01_aA.t/0001_aA.t_01.png</v>
      </c>
    </row>
    <row r="847" spans="1:12" x14ac:dyDescent="0.2">
      <c r="A847" s="2" t="s">
        <v>743</v>
      </c>
      <c r="B847" s="36">
        <v>1</v>
      </c>
      <c r="C847" s="2" t="s">
        <v>104</v>
      </c>
      <c r="E847" s="2" t="s">
        <v>1130</v>
      </c>
      <c r="F847" s="2" t="s">
        <v>744</v>
      </c>
      <c r="G847" s="2" t="s">
        <v>751</v>
      </c>
      <c r="L847" s="48" t="str">
        <f t="shared" si="101"/>
        <v>02_Slots/Gottheit/Goetter-mit-Epitheta/0140_Goetterneunheit/epitheta/01_aA.t/0010_aA.t_02.png</v>
      </c>
    </row>
    <row r="848" spans="1:12" x14ac:dyDescent="0.2">
      <c r="A848" s="2" t="s">
        <v>743</v>
      </c>
      <c r="B848" s="36">
        <v>1</v>
      </c>
      <c r="C848" s="2" t="s">
        <v>104</v>
      </c>
      <c r="E848" s="2" t="s">
        <v>1130</v>
      </c>
      <c r="F848" s="2" t="s">
        <v>744</v>
      </c>
      <c r="G848" s="2" t="s">
        <v>752</v>
      </c>
      <c r="I848" s="2" t="s">
        <v>1090</v>
      </c>
      <c r="J848" s="2" t="s">
        <v>1091</v>
      </c>
      <c r="K848" s="2" t="s">
        <v>1092</v>
      </c>
      <c r="L848" s="48" t="str">
        <f t="shared" ref="L848:L851" si="102">_xlfn.TEXTJOIN("", TRUE, D848:K848)</f>
        <v>02_Slots/Gottheit/Goetter-mit-Epitheta/0140_Goetterneunheit/epitheta/01_aA.t/0020_aA.t_AR_01.png &lt;sup&gt;(AR)&lt;/sup&gt;</v>
      </c>
    </row>
    <row r="849" spans="1:12" x14ac:dyDescent="0.2">
      <c r="A849" s="2" t="s">
        <v>743</v>
      </c>
      <c r="B849" s="36">
        <v>1</v>
      </c>
      <c r="C849" s="2" t="s">
        <v>104</v>
      </c>
      <c r="E849" s="2" t="s">
        <v>1130</v>
      </c>
      <c r="F849" s="2" t="s">
        <v>744</v>
      </c>
      <c r="G849" s="2" t="s">
        <v>753</v>
      </c>
      <c r="I849" s="2" t="s">
        <v>1090</v>
      </c>
      <c r="J849" s="2" t="s">
        <v>1094</v>
      </c>
      <c r="K849" s="2" t="s">
        <v>1092</v>
      </c>
      <c r="L849" s="48" t="str">
        <f t="shared" si="102"/>
        <v>02_Slots/Gottheit/Goetter-mit-Epitheta/0140_Goetterneunheit/epitheta/01_aA.t/0030_aA.t_MR_01.png &lt;sup&gt;(MR)&lt;/sup&gt;</v>
      </c>
    </row>
    <row r="850" spans="1:12" x14ac:dyDescent="0.2">
      <c r="A850" s="2" t="s">
        <v>743</v>
      </c>
      <c r="B850" s="36">
        <v>1</v>
      </c>
      <c r="C850" s="2" t="s">
        <v>104</v>
      </c>
      <c r="E850" s="2" t="s">
        <v>1130</v>
      </c>
      <c r="F850" s="2" t="s">
        <v>744</v>
      </c>
      <c r="G850" s="2" t="s">
        <v>754</v>
      </c>
      <c r="I850" s="2" t="s">
        <v>1090</v>
      </c>
      <c r="J850" s="2" t="s">
        <v>1094</v>
      </c>
      <c r="K850" s="2" t="s">
        <v>1092</v>
      </c>
      <c r="L850" s="48" t="str">
        <f t="shared" si="102"/>
        <v>02_Slots/Gottheit/Goetter-mit-Epitheta/0140_Goetterneunheit/epitheta/01_aA.t/0040_aA.t_MR_02.png &lt;sup&gt;(MR)&lt;/sup&gt;</v>
      </c>
    </row>
    <row r="851" spans="1:12" x14ac:dyDescent="0.2">
      <c r="A851" s="2" t="s">
        <v>743</v>
      </c>
      <c r="B851" s="36">
        <v>1</v>
      </c>
      <c r="C851" s="2" t="s">
        <v>104</v>
      </c>
      <c r="E851" s="2" t="s">
        <v>1130</v>
      </c>
      <c r="F851" s="2" t="s">
        <v>744</v>
      </c>
      <c r="G851" s="2" t="s">
        <v>755</v>
      </c>
      <c r="I851" s="2" t="s">
        <v>1090</v>
      </c>
      <c r="J851" s="2" t="s">
        <v>1094</v>
      </c>
      <c r="K851" s="2" t="s">
        <v>1092</v>
      </c>
      <c r="L851" s="48" t="str">
        <f t="shared" si="102"/>
        <v>02_Slots/Gottheit/Goetter-mit-Epitheta/0140_Goetterneunheit/epitheta/01_aA.t/0050_aA.t_MR_03.png &lt;sup&gt;(MR)&lt;/sup&gt;</v>
      </c>
    </row>
    <row r="852" spans="1:12" x14ac:dyDescent="0.2">
      <c r="A852" s="2" t="s">
        <v>743</v>
      </c>
      <c r="B852" s="36">
        <v>1</v>
      </c>
      <c r="C852" s="2" t="s">
        <v>26</v>
      </c>
      <c r="L852" s="48" t="s">
        <v>746</v>
      </c>
    </row>
    <row r="853" spans="1:12" x14ac:dyDescent="0.2">
      <c r="A853" s="2" t="s">
        <v>743</v>
      </c>
      <c r="B853" s="36">
        <v>1</v>
      </c>
      <c r="C853" s="2" t="s">
        <v>1561</v>
      </c>
      <c r="L853" s="48">
        <v>500407</v>
      </c>
    </row>
    <row r="855" spans="1:12" x14ac:dyDescent="0.2">
      <c r="A855" s="2" t="s">
        <v>743</v>
      </c>
      <c r="B855" s="36">
        <v>2</v>
      </c>
      <c r="C855" s="2" t="s">
        <v>38</v>
      </c>
      <c r="L855" s="48" t="s">
        <v>747</v>
      </c>
    </row>
    <row r="856" spans="1:12" x14ac:dyDescent="0.2">
      <c r="A856" s="2" t="s">
        <v>743</v>
      </c>
      <c r="B856" s="36">
        <v>2</v>
      </c>
      <c r="C856" s="2" t="s">
        <v>104</v>
      </c>
      <c r="E856" s="2" t="s">
        <v>1130</v>
      </c>
      <c r="F856" s="2" t="s">
        <v>749</v>
      </c>
      <c r="G856" s="2" t="s">
        <v>756</v>
      </c>
      <c r="L856" s="48" t="str">
        <f>_xlfn.TEXTJOIN("", TRUE, D856:J856)</f>
        <v>02_Slots/Gottheit/Goetter-mit-Epitheta/0140_Goetterneunheit/epitheta/02_nDs.t/0001_nDs.t_01.png</v>
      </c>
    </row>
    <row r="857" spans="1:12" x14ac:dyDescent="0.2">
      <c r="A857" s="2" t="s">
        <v>743</v>
      </c>
      <c r="B857" s="36">
        <v>2</v>
      </c>
      <c r="C857" s="2" t="s">
        <v>104</v>
      </c>
      <c r="E857" s="2" t="s">
        <v>1130</v>
      </c>
      <c r="F857" s="2" t="s">
        <v>749</v>
      </c>
      <c r="G857" s="2" t="s">
        <v>757</v>
      </c>
      <c r="I857" s="2" t="s">
        <v>1090</v>
      </c>
      <c r="J857" s="2" t="s">
        <v>1091</v>
      </c>
      <c r="K857" s="2" t="s">
        <v>1092</v>
      </c>
      <c r="L857" s="48" t="str">
        <f t="shared" ref="L857:L860" si="103">_xlfn.TEXTJOIN("", TRUE, D857:K857)</f>
        <v>02_Slots/Gottheit/Goetter-mit-Epitheta/0140_Goetterneunheit/epitheta/02_nDs.t/0010_nDs.t_AR_01.png &lt;sup&gt;(AR)&lt;/sup&gt;</v>
      </c>
    </row>
    <row r="858" spans="1:12" x14ac:dyDescent="0.2">
      <c r="A858" s="2" t="s">
        <v>743</v>
      </c>
      <c r="B858" s="36">
        <v>2</v>
      </c>
      <c r="C858" s="2" t="s">
        <v>104</v>
      </c>
      <c r="E858" s="2" t="s">
        <v>1130</v>
      </c>
      <c r="F858" s="2" t="s">
        <v>749</v>
      </c>
      <c r="G858" s="2" t="s">
        <v>758</v>
      </c>
      <c r="I858" s="2" t="s">
        <v>1090</v>
      </c>
      <c r="J858" s="2" t="s">
        <v>1094</v>
      </c>
      <c r="K858" s="2" t="s">
        <v>1092</v>
      </c>
      <c r="L858" s="48" t="str">
        <f t="shared" si="103"/>
        <v>02_Slots/Gottheit/Goetter-mit-Epitheta/0140_Goetterneunheit/epitheta/02_nDs.t/0020_nDs.t_MR_01.png &lt;sup&gt;(MR)&lt;/sup&gt;</v>
      </c>
    </row>
    <row r="859" spans="1:12" x14ac:dyDescent="0.2">
      <c r="A859" s="2" t="s">
        <v>743</v>
      </c>
      <c r="B859" s="36">
        <v>2</v>
      </c>
      <c r="C859" s="2" t="s">
        <v>104</v>
      </c>
      <c r="E859" s="2" t="s">
        <v>1130</v>
      </c>
      <c r="F859" s="2" t="s">
        <v>749</v>
      </c>
      <c r="G859" s="2" t="s">
        <v>759</v>
      </c>
      <c r="I859" s="2" t="s">
        <v>1090</v>
      </c>
      <c r="J859" s="2" t="s">
        <v>1094</v>
      </c>
      <c r="K859" s="2" t="s">
        <v>1092</v>
      </c>
      <c r="L859" s="48" t="str">
        <f t="shared" si="103"/>
        <v>02_Slots/Gottheit/Goetter-mit-Epitheta/0140_Goetterneunheit/epitheta/02_nDs.t/0030_nDs.t_MR_02.png &lt;sup&gt;(MR)&lt;/sup&gt;</v>
      </c>
    </row>
    <row r="860" spans="1:12" x14ac:dyDescent="0.2">
      <c r="A860" s="2" t="s">
        <v>743</v>
      </c>
      <c r="B860" s="36">
        <v>2</v>
      </c>
      <c r="C860" s="2" t="s">
        <v>104</v>
      </c>
      <c r="E860" s="2" t="s">
        <v>1130</v>
      </c>
      <c r="F860" s="2" t="s">
        <v>749</v>
      </c>
      <c r="G860" s="2" t="s">
        <v>760</v>
      </c>
      <c r="I860" s="2" t="s">
        <v>1090</v>
      </c>
      <c r="J860" s="2" t="s">
        <v>1099</v>
      </c>
      <c r="K860" s="2" t="s">
        <v>1092</v>
      </c>
      <c r="L860" s="48" t="str">
        <f t="shared" si="103"/>
        <v>02_Slots/Gottheit/Goetter-mit-Epitheta/0140_Goetterneunheit/epitheta/02_nDs.t/0040_nDs.t_Sp_01.png &lt;sup&gt;(Sp.)&lt;/sup&gt;</v>
      </c>
    </row>
    <row r="861" spans="1:12" x14ac:dyDescent="0.2">
      <c r="A861" s="2" t="s">
        <v>743</v>
      </c>
      <c r="B861" s="36">
        <v>2</v>
      </c>
      <c r="C861" s="2" t="s">
        <v>26</v>
      </c>
      <c r="L861" s="48" t="s">
        <v>748</v>
      </c>
    </row>
    <row r="862" spans="1:12" x14ac:dyDescent="0.2">
      <c r="A862" s="2" t="s">
        <v>743</v>
      </c>
      <c r="B862" s="36">
        <v>2</v>
      </c>
      <c r="C862" s="2" t="s">
        <v>1561</v>
      </c>
      <c r="L862" s="48">
        <v>500408</v>
      </c>
    </row>
    <row r="864" spans="1:12" x14ac:dyDescent="0.2">
      <c r="A864" s="2" t="s">
        <v>59</v>
      </c>
      <c r="B864" s="36">
        <v>150</v>
      </c>
      <c r="C864" s="2" t="s">
        <v>38</v>
      </c>
      <c r="L864" s="48" t="s">
        <v>631</v>
      </c>
    </row>
    <row r="865" spans="1:12" x14ac:dyDescent="0.2">
      <c r="A865" s="2" t="s">
        <v>59</v>
      </c>
      <c r="B865" s="36">
        <v>150</v>
      </c>
      <c r="C865" s="2" t="s">
        <v>104</v>
      </c>
      <c r="E865" s="2" t="s">
        <v>1131</v>
      </c>
      <c r="G865" s="2" t="s">
        <v>761</v>
      </c>
      <c r="H865" s="2" t="s">
        <v>111</v>
      </c>
      <c r="L865" s="48" t="str">
        <f>_xlfn.TEXTJOIN("", TRUE, D865:J865)</f>
        <v>02_Slots/Gottheit/Goetter-mit-Epitheta/0150_Ptah/0001_ptH_01.png</v>
      </c>
    </row>
    <row r="866" spans="1:12" x14ac:dyDescent="0.2">
      <c r="A866" s="2" t="s">
        <v>59</v>
      </c>
      <c r="B866" s="36">
        <v>150</v>
      </c>
      <c r="C866" s="2" t="s">
        <v>105</v>
      </c>
      <c r="E866" s="2" t="s">
        <v>1131</v>
      </c>
      <c r="F866" s="2" t="s">
        <v>109</v>
      </c>
      <c r="G866" s="2" t="s">
        <v>762</v>
      </c>
      <c r="L866" s="48" t="str">
        <f>_xlfn.TEXTJOIN("", TRUE, D866:J866)</f>
        <v>02_Slots/Gottheit/Goetter-mit-Epitheta/0150_Ptah/det/0001_ptH_det_01.png</v>
      </c>
    </row>
    <row r="867" spans="1:12" x14ac:dyDescent="0.2">
      <c r="A867" s="2" t="s">
        <v>59</v>
      </c>
      <c r="B867" s="36">
        <v>150</v>
      </c>
      <c r="C867" s="2" t="s">
        <v>105</v>
      </c>
      <c r="E867" s="2" t="s">
        <v>1131</v>
      </c>
      <c r="F867" s="2" t="s">
        <v>109</v>
      </c>
      <c r="G867" s="2" t="s">
        <v>763</v>
      </c>
      <c r="L867" s="48" t="str">
        <f>_xlfn.TEXTJOIN("", TRUE, D867:J867)</f>
        <v>02_Slots/Gottheit/Goetter-mit-Epitheta/0150_Ptah/det/0010_ptH_det_02.png</v>
      </c>
    </row>
    <row r="868" spans="1:12" x14ac:dyDescent="0.2">
      <c r="A868" s="2" t="s">
        <v>59</v>
      </c>
      <c r="B868" s="36">
        <v>150</v>
      </c>
      <c r="C868" s="2" t="s">
        <v>106</v>
      </c>
      <c r="L868" s="48" t="s">
        <v>137</v>
      </c>
    </row>
    <row r="869" spans="1:12" x14ac:dyDescent="0.2">
      <c r="A869" s="2" t="s">
        <v>59</v>
      </c>
      <c r="B869" s="36">
        <v>150</v>
      </c>
      <c r="C869" s="2" t="s">
        <v>107</v>
      </c>
    </row>
    <row r="870" spans="1:12" x14ac:dyDescent="0.2">
      <c r="A870" s="2" t="s">
        <v>59</v>
      </c>
      <c r="B870" s="36">
        <v>150</v>
      </c>
      <c r="C870" s="2" t="s">
        <v>1561</v>
      </c>
      <c r="L870" s="48">
        <v>62980</v>
      </c>
    </row>
    <row r="873" spans="1:12" x14ac:dyDescent="0.2">
      <c r="A873" s="2" t="s">
        <v>59</v>
      </c>
      <c r="B873" s="36">
        <v>160</v>
      </c>
      <c r="C873" s="2" t="s">
        <v>38</v>
      </c>
      <c r="L873" s="48" t="s">
        <v>632</v>
      </c>
    </row>
    <row r="874" spans="1:12" x14ac:dyDescent="0.2">
      <c r="A874" s="2" t="s">
        <v>59</v>
      </c>
      <c r="B874" s="36">
        <v>160</v>
      </c>
      <c r="C874" s="2" t="s">
        <v>104</v>
      </c>
      <c r="E874" s="2" t="s">
        <v>1132</v>
      </c>
      <c r="G874" s="2" t="s">
        <v>765</v>
      </c>
      <c r="L874" s="48" t="str">
        <f t="shared" ref="L874:L875" si="104">_xlfn.TEXTJOIN("", TRUE, D874:J874)</f>
        <v>02_Slots/Gottheit/Goetter-mit-Epitheta/0160_Maat/0001_mAa.t_01.png</v>
      </c>
    </row>
    <row r="875" spans="1:12" x14ac:dyDescent="0.2">
      <c r="A875" s="2" t="s">
        <v>59</v>
      </c>
      <c r="B875" s="36">
        <v>160</v>
      </c>
      <c r="C875" s="2" t="s">
        <v>104</v>
      </c>
      <c r="E875" s="2" t="s">
        <v>1132</v>
      </c>
      <c r="G875" s="2" t="s">
        <v>766</v>
      </c>
      <c r="L875" s="48" t="str">
        <f t="shared" si="104"/>
        <v>02_Slots/Gottheit/Goetter-mit-Epitheta/0160_Maat/0010_mAa.t_02.png</v>
      </c>
    </row>
    <row r="876" spans="1:12" x14ac:dyDescent="0.2">
      <c r="A876" s="2" t="s">
        <v>59</v>
      </c>
      <c r="B876" s="36">
        <v>160</v>
      </c>
      <c r="C876" s="2" t="s">
        <v>104</v>
      </c>
      <c r="E876" s="2" t="s">
        <v>1132</v>
      </c>
      <c r="G876" s="2" t="s">
        <v>767</v>
      </c>
      <c r="I876" s="2" t="s">
        <v>1090</v>
      </c>
      <c r="J876" s="2" t="s">
        <v>1091</v>
      </c>
      <c r="K876" s="2" t="s">
        <v>1092</v>
      </c>
      <c r="L876" s="48" t="str">
        <f t="shared" ref="L876:L885" si="105">_xlfn.TEXTJOIN("", TRUE, D876:K876)</f>
        <v>02_Slots/Gottheit/Goetter-mit-Epitheta/0160_Maat/0020_mAa.t_AR_01.png &lt;sup&gt;(AR)&lt;/sup&gt;</v>
      </c>
    </row>
    <row r="877" spans="1:12" x14ac:dyDescent="0.2">
      <c r="A877" s="2" t="s">
        <v>59</v>
      </c>
      <c r="B877" s="36">
        <v>160</v>
      </c>
      <c r="C877" s="2" t="s">
        <v>104</v>
      </c>
      <c r="E877" s="2" t="s">
        <v>1132</v>
      </c>
      <c r="G877" s="2" t="s">
        <v>768</v>
      </c>
      <c r="I877" s="2" t="s">
        <v>1090</v>
      </c>
      <c r="J877" s="2" t="s">
        <v>1091</v>
      </c>
      <c r="K877" s="2" t="s">
        <v>1092</v>
      </c>
      <c r="L877" s="48" t="str">
        <f t="shared" si="105"/>
        <v>02_Slots/Gottheit/Goetter-mit-Epitheta/0160_Maat/0030_mAa.t_AR_02.png &lt;sup&gt;(AR)&lt;/sup&gt;</v>
      </c>
    </row>
    <row r="878" spans="1:12" x14ac:dyDescent="0.2">
      <c r="A878" s="2" t="s">
        <v>59</v>
      </c>
      <c r="B878" s="36">
        <v>160</v>
      </c>
      <c r="C878" s="2" t="s">
        <v>104</v>
      </c>
      <c r="E878" s="2" t="s">
        <v>1132</v>
      </c>
      <c r="G878" s="2" t="s">
        <v>769</v>
      </c>
      <c r="I878" s="2" t="s">
        <v>1090</v>
      </c>
      <c r="J878" s="2" t="s">
        <v>1094</v>
      </c>
      <c r="K878" s="2" t="s">
        <v>1092</v>
      </c>
      <c r="L878" s="48" t="str">
        <f t="shared" si="105"/>
        <v>02_Slots/Gottheit/Goetter-mit-Epitheta/0160_Maat/0040_mAa.t_MR_01.png &lt;sup&gt;(MR)&lt;/sup&gt;</v>
      </c>
    </row>
    <row r="879" spans="1:12" x14ac:dyDescent="0.2">
      <c r="A879" s="2" t="s">
        <v>59</v>
      </c>
      <c r="B879" s="36">
        <v>160</v>
      </c>
      <c r="C879" s="2" t="s">
        <v>104</v>
      </c>
      <c r="E879" s="2" t="s">
        <v>1132</v>
      </c>
      <c r="G879" s="2" t="s">
        <v>770</v>
      </c>
      <c r="I879" s="2" t="s">
        <v>1090</v>
      </c>
      <c r="J879" s="2" t="s">
        <v>1094</v>
      </c>
      <c r="K879" s="2" t="s">
        <v>1092</v>
      </c>
      <c r="L879" s="48" t="str">
        <f t="shared" si="105"/>
        <v>02_Slots/Gottheit/Goetter-mit-Epitheta/0160_Maat/0050_mAa.t_MR_02.png &lt;sup&gt;(MR)&lt;/sup&gt;</v>
      </c>
    </row>
    <row r="880" spans="1:12" x14ac:dyDescent="0.2">
      <c r="A880" s="2" t="s">
        <v>59</v>
      </c>
      <c r="B880" s="36">
        <v>160</v>
      </c>
      <c r="C880" s="2" t="s">
        <v>104</v>
      </c>
      <c r="E880" s="2" t="s">
        <v>1132</v>
      </c>
      <c r="G880" s="2" t="s">
        <v>771</v>
      </c>
      <c r="I880" s="2" t="s">
        <v>1090</v>
      </c>
      <c r="J880" s="2" t="s">
        <v>1049</v>
      </c>
      <c r="K880" s="2" t="s">
        <v>1092</v>
      </c>
      <c r="L880" s="48" t="str">
        <f t="shared" si="105"/>
        <v>02_Slots/Gottheit/Goetter-mit-Epitheta/0160_Maat/0060_mAa.t_NR_01.png &lt;sup&gt;(NR)&lt;/sup&gt;</v>
      </c>
    </row>
    <row r="881" spans="1:12" x14ac:dyDescent="0.2">
      <c r="A881" s="2" t="s">
        <v>59</v>
      </c>
      <c r="B881" s="36">
        <v>160</v>
      </c>
      <c r="C881" s="2" t="s">
        <v>104</v>
      </c>
      <c r="E881" s="2" t="s">
        <v>1132</v>
      </c>
      <c r="G881" s="2" t="s">
        <v>772</v>
      </c>
      <c r="I881" s="2" t="s">
        <v>1090</v>
      </c>
      <c r="J881" s="2" t="s">
        <v>1049</v>
      </c>
      <c r="K881" s="2" t="s">
        <v>1092</v>
      </c>
      <c r="L881" s="48" t="str">
        <f t="shared" si="105"/>
        <v>02_Slots/Gottheit/Goetter-mit-Epitheta/0160_Maat/0070_mAa.t_NR_02.png &lt;sup&gt;(NR)&lt;/sup&gt;</v>
      </c>
    </row>
    <row r="882" spans="1:12" x14ac:dyDescent="0.2">
      <c r="A882" s="2" t="s">
        <v>59</v>
      </c>
      <c r="B882" s="36">
        <v>160</v>
      </c>
      <c r="C882" s="2" t="s">
        <v>104</v>
      </c>
      <c r="E882" s="2" t="s">
        <v>1132</v>
      </c>
      <c r="G882" s="2" t="s">
        <v>773</v>
      </c>
      <c r="I882" s="2" t="s">
        <v>1090</v>
      </c>
      <c r="J882" s="2" t="s">
        <v>1093</v>
      </c>
      <c r="K882" s="2" t="s">
        <v>1092</v>
      </c>
      <c r="L882" s="48" t="str">
        <f t="shared" si="105"/>
        <v>02_Slots/Gottheit/Goetter-mit-Epitheta/0160_Maat/0080_mAa.t_GR_01.png &lt;sup&gt;(Gr.)&lt;/sup&gt;</v>
      </c>
    </row>
    <row r="883" spans="1:12" x14ac:dyDescent="0.2">
      <c r="A883" s="2" t="s">
        <v>59</v>
      </c>
      <c r="B883" s="36">
        <v>160</v>
      </c>
      <c r="C883" s="2" t="s">
        <v>104</v>
      </c>
      <c r="E883" s="2" t="s">
        <v>1132</v>
      </c>
      <c r="G883" s="2" t="s">
        <v>764</v>
      </c>
      <c r="I883" s="2" t="s">
        <v>1090</v>
      </c>
      <c r="J883" s="2" t="s">
        <v>1093</v>
      </c>
      <c r="K883" s="2" t="s">
        <v>1092</v>
      </c>
      <c r="L883" s="48" t="str">
        <f t="shared" si="105"/>
        <v>02_Slots/Gottheit/Goetter-mit-Epitheta/0160_Maat/0090_mAa.t_GR_02.png &lt;sup&gt;(Gr.)&lt;/sup&gt;</v>
      </c>
    </row>
    <row r="884" spans="1:12" x14ac:dyDescent="0.2">
      <c r="A884" s="2" t="s">
        <v>59</v>
      </c>
      <c r="B884" s="36">
        <v>160</v>
      </c>
      <c r="C884" s="2" t="s">
        <v>105</v>
      </c>
      <c r="E884" s="2" t="s">
        <v>1132</v>
      </c>
      <c r="F884" s="2" t="s">
        <v>109</v>
      </c>
      <c r="G884" s="2" t="s">
        <v>774</v>
      </c>
      <c r="I884" s="2" t="s">
        <v>1090</v>
      </c>
      <c r="J884" s="2" t="s">
        <v>1091</v>
      </c>
      <c r="K884" s="2" t="s">
        <v>1092</v>
      </c>
      <c r="L884" s="48" t="str">
        <f t="shared" si="105"/>
        <v>02_Slots/Gottheit/Goetter-mit-Epitheta/0160_Maat/det/0001_mAa.t_det_AR_01.png &lt;sup&gt;(AR)&lt;/sup&gt;</v>
      </c>
    </row>
    <row r="885" spans="1:12" x14ac:dyDescent="0.2">
      <c r="A885" s="2" t="s">
        <v>59</v>
      </c>
      <c r="B885" s="36">
        <v>160</v>
      </c>
      <c r="C885" s="2" t="s">
        <v>105</v>
      </c>
      <c r="E885" s="2" t="s">
        <v>1132</v>
      </c>
      <c r="F885" s="2" t="s">
        <v>109</v>
      </c>
      <c r="G885" s="2" t="s">
        <v>775</v>
      </c>
      <c r="I885" s="2" t="s">
        <v>1090</v>
      </c>
      <c r="J885" s="2" t="s">
        <v>1094</v>
      </c>
      <c r="K885" s="2" t="s">
        <v>1092</v>
      </c>
      <c r="L885" s="48" t="str">
        <f t="shared" si="105"/>
        <v>02_Slots/Gottheit/Goetter-mit-Epitheta/0160_Maat/det/0010_mAa.t_det_MR_01.png &lt;sup&gt;(MR)&lt;/sup&gt;</v>
      </c>
    </row>
    <row r="886" spans="1:12" x14ac:dyDescent="0.2">
      <c r="A886" s="2" t="s">
        <v>59</v>
      </c>
      <c r="B886" s="36">
        <v>160</v>
      </c>
      <c r="C886" s="2" t="s">
        <v>106</v>
      </c>
      <c r="L886" s="48" t="s">
        <v>138</v>
      </c>
    </row>
    <row r="887" spans="1:12" x14ac:dyDescent="0.2">
      <c r="A887" s="2" t="s">
        <v>59</v>
      </c>
      <c r="B887" s="36">
        <v>160</v>
      </c>
      <c r="C887" s="2" t="s">
        <v>107</v>
      </c>
    </row>
    <row r="888" spans="1:12" x14ac:dyDescent="0.2">
      <c r="A888" s="2" t="s">
        <v>59</v>
      </c>
      <c r="B888" s="36">
        <v>160</v>
      </c>
      <c r="C888" s="2" t="s">
        <v>1561</v>
      </c>
      <c r="L888" s="48">
        <v>66630</v>
      </c>
    </row>
    <row r="891" spans="1:12" x14ac:dyDescent="0.2">
      <c r="A891" s="2" t="s">
        <v>59</v>
      </c>
      <c r="B891" s="36">
        <v>170</v>
      </c>
      <c r="C891" s="2" t="s">
        <v>38</v>
      </c>
      <c r="L891" s="48" t="s">
        <v>1565</v>
      </c>
    </row>
    <row r="892" spans="1:12" x14ac:dyDescent="0.2">
      <c r="A892" s="2" t="s">
        <v>59</v>
      </c>
      <c r="B892" s="36">
        <v>170</v>
      </c>
      <c r="C892" s="2" t="s">
        <v>104</v>
      </c>
      <c r="E892" s="2" t="s">
        <v>1133</v>
      </c>
      <c r="G892" s="2" t="s">
        <v>776</v>
      </c>
      <c r="L892" s="48" t="str">
        <f>_xlfn.TEXTJOIN("", TRUE, D892:J892)</f>
        <v>02_Slots/Gottheit/Goetter-mit-Epitheta/0170_Min/0001_mjn_01.png</v>
      </c>
    </row>
    <row r="893" spans="1:12" x14ac:dyDescent="0.2">
      <c r="A893" s="2" t="s">
        <v>59</v>
      </c>
      <c r="B893" s="36">
        <v>170</v>
      </c>
      <c r="C893" s="2" t="s">
        <v>104</v>
      </c>
      <c r="E893" s="2" t="s">
        <v>1133</v>
      </c>
      <c r="G893" s="2" t="s">
        <v>777</v>
      </c>
      <c r="L893" s="48" t="str">
        <f>_xlfn.TEXTJOIN("", TRUE, D893:J893)</f>
        <v>02_Slots/Gottheit/Goetter-mit-Epitheta/0170_Min/0010_mjn_AR_01.png</v>
      </c>
    </row>
    <row r="894" spans="1:12" x14ac:dyDescent="0.2">
      <c r="A894" s="2" t="s">
        <v>59</v>
      </c>
      <c r="B894" s="36">
        <v>170</v>
      </c>
      <c r="C894" s="2" t="s">
        <v>104</v>
      </c>
      <c r="E894" s="2" t="s">
        <v>1133</v>
      </c>
      <c r="G894" s="2" t="s">
        <v>778</v>
      </c>
      <c r="L894" s="48" t="str">
        <f>_xlfn.TEXTJOIN("", TRUE, D894:J894)</f>
        <v>02_Slots/Gottheit/Goetter-mit-Epitheta/0170_Min/0020_mjn_NR_01.png</v>
      </c>
    </row>
    <row r="895" spans="1:12" x14ac:dyDescent="0.2">
      <c r="A895" s="2" t="s">
        <v>59</v>
      </c>
      <c r="B895" s="36">
        <v>170</v>
      </c>
      <c r="C895" s="2" t="s">
        <v>105</v>
      </c>
      <c r="E895" s="2" t="s">
        <v>1133</v>
      </c>
      <c r="F895" s="2" t="s">
        <v>109</v>
      </c>
      <c r="G895" s="2" t="s">
        <v>779</v>
      </c>
      <c r="H895" s="2" t="s">
        <v>111</v>
      </c>
      <c r="L895" s="48" t="str">
        <f>_xlfn.TEXTJOIN("", TRUE, D895:J895)</f>
        <v>02_Slots/Gottheit/Goetter-mit-Epitheta/0170_Min/det/0001_mjn_det_01.png</v>
      </c>
    </row>
    <row r="896" spans="1:12" x14ac:dyDescent="0.2">
      <c r="A896" s="2" t="s">
        <v>59</v>
      </c>
      <c r="B896" s="36">
        <v>170</v>
      </c>
      <c r="C896" s="2" t="s">
        <v>106</v>
      </c>
      <c r="L896" s="48" t="s">
        <v>139</v>
      </c>
    </row>
    <row r="897" spans="1:12" x14ac:dyDescent="0.2">
      <c r="A897" s="2" t="s">
        <v>59</v>
      </c>
      <c r="B897" s="36">
        <v>170</v>
      </c>
      <c r="C897" s="2" t="s">
        <v>107</v>
      </c>
    </row>
    <row r="898" spans="1:12" x14ac:dyDescent="0.2">
      <c r="A898" s="2" t="s">
        <v>59</v>
      </c>
      <c r="B898" s="36">
        <v>170</v>
      </c>
      <c r="C898" s="2" t="s">
        <v>1561</v>
      </c>
      <c r="L898" s="48">
        <v>70530</v>
      </c>
    </row>
    <row r="901" spans="1:12" x14ac:dyDescent="0.2">
      <c r="A901" s="2" t="s">
        <v>59</v>
      </c>
      <c r="B901" s="36">
        <v>180</v>
      </c>
      <c r="C901" s="2" t="s">
        <v>38</v>
      </c>
      <c r="L901" s="48" t="s">
        <v>633</v>
      </c>
    </row>
    <row r="902" spans="1:12" x14ac:dyDescent="0.2">
      <c r="A902" s="2" t="s">
        <v>59</v>
      </c>
      <c r="B902" s="36">
        <v>180</v>
      </c>
      <c r="C902" s="2" t="s">
        <v>104</v>
      </c>
      <c r="E902" s="2" t="s">
        <v>1134</v>
      </c>
      <c r="G902" s="2" t="s">
        <v>780</v>
      </c>
      <c r="L902" s="48" t="str">
        <f>_xlfn.TEXTJOIN("", TRUE, D902:J902)</f>
        <v>02_Slots/Gottheit/Goetter-mit-Epitheta/0180_Mut/0001_mw.t_01.png</v>
      </c>
    </row>
    <row r="903" spans="1:12" x14ac:dyDescent="0.2">
      <c r="A903" s="2" t="s">
        <v>59</v>
      </c>
      <c r="B903" s="36">
        <v>180</v>
      </c>
      <c r="C903" s="2" t="s">
        <v>104</v>
      </c>
      <c r="E903" s="2" t="s">
        <v>1134</v>
      </c>
      <c r="G903" s="2" t="s">
        <v>781</v>
      </c>
      <c r="L903" s="48" t="str">
        <f>_xlfn.TEXTJOIN("", TRUE, D903:J903)</f>
        <v>02_Slots/Gottheit/Goetter-mit-Epitheta/0180_Mut/0010_mw.t_02.png</v>
      </c>
    </row>
    <row r="904" spans="1:12" x14ac:dyDescent="0.2">
      <c r="A904" s="2" t="s">
        <v>59</v>
      </c>
      <c r="B904" s="36">
        <v>180</v>
      </c>
      <c r="C904" s="2" t="s">
        <v>104</v>
      </c>
      <c r="E904" s="2" t="s">
        <v>1134</v>
      </c>
      <c r="G904" s="2" t="s">
        <v>782</v>
      </c>
      <c r="L904" s="48" t="str">
        <f>_xlfn.TEXTJOIN("", TRUE, D904:J904)</f>
        <v>02_Slots/Gottheit/Goetter-mit-Epitheta/0180_Mut/0020_mw.t_03.png</v>
      </c>
    </row>
    <row r="905" spans="1:12" x14ac:dyDescent="0.2">
      <c r="A905" s="2" t="s">
        <v>59</v>
      </c>
      <c r="B905" s="36">
        <v>180</v>
      </c>
      <c r="C905" s="2" t="s">
        <v>105</v>
      </c>
      <c r="L905" s="48" t="str">
        <f>_xlfn.TEXTJOIN("", TRUE, D905:J905)</f>
        <v/>
      </c>
    </row>
    <row r="906" spans="1:12" x14ac:dyDescent="0.2">
      <c r="A906" s="2" t="s">
        <v>59</v>
      </c>
      <c r="B906" s="36">
        <v>180</v>
      </c>
      <c r="C906" s="2" t="s">
        <v>106</v>
      </c>
      <c r="L906" s="48" t="s">
        <v>140</v>
      </c>
    </row>
    <row r="907" spans="1:12" x14ac:dyDescent="0.2">
      <c r="A907" s="2" t="s">
        <v>59</v>
      </c>
      <c r="B907" s="36">
        <v>180</v>
      </c>
      <c r="C907" s="2" t="s">
        <v>107</v>
      </c>
      <c r="L907" s="48" t="s">
        <v>1071</v>
      </c>
    </row>
    <row r="908" spans="1:12" x14ac:dyDescent="0.2">
      <c r="A908" s="2" t="s">
        <v>59</v>
      </c>
      <c r="B908" s="36">
        <v>180</v>
      </c>
      <c r="C908" s="2" t="s">
        <v>1561</v>
      </c>
      <c r="L908" s="48">
        <v>69030</v>
      </c>
    </row>
    <row r="910" spans="1:12" x14ac:dyDescent="0.2">
      <c r="A910" s="2" t="s">
        <v>783</v>
      </c>
      <c r="B910" s="36">
        <v>1</v>
      </c>
      <c r="C910" s="2" t="s">
        <v>38</v>
      </c>
      <c r="L910" s="48" t="s">
        <v>784</v>
      </c>
    </row>
    <row r="911" spans="1:12" x14ac:dyDescent="0.2">
      <c r="A911" s="2" t="s">
        <v>783</v>
      </c>
      <c r="B911" s="36">
        <v>1</v>
      </c>
      <c r="C911" s="2" t="s">
        <v>104</v>
      </c>
      <c r="E911" s="2" t="s">
        <v>1134</v>
      </c>
      <c r="F911" s="2" t="s">
        <v>786</v>
      </c>
      <c r="G911" s="2" t="s">
        <v>787</v>
      </c>
      <c r="L911" s="48" t="str">
        <f>_xlfn.TEXTJOIN("", TRUE, D911:J911)</f>
        <v>02_Slots/Gottheit/Goetter-mit-Epitheta/0180_Mut/epitheta/01_nb.t-jSrw/0001_nb.t-jSrw_01.png</v>
      </c>
    </row>
    <row r="912" spans="1:12" x14ac:dyDescent="0.2">
      <c r="A912" s="2" t="s">
        <v>783</v>
      </c>
      <c r="B912" s="36">
        <v>1</v>
      </c>
      <c r="C912" s="2" t="s">
        <v>104</v>
      </c>
      <c r="E912" s="2" t="s">
        <v>1134</v>
      </c>
      <c r="F912" s="2" t="s">
        <v>786</v>
      </c>
      <c r="G912" s="2" t="s">
        <v>788</v>
      </c>
      <c r="L912" s="48" t="str">
        <f>_xlfn.TEXTJOIN("", TRUE, D912:J912)</f>
        <v>02_Slots/Gottheit/Goetter-mit-Epitheta/0180_Mut/epitheta/01_nb.t-jSrw/0010_nb.t-jSrw_02.png</v>
      </c>
    </row>
    <row r="913" spans="1:12" x14ac:dyDescent="0.2">
      <c r="A913" s="2" t="s">
        <v>783</v>
      </c>
      <c r="B913" s="36">
        <v>1</v>
      </c>
      <c r="C913" s="2" t="s">
        <v>104</v>
      </c>
      <c r="E913" s="2" t="s">
        <v>1134</v>
      </c>
      <c r="F913" s="2" t="s">
        <v>786</v>
      </c>
      <c r="G913" s="2" t="s">
        <v>789</v>
      </c>
      <c r="L913" s="48" t="str">
        <f>_xlfn.TEXTJOIN("", TRUE, D913:J913)</f>
        <v>02_Slots/Gottheit/Goetter-mit-Epitheta/0180_Mut/epitheta/01_nb.t-jSrw/0020_nb.t-jSrw_GR_01.png</v>
      </c>
    </row>
    <row r="914" spans="1:12" x14ac:dyDescent="0.2">
      <c r="A914" s="2" t="s">
        <v>783</v>
      </c>
      <c r="B914" s="36">
        <v>1</v>
      </c>
      <c r="C914" s="2" t="s">
        <v>26</v>
      </c>
      <c r="L914" s="48" t="s">
        <v>785</v>
      </c>
    </row>
    <row r="915" spans="1:12" x14ac:dyDescent="0.2">
      <c r="A915" s="2" t="s">
        <v>783</v>
      </c>
      <c r="B915" s="36">
        <v>1</v>
      </c>
      <c r="C915" s="2" t="s">
        <v>1561</v>
      </c>
      <c r="L915" s="48">
        <v>853771</v>
      </c>
    </row>
    <row r="920" spans="1:12" x14ac:dyDescent="0.2">
      <c r="A920" s="2" t="s">
        <v>59</v>
      </c>
      <c r="B920" s="36">
        <v>190</v>
      </c>
      <c r="C920" s="2" t="s">
        <v>38</v>
      </c>
      <c r="L920" s="48" t="s">
        <v>634</v>
      </c>
    </row>
    <row r="921" spans="1:12" x14ac:dyDescent="0.2">
      <c r="A921" s="2" t="s">
        <v>59</v>
      </c>
      <c r="B921" s="36">
        <v>190</v>
      </c>
      <c r="C921" s="2" t="s">
        <v>104</v>
      </c>
      <c r="E921" s="2" t="s">
        <v>1135</v>
      </c>
      <c r="G921" s="2" t="s">
        <v>790</v>
      </c>
      <c r="L921" s="48" t="str">
        <f t="shared" ref="L921:L927" si="106">_xlfn.TEXTJOIN("", TRUE, D921:J921)</f>
        <v>02_Slots/Gottheit/Goetter-mit-Epitheta/0190_Month/0001_mnTw_01.png</v>
      </c>
    </row>
    <row r="922" spans="1:12" x14ac:dyDescent="0.2">
      <c r="A922" s="2" t="s">
        <v>59</v>
      </c>
      <c r="B922" s="36">
        <v>190</v>
      </c>
      <c r="C922" s="2" t="s">
        <v>104</v>
      </c>
      <c r="E922" s="2" t="s">
        <v>1135</v>
      </c>
      <c r="G922" s="2" t="s">
        <v>791</v>
      </c>
      <c r="I922" s="2" t="s">
        <v>1090</v>
      </c>
      <c r="J922" s="2" t="s">
        <v>1049</v>
      </c>
      <c r="K922" s="2" t="s">
        <v>1092</v>
      </c>
      <c r="L922" s="48" t="str">
        <f>_xlfn.TEXTJOIN("", TRUE, D922:K922)</f>
        <v>02_Slots/Gottheit/Goetter-mit-Epitheta/0190_Month/0010_mnTw_NR_01.png &lt;sup&gt;(NR)&lt;/sup&gt;</v>
      </c>
    </row>
    <row r="923" spans="1:12" x14ac:dyDescent="0.2">
      <c r="A923" s="2" t="s">
        <v>59</v>
      </c>
      <c r="B923" s="36">
        <v>190</v>
      </c>
      <c r="C923" s="2" t="s">
        <v>104</v>
      </c>
      <c r="E923" s="2" t="s">
        <v>1135</v>
      </c>
      <c r="G923" s="2" t="s">
        <v>792</v>
      </c>
      <c r="I923" s="2" t="s">
        <v>1090</v>
      </c>
      <c r="J923" s="2" t="s">
        <v>1049</v>
      </c>
      <c r="K923" s="2" t="s">
        <v>1092</v>
      </c>
      <c r="L923" s="48" t="str">
        <f t="shared" ref="L923:L925" si="107">_xlfn.TEXTJOIN("", TRUE, D923:K923)</f>
        <v>02_Slots/Gottheit/Goetter-mit-Epitheta/0190_Month/0020_mnTw_NR_02.png &lt;sup&gt;(NR)&lt;/sup&gt;</v>
      </c>
    </row>
    <row r="924" spans="1:12" x14ac:dyDescent="0.2">
      <c r="A924" s="2" t="s">
        <v>59</v>
      </c>
      <c r="B924" s="36">
        <v>190</v>
      </c>
      <c r="C924" s="2" t="s">
        <v>104</v>
      </c>
      <c r="E924" s="2" t="s">
        <v>1135</v>
      </c>
      <c r="G924" s="2" t="s">
        <v>793</v>
      </c>
      <c r="I924" s="2" t="s">
        <v>1090</v>
      </c>
      <c r="J924" s="2" t="s">
        <v>1049</v>
      </c>
      <c r="K924" s="2" t="s">
        <v>1092</v>
      </c>
      <c r="L924" s="48" t="str">
        <f t="shared" si="107"/>
        <v>02_Slots/Gottheit/Goetter-mit-Epitheta/0190_Month/0030_mnTw_NR_03.png &lt;sup&gt;(NR)&lt;/sup&gt;</v>
      </c>
    </row>
    <row r="925" spans="1:12" x14ac:dyDescent="0.2">
      <c r="A925" s="2" t="s">
        <v>59</v>
      </c>
      <c r="B925" s="36">
        <v>190</v>
      </c>
      <c r="C925" s="2" t="s">
        <v>104</v>
      </c>
      <c r="E925" s="2" t="s">
        <v>1135</v>
      </c>
      <c r="G925" s="2" t="s">
        <v>794</v>
      </c>
      <c r="I925" s="2" t="s">
        <v>1090</v>
      </c>
      <c r="J925" s="2" t="s">
        <v>1093</v>
      </c>
      <c r="K925" s="2" t="s">
        <v>1092</v>
      </c>
      <c r="L925" s="48" t="str">
        <f t="shared" si="107"/>
        <v>02_Slots/Gottheit/Goetter-mit-Epitheta/0190_Month/0040_mnTw_GR_01.png &lt;sup&gt;(Gr.)&lt;/sup&gt;</v>
      </c>
    </row>
    <row r="926" spans="1:12" x14ac:dyDescent="0.2">
      <c r="A926" s="2" t="s">
        <v>59</v>
      </c>
      <c r="B926" s="36">
        <v>190</v>
      </c>
      <c r="C926" s="2" t="s">
        <v>105</v>
      </c>
      <c r="E926" s="2" t="s">
        <v>1135</v>
      </c>
      <c r="F926" s="2" t="s">
        <v>109</v>
      </c>
      <c r="G926" s="2" t="s">
        <v>795</v>
      </c>
      <c r="L926" s="48" t="str">
        <f t="shared" si="106"/>
        <v>02_Slots/Gottheit/Goetter-mit-Epitheta/0190_Month/det/0001_mnTw_det_01.png</v>
      </c>
    </row>
    <row r="927" spans="1:12" x14ac:dyDescent="0.2">
      <c r="A927" s="2" t="s">
        <v>59</v>
      </c>
      <c r="B927" s="36">
        <v>190</v>
      </c>
      <c r="C927" s="2" t="s">
        <v>105</v>
      </c>
      <c r="E927" s="2" t="s">
        <v>1135</v>
      </c>
      <c r="F927" s="2" t="s">
        <v>109</v>
      </c>
      <c r="G927" s="2" t="s">
        <v>796</v>
      </c>
      <c r="L927" s="48" t="str">
        <f t="shared" si="106"/>
        <v>02_Slots/Gottheit/Goetter-mit-Epitheta/0190_Month/det/0010_mnTw_det_02.png</v>
      </c>
    </row>
    <row r="928" spans="1:12" x14ac:dyDescent="0.2">
      <c r="A928" s="2" t="s">
        <v>59</v>
      </c>
      <c r="B928" s="36">
        <v>190</v>
      </c>
      <c r="C928" s="2" t="s">
        <v>106</v>
      </c>
      <c r="L928" s="48" t="s">
        <v>141</v>
      </c>
    </row>
    <row r="929" spans="1:12" x14ac:dyDescent="0.2">
      <c r="A929" s="2" t="s">
        <v>59</v>
      </c>
      <c r="B929" s="36">
        <v>190</v>
      </c>
      <c r="C929" s="2" t="s">
        <v>107</v>
      </c>
      <c r="L929" s="48" t="s">
        <v>1072</v>
      </c>
    </row>
    <row r="930" spans="1:12" x14ac:dyDescent="0.2">
      <c r="A930" s="2" t="s">
        <v>59</v>
      </c>
      <c r="B930" s="36">
        <v>190</v>
      </c>
      <c r="C930" s="2" t="s">
        <v>1561</v>
      </c>
      <c r="L930" s="48">
        <v>71660</v>
      </c>
    </row>
    <row r="932" spans="1:12" x14ac:dyDescent="0.2">
      <c r="A932" s="2" t="s">
        <v>797</v>
      </c>
      <c r="B932" s="36">
        <v>1</v>
      </c>
      <c r="C932" s="2" t="s">
        <v>38</v>
      </c>
      <c r="L932" s="48" t="s">
        <v>798</v>
      </c>
    </row>
    <row r="933" spans="1:12" x14ac:dyDescent="0.2">
      <c r="A933" s="2" t="s">
        <v>797</v>
      </c>
      <c r="B933" s="36">
        <v>1</v>
      </c>
      <c r="C933" s="2" t="s">
        <v>104</v>
      </c>
      <c r="E933" s="2" t="s">
        <v>1135</v>
      </c>
      <c r="F933" s="2" t="s">
        <v>800</v>
      </c>
      <c r="G933" s="2" t="s">
        <v>801</v>
      </c>
      <c r="L933" s="48" t="str">
        <f t="shared" ref="L933:L940" si="108">_xlfn.TEXTJOIN("", TRUE, D933:K933)</f>
        <v>02_Slots/Gottheit/Goetter-mit-Epitheta/0190_Month/epitheta/01_nb-wAs.t/0001_nb-WAs.t_01.png</v>
      </c>
    </row>
    <row r="934" spans="1:12" x14ac:dyDescent="0.2">
      <c r="A934" s="2" t="s">
        <v>797</v>
      </c>
      <c r="B934" s="36">
        <v>1</v>
      </c>
      <c r="C934" s="2" t="s">
        <v>104</v>
      </c>
      <c r="E934" s="2" t="s">
        <v>1135</v>
      </c>
      <c r="F934" s="2" t="s">
        <v>800</v>
      </c>
      <c r="G934" s="2" t="s">
        <v>802</v>
      </c>
      <c r="I934" s="2" t="s">
        <v>1090</v>
      </c>
      <c r="J934" s="2" t="s">
        <v>1091</v>
      </c>
      <c r="K934" s="2" t="s">
        <v>1092</v>
      </c>
      <c r="L934" s="48" t="str">
        <f t="shared" si="108"/>
        <v>02_Slots/Gottheit/Goetter-mit-Epitheta/0190_Month/epitheta/01_nb-wAs.t/0010_nb-WAs.t_AR_01.png &lt;sup&gt;(AR)&lt;/sup&gt;</v>
      </c>
    </row>
    <row r="935" spans="1:12" x14ac:dyDescent="0.2">
      <c r="A935" s="2" t="s">
        <v>797</v>
      </c>
      <c r="B935" s="36">
        <v>1</v>
      </c>
      <c r="C935" s="2" t="s">
        <v>104</v>
      </c>
      <c r="E935" s="2" t="s">
        <v>1135</v>
      </c>
      <c r="F935" s="2" t="s">
        <v>800</v>
      </c>
      <c r="G935" s="2" t="s">
        <v>803</v>
      </c>
      <c r="I935" s="2" t="s">
        <v>1090</v>
      </c>
      <c r="J935" s="2" t="s">
        <v>1049</v>
      </c>
      <c r="K935" s="2" t="s">
        <v>1092</v>
      </c>
      <c r="L935" s="48" t="str">
        <f t="shared" si="108"/>
        <v>02_Slots/Gottheit/Goetter-mit-Epitheta/0190_Month/epitheta/01_nb-wAs.t/0020_nb-WAs.t_NR_01.png &lt;sup&gt;(NR)&lt;/sup&gt;</v>
      </c>
    </row>
    <row r="936" spans="1:12" x14ac:dyDescent="0.2">
      <c r="A936" s="2" t="s">
        <v>797</v>
      </c>
      <c r="B936" s="36">
        <v>1</v>
      </c>
      <c r="C936" s="2" t="s">
        <v>104</v>
      </c>
      <c r="E936" s="2" t="s">
        <v>1135</v>
      </c>
      <c r="F936" s="2" t="s">
        <v>800</v>
      </c>
      <c r="G936" s="2" t="s">
        <v>804</v>
      </c>
      <c r="I936" s="2" t="s">
        <v>1090</v>
      </c>
      <c r="J936" s="2" t="s">
        <v>1049</v>
      </c>
      <c r="K936" s="2" t="s">
        <v>1092</v>
      </c>
      <c r="L936" s="48" t="str">
        <f t="shared" si="108"/>
        <v>02_Slots/Gottheit/Goetter-mit-Epitheta/0190_Month/epitheta/01_nb-wAs.t/0030_nb-WAs.t_NR_02.png &lt;sup&gt;(NR)&lt;/sup&gt;</v>
      </c>
    </row>
    <row r="937" spans="1:12" x14ac:dyDescent="0.2">
      <c r="A937" s="2" t="s">
        <v>797</v>
      </c>
      <c r="B937" s="36">
        <v>1</v>
      </c>
      <c r="C937" s="2" t="s">
        <v>104</v>
      </c>
      <c r="E937" s="2" t="s">
        <v>1135</v>
      </c>
      <c r="F937" s="2" t="s">
        <v>800</v>
      </c>
      <c r="G937" s="2" t="s">
        <v>805</v>
      </c>
      <c r="I937" s="2" t="s">
        <v>1090</v>
      </c>
      <c r="J937" s="2" t="s">
        <v>1049</v>
      </c>
      <c r="K937" s="2" t="s">
        <v>1092</v>
      </c>
      <c r="L937" s="48" t="str">
        <f t="shared" si="108"/>
        <v>02_Slots/Gottheit/Goetter-mit-Epitheta/0190_Month/epitheta/01_nb-wAs.t/0040_nb-WAs.t_NR_03.png &lt;sup&gt;(NR)&lt;/sup&gt;</v>
      </c>
    </row>
    <row r="938" spans="1:12" x14ac:dyDescent="0.2">
      <c r="A938" s="2" t="s">
        <v>797</v>
      </c>
      <c r="B938" s="36">
        <v>1</v>
      </c>
      <c r="C938" s="2" t="s">
        <v>104</v>
      </c>
      <c r="E938" s="2" t="s">
        <v>1135</v>
      </c>
      <c r="F938" s="2" t="s">
        <v>800</v>
      </c>
      <c r="G938" s="2" t="s">
        <v>1272</v>
      </c>
      <c r="H938" s="2" t="s">
        <v>111</v>
      </c>
      <c r="I938" s="2" t="s">
        <v>1090</v>
      </c>
      <c r="J938" s="2" t="s">
        <v>1049</v>
      </c>
      <c r="K938" s="2" t="s">
        <v>1092</v>
      </c>
      <c r="L938" s="48" t="str">
        <f t="shared" si="108"/>
        <v>02_Slots/Gottheit/Goetter-mit-Epitheta/0190_Month/epitheta/01_nb-wAs.t/0050_nb-WAs.t_NR_04.png &lt;sup&gt;(NR)&lt;/sup&gt;</v>
      </c>
    </row>
    <row r="939" spans="1:12" x14ac:dyDescent="0.2">
      <c r="A939" s="2" t="s">
        <v>797</v>
      </c>
      <c r="B939" s="36">
        <v>1</v>
      </c>
      <c r="C939" s="2" t="s">
        <v>104</v>
      </c>
      <c r="E939" s="2" t="s">
        <v>1135</v>
      </c>
      <c r="F939" s="2" t="s">
        <v>800</v>
      </c>
      <c r="G939" s="2" t="s">
        <v>1271</v>
      </c>
      <c r="H939" s="2" t="s">
        <v>111</v>
      </c>
      <c r="I939" s="2" t="s">
        <v>1090</v>
      </c>
      <c r="J939" s="2" t="s">
        <v>1099</v>
      </c>
      <c r="K939" s="2" t="s">
        <v>1092</v>
      </c>
      <c r="L939" s="48" t="str">
        <f t="shared" si="108"/>
        <v>02_Slots/Gottheit/Goetter-mit-Epitheta/0190_Month/epitheta/01_nb-wAs.t/0060_nb-WAs.t_Sp_01.png &lt;sup&gt;(Sp.)&lt;/sup&gt;</v>
      </c>
    </row>
    <row r="940" spans="1:12" x14ac:dyDescent="0.2">
      <c r="A940" s="2" t="s">
        <v>797</v>
      </c>
      <c r="B940" s="36">
        <v>1</v>
      </c>
      <c r="C940" s="2" t="s">
        <v>104</v>
      </c>
      <c r="E940" s="2" t="s">
        <v>1135</v>
      </c>
      <c r="F940" s="2" t="s">
        <v>800</v>
      </c>
      <c r="G940" s="2" t="s">
        <v>1273</v>
      </c>
      <c r="H940" s="2" t="s">
        <v>111</v>
      </c>
      <c r="I940" s="2" t="s">
        <v>1090</v>
      </c>
      <c r="J940" s="2" t="s">
        <v>1274</v>
      </c>
      <c r="K940" s="2" t="s">
        <v>1092</v>
      </c>
      <c r="L940" s="48" t="str">
        <f t="shared" si="108"/>
        <v>02_Slots/Gottheit/Goetter-mit-Epitheta/0190_Month/epitheta/01_nb-wAs.t/0070_nb-WAs.t_Gr_01.png &lt;sup&gt;  &lt;/sup&gt;</v>
      </c>
    </row>
    <row r="941" spans="1:12" x14ac:dyDescent="0.2">
      <c r="A941" s="2" t="s">
        <v>797</v>
      </c>
      <c r="B941" s="36">
        <v>1</v>
      </c>
      <c r="C941" s="2" t="s">
        <v>26</v>
      </c>
      <c r="L941" s="48" t="s">
        <v>799</v>
      </c>
    </row>
    <row r="942" spans="1:12" x14ac:dyDescent="0.2">
      <c r="A942" s="2" t="s">
        <v>797</v>
      </c>
      <c r="B942" s="36">
        <v>1</v>
      </c>
      <c r="C942" s="2" t="s">
        <v>1561</v>
      </c>
      <c r="L942" s="48">
        <v>850777</v>
      </c>
    </row>
    <row r="946" spans="1:12" x14ac:dyDescent="0.2">
      <c r="A946" s="2" t="s">
        <v>59</v>
      </c>
      <c r="B946" s="36">
        <v>200</v>
      </c>
      <c r="C946" s="2" t="s">
        <v>38</v>
      </c>
      <c r="L946" s="48" t="s">
        <v>635</v>
      </c>
    </row>
    <row r="947" spans="1:12" x14ac:dyDescent="0.2">
      <c r="A947" s="2" t="s">
        <v>59</v>
      </c>
      <c r="B947" s="36">
        <v>200</v>
      </c>
      <c r="C947" s="2" t="s">
        <v>104</v>
      </c>
      <c r="E947" s="2" t="s">
        <v>1136</v>
      </c>
      <c r="G947" s="2" t="s">
        <v>806</v>
      </c>
      <c r="L947" s="48" t="str">
        <f>_xlfn.TEXTJOIN("", TRUE, D947:K947)</f>
        <v>02_Slots/Gottheit/Goetter-mit-Epitheta/0200_Neith/0001_nj.t_01.png</v>
      </c>
    </row>
    <row r="948" spans="1:12" x14ac:dyDescent="0.2">
      <c r="A948" s="2" t="s">
        <v>59</v>
      </c>
      <c r="B948" s="36">
        <v>200</v>
      </c>
      <c r="C948" s="2" t="s">
        <v>104</v>
      </c>
      <c r="E948" s="2" t="s">
        <v>1136</v>
      </c>
      <c r="G948" s="2" t="s">
        <v>807</v>
      </c>
      <c r="L948" s="48" t="str">
        <f>_xlfn.TEXTJOIN("", TRUE, D948:K948)</f>
        <v>02_Slots/Gottheit/Goetter-mit-Epitheta/0200_Neith/0010_nj.t_02.png</v>
      </c>
    </row>
    <row r="949" spans="1:12" x14ac:dyDescent="0.2">
      <c r="A949" s="2" t="s">
        <v>59</v>
      </c>
      <c r="B949" s="36">
        <v>200</v>
      </c>
      <c r="C949" s="2" t="s">
        <v>104</v>
      </c>
      <c r="E949" s="2" t="s">
        <v>1136</v>
      </c>
      <c r="G949" s="2" t="s">
        <v>808</v>
      </c>
      <c r="L949" s="48" t="str">
        <f>_xlfn.TEXTJOIN("", TRUE, D949:K949)</f>
        <v>02_Slots/Gottheit/Goetter-mit-Epitheta/0200_Neith/0020_nj.t_03.png</v>
      </c>
    </row>
    <row r="950" spans="1:12" x14ac:dyDescent="0.2">
      <c r="A950" s="2" t="s">
        <v>59</v>
      </c>
      <c r="B950" s="36">
        <v>200</v>
      </c>
      <c r="C950" s="2" t="s">
        <v>104</v>
      </c>
      <c r="E950" s="2" t="s">
        <v>1136</v>
      </c>
      <c r="G950" s="2" t="s">
        <v>809</v>
      </c>
      <c r="L950" s="48" t="str">
        <f>_xlfn.TEXTJOIN("", TRUE, D950:K950)</f>
        <v>02_Slots/Gottheit/Goetter-mit-Epitheta/0200_Neith/0030_nj.t_04.png</v>
      </c>
    </row>
    <row r="951" spans="1:12" x14ac:dyDescent="0.2">
      <c r="A951" s="2" t="s">
        <v>59</v>
      </c>
      <c r="B951" s="36">
        <v>200</v>
      </c>
      <c r="C951" s="2" t="s">
        <v>104</v>
      </c>
      <c r="E951" s="2" t="s">
        <v>1136</v>
      </c>
      <c r="G951" s="2" t="s">
        <v>810</v>
      </c>
      <c r="I951" s="2" t="s">
        <v>1090</v>
      </c>
      <c r="J951" s="2" t="s">
        <v>1049</v>
      </c>
      <c r="K951" s="2" t="s">
        <v>1092</v>
      </c>
      <c r="L951" s="48" t="str">
        <f>_xlfn.TEXTJOIN("", TRUE, D951:K951)</f>
        <v>02_Slots/Gottheit/Goetter-mit-Epitheta/0200_Neith/0040_nj.t_NR_01.png &lt;sup&gt;(NR)&lt;/sup&gt;</v>
      </c>
    </row>
    <row r="952" spans="1:12" x14ac:dyDescent="0.2">
      <c r="A952" s="2" t="s">
        <v>59</v>
      </c>
      <c r="B952" s="36">
        <v>200</v>
      </c>
      <c r="C952" s="2" t="s">
        <v>105</v>
      </c>
      <c r="L952" s="48" t="str">
        <f t="shared" ref="L952" si="109">_xlfn.TEXTJOIN("", TRUE, D952:J952)</f>
        <v/>
      </c>
    </row>
    <row r="953" spans="1:12" x14ac:dyDescent="0.2">
      <c r="A953" s="2" t="s">
        <v>59</v>
      </c>
      <c r="B953" s="36">
        <v>200</v>
      </c>
      <c r="C953" s="2" t="s">
        <v>106</v>
      </c>
      <c r="L953" s="48" t="s">
        <v>142</v>
      </c>
    </row>
    <row r="954" spans="1:12" x14ac:dyDescent="0.2">
      <c r="A954" s="2" t="s">
        <v>59</v>
      </c>
      <c r="B954" s="36">
        <v>200</v>
      </c>
      <c r="C954" s="2" t="s">
        <v>107</v>
      </c>
    </row>
    <row r="955" spans="1:12" x14ac:dyDescent="0.2">
      <c r="A955" s="2" t="s">
        <v>59</v>
      </c>
      <c r="B955" s="36">
        <v>200</v>
      </c>
      <c r="C955" s="2" t="s">
        <v>1561</v>
      </c>
      <c r="L955" s="48">
        <v>79010</v>
      </c>
    </row>
    <row r="958" spans="1:12" x14ac:dyDescent="0.2">
      <c r="A958" s="2" t="s">
        <v>59</v>
      </c>
      <c r="B958" s="36">
        <v>210</v>
      </c>
      <c r="C958" s="2" t="s">
        <v>38</v>
      </c>
      <c r="L958" s="48" t="s">
        <v>636</v>
      </c>
    </row>
    <row r="959" spans="1:12" x14ac:dyDescent="0.2">
      <c r="A959" s="2" t="s">
        <v>59</v>
      </c>
      <c r="B959" s="36">
        <v>210</v>
      </c>
      <c r="C959" s="2" t="s">
        <v>104</v>
      </c>
      <c r="E959" s="2" t="s">
        <v>1137</v>
      </c>
      <c r="G959" s="2" t="s">
        <v>811</v>
      </c>
      <c r="L959" s="48" t="str">
        <f t="shared" ref="L959:L964" si="110">_xlfn.TEXTJOIN("", TRUE, D959:K959)</f>
        <v>02_Slots/Gottheit/Goetter-mit-Epitheta/0210_Nut/0001_nw.t_01.png</v>
      </c>
    </row>
    <row r="960" spans="1:12" x14ac:dyDescent="0.2">
      <c r="A960" s="2" t="s">
        <v>59</v>
      </c>
      <c r="B960" s="36">
        <v>210</v>
      </c>
      <c r="C960" s="2" t="s">
        <v>104</v>
      </c>
      <c r="E960" s="2" t="s">
        <v>1137</v>
      </c>
      <c r="G960" s="2" t="s">
        <v>812</v>
      </c>
      <c r="I960" s="2" t="s">
        <v>1090</v>
      </c>
      <c r="J960" s="2" t="s">
        <v>1091</v>
      </c>
      <c r="K960" s="2" t="s">
        <v>1092</v>
      </c>
      <c r="L960" s="48" t="str">
        <f t="shared" si="110"/>
        <v>02_Slots/Gottheit/Goetter-mit-Epitheta/0210_Nut/0010_nw.t_AR_01.png &lt;sup&gt;(AR)&lt;/sup&gt;</v>
      </c>
    </row>
    <row r="961" spans="1:12" x14ac:dyDescent="0.2">
      <c r="A961" s="2" t="s">
        <v>59</v>
      </c>
      <c r="B961" s="36">
        <v>210</v>
      </c>
      <c r="C961" s="2" t="s">
        <v>104</v>
      </c>
      <c r="E961" s="2" t="s">
        <v>1137</v>
      </c>
      <c r="G961" s="2" t="s">
        <v>813</v>
      </c>
      <c r="I961" s="2" t="s">
        <v>1090</v>
      </c>
      <c r="J961" s="2" t="s">
        <v>1091</v>
      </c>
      <c r="K961" s="2" t="s">
        <v>1092</v>
      </c>
      <c r="L961" s="48" t="str">
        <f t="shared" si="110"/>
        <v>02_Slots/Gottheit/Goetter-mit-Epitheta/0210_Nut/0020_nw.t_AR_02.png &lt;sup&gt;(AR)&lt;/sup&gt;</v>
      </c>
    </row>
    <row r="962" spans="1:12" x14ac:dyDescent="0.2">
      <c r="A962" s="2" t="s">
        <v>59</v>
      </c>
      <c r="B962" s="36">
        <v>210</v>
      </c>
      <c r="C962" s="2" t="s">
        <v>104</v>
      </c>
      <c r="E962" s="2" t="s">
        <v>1137</v>
      </c>
      <c r="G962" s="2" t="s">
        <v>814</v>
      </c>
      <c r="I962" s="2" t="s">
        <v>1090</v>
      </c>
      <c r="J962" s="2" t="s">
        <v>1091</v>
      </c>
      <c r="K962" s="2" t="s">
        <v>1092</v>
      </c>
      <c r="L962" s="48" t="str">
        <f t="shared" si="110"/>
        <v>02_Slots/Gottheit/Goetter-mit-Epitheta/0210_Nut/0030_nw.t_AR_03.png &lt;sup&gt;(AR)&lt;/sup&gt;</v>
      </c>
    </row>
    <row r="963" spans="1:12" x14ac:dyDescent="0.2">
      <c r="A963" s="2" t="s">
        <v>59</v>
      </c>
      <c r="B963" s="36">
        <v>210</v>
      </c>
      <c r="C963" s="2" t="s">
        <v>104</v>
      </c>
      <c r="E963" s="2" t="s">
        <v>1137</v>
      </c>
      <c r="G963" s="2" t="s">
        <v>815</v>
      </c>
      <c r="I963" s="2" t="s">
        <v>1090</v>
      </c>
      <c r="J963" s="2" t="s">
        <v>1049</v>
      </c>
      <c r="K963" s="2" t="s">
        <v>1092</v>
      </c>
      <c r="L963" s="48" t="str">
        <f t="shared" si="110"/>
        <v>02_Slots/Gottheit/Goetter-mit-Epitheta/0210_Nut/0040_nw.t_NR_01.png &lt;sup&gt;(NR)&lt;/sup&gt;</v>
      </c>
    </row>
    <row r="964" spans="1:12" x14ac:dyDescent="0.2">
      <c r="A964" s="2" t="s">
        <v>59</v>
      </c>
      <c r="B964" s="36">
        <v>210</v>
      </c>
      <c r="C964" s="2" t="s">
        <v>104</v>
      </c>
      <c r="E964" s="2" t="s">
        <v>1137</v>
      </c>
      <c r="G964" s="2" t="s">
        <v>816</v>
      </c>
      <c r="I964" s="2" t="s">
        <v>1090</v>
      </c>
      <c r="J964" s="2" t="s">
        <v>1093</v>
      </c>
      <c r="K964" s="2" t="s">
        <v>1092</v>
      </c>
      <c r="L964" s="48" t="str">
        <f t="shared" si="110"/>
        <v>02_Slots/Gottheit/Goetter-mit-Epitheta/0210_Nut/0050_nw.t_GR_01.png &lt;sup&gt;(Gr.)&lt;/sup&gt;</v>
      </c>
    </row>
    <row r="965" spans="1:12" x14ac:dyDescent="0.2">
      <c r="A965" s="2" t="s">
        <v>59</v>
      </c>
      <c r="B965" s="36">
        <v>210</v>
      </c>
      <c r="C965" s="2" t="s">
        <v>105</v>
      </c>
      <c r="L965" s="48" t="str">
        <f t="shared" ref="L965" si="111">_xlfn.TEXTJOIN("", TRUE, D965:J965)</f>
        <v/>
      </c>
    </row>
    <row r="966" spans="1:12" x14ac:dyDescent="0.2">
      <c r="A966" s="2" t="s">
        <v>59</v>
      </c>
      <c r="B966" s="36">
        <v>210</v>
      </c>
      <c r="C966" s="2" t="s">
        <v>106</v>
      </c>
      <c r="L966" s="48" t="s">
        <v>143</v>
      </c>
    </row>
    <row r="967" spans="1:12" x14ac:dyDescent="0.2">
      <c r="A967" s="2" t="s">
        <v>59</v>
      </c>
      <c r="B967" s="36">
        <v>210</v>
      </c>
      <c r="C967" s="2" t="s">
        <v>107</v>
      </c>
    </row>
    <row r="968" spans="1:12" x14ac:dyDescent="0.2">
      <c r="A968" s="2" t="s">
        <v>59</v>
      </c>
      <c r="B968" s="36">
        <v>210</v>
      </c>
      <c r="C968" s="2" t="s">
        <v>1561</v>
      </c>
      <c r="L968" s="48">
        <v>80940</v>
      </c>
    </row>
    <row r="971" spans="1:12" x14ac:dyDescent="0.2">
      <c r="A971" s="2" t="s">
        <v>59</v>
      </c>
      <c r="B971" s="36">
        <v>220</v>
      </c>
      <c r="C971" s="2" t="s">
        <v>38</v>
      </c>
      <c r="L971" s="48" t="s">
        <v>637</v>
      </c>
    </row>
    <row r="972" spans="1:12" x14ac:dyDescent="0.2">
      <c r="A972" s="2" t="s">
        <v>59</v>
      </c>
      <c r="B972" s="36">
        <v>220</v>
      </c>
      <c r="C972" s="2" t="s">
        <v>104</v>
      </c>
      <c r="E972" s="2" t="s">
        <v>1138</v>
      </c>
      <c r="G972" s="2" t="s">
        <v>817</v>
      </c>
      <c r="L972" s="48" t="str">
        <f t="shared" ref="L972:L978" si="112">_xlfn.TEXTJOIN("", TRUE, D972:K972)</f>
        <v>02_Slots/Gottheit/Goetter-mit-Epitheta/0220_Nephthys/0001_nb.t-Hw.t_01.png</v>
      </c>
    </row>
    <row r="973" spans="1:12" x14ac:dyDescent="0.2">
      <c r="A973" s="2" t="s">
        <v>59</v>
      </c>
      <c r="B973" s="36">
        <v>220</v>
      </c>
      <c r="C973" s="2" t="s">
        <v>104</v>
      </c>
      <c r="E973" s="2" t="s">
        <v>1138</v>
      </c>
      <c r="G973" s="2" t="s">
        <v>818</v>
      </c>
      <c r="I973" s="2" t="s">
        <v>1090</v>
      </c>
      <c r="J973" s="2" t="s">
        <v>1091</v>
      </c>
      <c r="K973" s="2" t="s">
        <v>1092</v>
      </c>
      <c r="L973" s="48" t="str">
        <f t="shared" si="112"/>
        <v>02_Slots/Gottheit/Goetter-mit-Epitheta/0220_Nephthys/0010_nb.t-Hw.t_AR_01.png &lt;sup&gt;(AR)&lt;/sup&gt;</v>
      </c>
    </row>
    <row r="974" spans="1:12" x14ac:dyDescent="0.2">
      <c r="A974" s="2" t="s">
        <v>59</v>
      </c>
      <c r="B974" s="36">
        <v>220</v>
      </c>
      <c r="C974" s="2" t="s">
        <v>104</v>
      </c>
      <c r="E974" s="2" t="s">
        <v>1138</v>
      </c>
      <c r="G974" s="2" t="s">
        <v>819</v>
      </c>
      <c r="I974" s="2" t="s">
        <v>1090</v>
      </c>
      <c r="J974" s="2" t="s">
        <v>1049</v>
      </c>
      <c r="K974" s="2" t="s">
        <v>1092</v>
      </c>
      <c r="L974" s="48" t="str">
        <f t="shared" si="112"/>
        <v>02_Slots/Gottheit/Goetter-mit-Epitheta/0220_Nephthys/0020_nb.t-Hw.t_NR_01.png &lt;sup&gt;(NR)&lt;/sup&gt;</v>
      </c>
    </row>
    <row r="975" spans="1:12" x14ac:dyDescent="0.2">
      <c r="A975" s="2" t="s">
        <v>59</v>
      </c>
      <c r="B975" s="36">
        <v>220</v>
      </c>
      <c r="C975" s="2" t="s">
        <v>104</v>
      </c>
      <c r="E975" s="2" t="s">
        <v>1138</v>
      </c>
      <c r="G975" s="2" t="s">
        <v>820</v>
      </c>
      <c r="I975" s="2" t="s">
        <v>1090</v>
      </c>
      <c r="J975" s="2" t="s">
        <v>1049</v>
      </c>
      <c r="K975" s="2" t="s">
        <v>1092</v>
      </c>
      <c r="L975" s="48" t="str">
        <f t="shared" si="112"/>
        <v>02_Slots/Gottheit/Goetter-mit-Epitheta/0220_Nephthys/0030_nb.t-Hw.t_NR_02.png &lt;sup&gt;(NR)&lt;/sup&gt;</v>
      </c>
    </row>
    <row r="976" spans="1:12" x14ac:dyDescent="0.2">
      <c r="A976" s="2" t="s">
        <v>59</v>
      </c>
      <c r="B976" s="36">
        <v>220</v>
      </c>
      <c r="C976" s="2" t="s">
        <v>104</v>
      </c>
      <c r="E976" s="2" t="s">
        <v>1138</v>
      </c>
      <c r="G976" s="2" t="s">
        <v>821</v>
      </c>
      <c r="I976" s="2" t="s">
        <v>1090</v>
      </c>
      <c r="J976" s="2" t="s">
        <v>1099</v>
      </c>
      <c r="K976" s="2" t="s">
        <v>1092</v>
      </c>
      <c r="L976" s="48" t="str">
        <f t="shared" si="112"/>
        <v>02_Slots/Gottheit/Goetter-mit-Epitheta/0220_Nephthys/0040_nb.t-Hw.t_SP_01.png &lt;sup&gt;(Sp.)&lt;/sup&gt;</v>
      </c>
    </row>
    <row r="977" spans="1:12" x14ac:dyDescent="0.2">
      <c r="A977" s="2" t="s">
        <v>59</v>
      </c>
      <c r="B977" s="36">
        <v>220</v>
      </c>
      <c r="C977" s="2" t="s">
        <v>104</v>
      </c>
      <c r="E977" s="2" t="s">
        <v>1138</v>
      </c>
      <c r="G977" s="2" t="s">
        <v>822</v>
      </c>
      <c r="I977" s="2" t="s">
        <v>1090</v>
      </c>
      <c r="J977" s="2" t="s">
        <v>1093</v>
      </c>
      <c r="K977" s="2" t="s">
        <v>1092</v>
      </c>
      <c r="L977" s="48" t="str">
        <f t="shared" si="112"/>
        <v>02_Slots/Gottheit/Goetter-mit-Epitheta/0220_Nephthys/0050_nb.t-Hw.t_GR_01.png &lt;sup&gt;(Gr.)&lt;/sup&gt;</v>
      </c>
    </row>
    <row r="978" spans="1:12" x14ac:dyDescent="0.2">
      <c r="A978" s="2" t="s">
        <v>59</v>
      </c>
      <c r="B978" s="36">
        <v>220</v>
      </c>
      <c r="C978" s="2" t="s">
        <v>104</v>
      </c>
      <c r="E978" s="2" t="s">
        <v>1138</v>
      </c>
      <c r="G978" s="2" t="s">
        <v>823</v>
      </c>
      <c r="I978" s="2" t="s">
        <v>1090</v>
      </c>
      <c r="J978" s="2" t="s">
        <v>1093</v>
      </c>
      <c r="K978" s="2" t="s">
        <v>1092</v>
      </c>
      <c r="L978" s="48" t="str">
        <f t="shared" si="112"/>
        <v>02_Slots/Gottheit/Goetter-mit-Epitheta/0220_Nephthys/0060_nb.t-Hw.t_GR_02.png &lt;sup&gt;(Gr.)&lt;/sup&gt;</v>
      </c>
    </row>
    <row r="979" spans="1:12" x14ac:dyDescent="0.2">
      <c r="A979" s="2" t="s">
        <v>59</v>
      </c>
      <c r="B979" s="36">
        <v>220</v>
      </c>
      <c r="C979" s="2" t="s">
        <v>105</v>
      </c>
      <c r="L979" s="48" t="str">
        <f t="shared" ref="L979" si="113">_xlfn.TEXTJOIN("", TRUE, D979:J979)</f>
        <v/>
      </c>
    </row>
    <row r="980" spans="1:12" x14ac:dyDescent="0.2">
      <c r="A980" s="2" t="s">
        <v>59</v>
      </c>
      <c r="B980" s="36">
        <v>220</v>
      </c>
      <c r="C980" s="2" t="s">
        <v>106</v>
      </c>
      <c r="L980" s="48" t="s">
        <v>144</v>
      </c>
    </row>
    <row r="981" spans="1:12" x14ac:dyDescent="0.2">
      <c r="A981" s="2" t="s">
        <v>59</v>
      </c>
      <c r="B981" s="36">
        <v>220</v>
      </c>
      <c r="C981" s="2" t="s">
        <v>107</v>
      </c>
    </row>
    <row r="982" spans="1:12" x14ac:dyDescent="0.2">
      <c r="A982" s="2" t="s">
        <v>59</v>
      </c>
      <c r="B982" s="36">
        <v>220</v>
      </c>
      <c r="C982" s="2" t="s">
        <v>1561</v>
      </c>
      <c r="L982" s="48">
        <v>82260</v>
      </c>
    </row>
    <row r="985" spans="1:12" x14ac:dyDescent="0.2">
      <c r="A985" s="2" t="s">
        <v>59</v>
      </c>
      <c r="B985" s="36">
        <v>230</v>
      </c>
      <c r="C985" s="2" t="s">
        <v>38</v>
      </c>
      <c r="L985" s="48" t="s">
        <v>638</v>
      </c>
    </row>
    <row r="986" spans="1:12" x14ac:dyDescent="0.2">
      <c r="A986" s="2" t="s">
        <v>59</v>
      </c>
      <c r="B986" s="36">
        <v>230</v>
      </c>
      <c r="C986" s="2" t="s">
        <v>104</v>
      </c>
      <c r="E986" s="2" t="s">
        <v>1139</v>
      </c>
      <c r="G986" s="2" t="s">
        <v>824</v>
      </c>
      <c r="L986" s="48" t="str">
        <f t="shared" ref="L986:L987" si="114">_xlfn.TEXTJOIN("", TRUE, D986:J986)</f>
        <v>02_Slots/Gottheit/Goetter-mit-Epitheta/0230_Nefertem/0001_nfr-tm_01.png</v>
      </c>
    </row>
    <row r="987" spans="1:12" x14ac:dyDescent="0.2">
      <c r="A987" s="2" t="s">
        <v>59</v>
      </c>
      <c r="B987" s="36">
        <v>230</v>
      </c>
      <c r="C987" s="2" t="s">
        <v>104</v>
      </c>
      <c r="E987" s="2" t="s">
        <v>1139</v>
      </c>
      <c r="G987" s="2" t="s">
        <v>825</v>
      </c>
      <c r="L987" s="48" t="str">
        <f t="shared" si="114"/>
        <v>02_Slots/Gottheit/Goetter-mit-Epitheta/0230_Nefertem/0010_nfr-tm_02.png</v>
      </c>
    </row>
    <row r="988" spans="1:12" x14ac:dyDescent="0.2">
      <c r="A988" s="2" t="s">
        <v>59</v>
      </c>
      <c r="B988" s="36">
        <v>230</v>
      </c>
      <c r="C988" s="2" t="s">
        <v>104</v>
      </c>
      <c r="E988" s="2" t="s">
        <v>1139</v>
      </c>
      <c r="G988" s="2" t="s">
        <v>826</v>
      </c>
      <c r="I988" s="2" t="s">
        <v>1090</v>
      </c>
      <c r="J988" s="2" t="s">
        <v>1049</v>
      </c>
      <c r="K988" s="2" t="s">
        <v>1092</v>
      </c>
      <c r="L988" s="48" t="str">
        <f t="shared" ref="L988:L992" si="115">_xlfn.TEXTJOIN("", TRUE, D988:K988)</f>
        <v>02_Slots/Gottheit/Goetter-mit-Epitheta/0230_Nefertem/0020_nfr-tm_NR_01.png &lt;sup&gt;(NR)&lt;/sup&gt;</v>
      </c>
    </row>
    <row r="989" spans="1:12" x14ac:dyDescent="0.2">
      <c r="A989" s="2" t="s">
        <v>59</v>
      </c>
      <c r="B989" s="36">
        <v>230</v>
      </c>
      <c r="C989" s="2" t="s">
        <v>104</v>
      </c>
      <c r="E989" s="2" t="s">
        <v>1139</v>
      </c>
      <c r="G989" s="2" t="s">
        <v>827</v>
      </c>
      <c r="I989" s="2" t="s">
        <v>1090</v>
      </c>
      <c r="J989" s="2" t="s">
        <v>1093</v>
      </c>
      <c r="K989" s="2" t="s">
        <v>1092</v>
      </c>
      <c r="L989" s="48" t="str">
        <f t="shared" si="115"/>
        <v>02_Slots/Gottheit/Goetter-mit-Epitheta/0230_Nefertem/0030_nfr-tm_GR_01.png &lt;sup&gt;(Gr.)&lt;/sup&gt;</v>
      </c>
    </row>
    <row r="990" spans="1:12" x14ac:dyDescent="0.2">
      <c r="A990" s="2" t="s">
        <v>59</v>
      </c>
      <c r="B990" s="36">
        <v>230</v>
      </c>
      <c r="C990" s="2" t="s">
        <v>104</v>
      </c>
      <c r="E990" s="2" t="s">
        <v>1139</v>
      </c>
      <c r="G990" s="2" t="s">
        <v>828</v>
      </c>
      <c r="I990" s="2" t="s">
        <v>1090</v>
      </c>
      <c r="J990" s="2" t="s">
        <v>1093</v>
      </c>
      <c r="K990" s="2" t="s">
        <v>1092</v>
      </c>
      <c r="L990" s="48" t="str">
        <f t="shared" si="115"/>
        <v>02_Slots/Gottheit/Goetter-mit-Epitheta/0230_Nefertem/0040_nfr-tm_GR_02.png &lt;sup&gt;(Gr.)&lt;/sup&gt;</v>
      </c>
    </row>
    <row r="991" spans="1:12" x14ac:dyDescent="0.2">
      <c r="A991" s="2" t="s">
        <v>59</v>
      </c>
      <c r="B991" s="36">
        <v>230</v>
      </c>
      <c r="C991" s="2" t="s">
        <v>105</v>
      </c>
      <c r="E991" s="2" t="s">
        <v>1139</v>
      </c>
      <c r="F991" s="2" t="s">
        <v>109</v>
      </c>
      <c r="G991" s="2" t="s">
        <v>829</v>
      </c>
      <c r="I991" s="2" t="s">
        <v>1090</v>
      </c>
      <c r="J991" s="2" t="s">
        <v>1049</v>
      </c>
      <c r="K991" s="2" t="s">
        <v>1092</v>
      </c>
      <c r="L991" s="48" t="str">
        <f t="shared" si="115"/>
        <v>02_Slots/Gottheit/Goetter-mit-Epitheta/0230_Nefertem/det/0001_nfr-tm_det_NR_01.png &lt;sup&gt;(NR)&lt;/sup&gt;</v>
      </c>
    </row>
    <row r="992" spans="1:12" x14ac:dyDescent="0.2">
      <c r="A992" s="2" t="s">
        <v>59</v>
      </c>
      <c r="B992" s="36">
        <v>230</v>
      </c>
      <c r="C992" s="2" t="s">
        <v>105</v>
      </c>
      <c r="E992" s="2" t="s">
        <v>1139</v>
      </c>
      <c r="F992" s="2" t="s">
        <v>109</v>
      </c>
      <c r="G992" s="2" t="s">
        <v>830</v>
      </c>
      <c r="I992" s="2" t="s">
        <v>1090</v>
      </c>
      <c r="J992" s="2" t="s">
        <v>1049</v>
      </c>
      <c r="K992" s="2" t="s">
        <v>1092</v>
      </c>
      <c r="L992" s="48" t="str">
        <f t="shared" si="115"/>
        <v>02_Slots/Gottheit/Goetter-mit-Epitheta/0230_Nefertem/det/0010_nfr-tm_det_NR_02.png &lt;sup&gt;(NR)&lt;/sup&gt;</v>
      </c>
    </row>
    <row r="993" spans="1:12" x14ac:dyDescent="0.2">
      <c r="A993" s="2" t="s">
        <v>59</v>
      </c>
      <c r="B993" s="36">
        <v>230</v>
      </c>
      <c r="C993" s="2" t="s">
        <v>106</v>
      </c>
      <c r="L993" s="48" t="s">
        <v>145</v>
      </c>
    </row>
    <row r="994" spans="1:12" x14ac:dyDescent="0.2">
      <c r="A994" s="2" t="s">
        <v>59</v>
      </c>
      <c r="B994" s="36">
        <v>230</v>
      </c>
      <c r="C994" s="2" t="s">
        <v>107</v>
      </c>
    </row>
    <row r="995" spans="1:12" x14ac:dyDescent="0.2">
      <c r="A995" s="2" t="s">
        <v>59</v>
      </c>
      <c r="B995" s="36">
        <v>230</v>
      </c>
      <c r="C995" s="2" t="s">
        <v>1561</v>
      </c>
      <c r="L995" s="48">
        <v>83860</v>
      </c>
    </row>
    <row r="998" spans="1:12" x14ac:dyDescent="0.2">
      <c r="A998" s="2" t="s">
        <v>59</v>
      </c>
      <c r="B998" s="36">
        <v>240</v>
      </c>
      <c r="C998" s="2" t="s">
        <v>38</v>
      </c>
      <c r="L998" s="48" t="s">
        <v>639</v>
      </c>
    </row>
    <row r="999" spans="1:12" x14ac:dyDescent="0.2">
      <c r="A999" s="2" t="s">
        <v>59</v>
      </c>
      <c r="B999" s="36">
        <v>240</v>
      </c>
      <c r="C999" s="2" t="s">
        <v>104</v>
      </c>
      <c r="E999" s="2" t="s">
        <v>1140</v>
      </c>
      <c r="G999" s="2" t="s">
        <v>831</v>
      </c>
      <c r="L999" s="48" t="str">
        <f>_xlfn.TEXTJOIN("", TRUE, D999:J999)</f>
        <v>02_Slots/Gottheit/Goetter-mit-Epitheta/0240_Nechbet/0001_nxb.t_01.png</v>
      </c>
    </row>
    <row r="1000" spans="1:12" x14ac:dyDescent="0.2">
      <c r="A1000" s="2" t="s">
        <v>59</v>
      </c>
      <c r="B1000" s="36">
        <v>240</v>
      </c>
      <c r="C1000" s="2" t="s">
        <v>104</v>
      </c>
      <c r="E1000" s="2" t="s">
        <v>1140</v>
      </c>
      <c r="G1000" s="2" t="s">
        <v>832</v>
      </c>
      <c r="L1000" s="48" t="str">
        <f>_xlfn.TEXTJOIN("", TRUE, D1000:J1000)</f>
        <v>02_Slots/Gottheit/Goetter-mit-Epitheta/0240_Nechbet/0010_nxb.t_02.png</v>
      </c>
    </row>
    <row r="1001" spans="1:12" x14ac:dyDescent="0.2">
      <c r="A1001" s="2" t="s">
        <v>59</v>
      </c>
      <c r="B1001" s="36">
        <v>240</v>
      </c>
      <c r="C1001" s="2" t="s">
        <v>104</v>
      </c>
      <c r="E1001" s="2" t="s">
        <v>1140</v>
      </c>
      <c r="G1001" s="2" t="s">
        <v>833</v>
      </c>
      <c r="I1001" s="2" t="s">
        <v>1090</v>
      </c>
      <c r="J1001" s="2" t="s">
        <v>1049</v>
      </c>
      <c r="K1001" s="2" t="s">
        <v>1092</v>
      </c>
      <c r="L1001" s="48" t="str">
        <f t="shared" ref="L1001:L1003" si="116">_xlfn.TEXTJOIN("", TRUE, D1001:K1001)</f>
        <v>02_Slots/Gottheit/Goetter-mit-Epitheta/0240_Nechbet/0020_nxb.t_NR_01.png &lt;sup&gt;(NR)&lt;/sup&gt;</v>
      </c>
    </row>
    <row r="1002" spans="1:12" x14ac:dyDescent="0.2">
      <c r="A1002" s="2" t="s">
        <v>59</v>
      </c>
      <c r="B1002" s="36">
        <v>240</v>
      </c>
      <c r="C1002" s="2" t="s">
        <v>104</v>
      </c>
      <c r="E1002" s="2" t="s">
        <v>1140</v>
      </c>
      <c r="G1002" s="2" t="s">
        <v>834</v>
      </c>
      <c r="I1002" s="2" t="s">
        <v>1090</v>
      </c>
      <c r="J1002" s="2" t="s">
        <v>1093</v>
      </c>
      <c r="K1002" s="2" t="s">
        <v>1092</v>
      </c>
      <c r="L1002" s="48" t="str">
        <f t="shared" si="116"/>
        <v>02_Slots/Gottheit/Goetter-mit-Epitheta/0240_Nechbet/0030_nxb.t_GR_01.png &lt;sup&gt;(Gr.)&lt;/sup&gt;</v>
      </c>
    </row>
    <row r="1003" spans="1:12" x14ac:dyDescent="0.2">
      <c r="A1003" s="2" t="s">
        <v>59</v>
      </c>
      <c r="B1003" s="36">
        <v>240</v>
      </c>
      <c r="C1003" s="2" t="s">
        <v>105</v>
      </c>
      <c r="E1003" s="2" t="s">
        <v>1140</v>
      </c>
      <c r="F1003" s="2" t="s">
        <v>109</v>
      </c>
      <c r="G1003" s="2" t="s">
        <v>835</v>
      </c>
      <c r="H1003" s="2" t="s">
        <v>111</v>
      </c>
      <c r="I1003" s="2" t="s">
        <v>1090</v>
      </c>
      <c r="J1003" s="2" t="s">
        <v>1091</v>
      </c>
      <c r="K1003" s="2" t="s">
        <v>1092</v>
      </c>
      <c r="L1003" s="48" t="str">
        <f t="shared" si="116"/>
        <v>02_Slots/Gottheit/Goetter-mit-Epitheta/0240_Nechbet/det/0001_nxb.t_det_AR_01.png &lt;sup&gt;(AR)&lt;/sup&gt;</v>
      </c>
    </row>
    <row r="1004" spans="1:12" x14ac:dyDescent="0.2">
      <c r="A1004" s="2" t="s">
        <v>59</v>
      </c>
      <c r="B1004" s="36">
        <v>240</v>
      </c>
      <c r="C1004" s="2" t="s">
        <v>106</v>
      </c>
      <c r="L1004" s="48" t="s">
        <v>146</v>
      </c>
    </row>
    <row r="1005" spans="1:12" x14ac:dyDescent="0.2">
      <c r="A1005" s="2" t="s">
        <v>59</v>
      </c>
      <c r="B1005" s="36">
        <v>240</v>
      </c>
      <c r="C1005" s="2" t="s">
        <v>107</v>
      </c>
    </row>
    <row r="1006" spans="1:12" x14ac:dyDescent="0.2">
      <c r="A1006" s="2" t="s">
        <v>59</v>
      </c>
      <c r="B1006" s="36">
        <v>240</v>
      </c>
      <c r="C1006" s="2" t="s">
        <v>1561</v>
      </c>
      <c r="L1006" s="48">
        <v>87120</v>
      </c>
    </row>
    <row r="1009" spans="1:12" x14ac:dyDescent="0.2">
      <c r="A1009" s="2" t="s">
        <v>59</v>
      </c>
      <c r="B1009" s="36">
        <v>250</v>
      </c>
      <c r="C1009" s="2" t="s">
        <v>38</v>
      </c>
      <c r="L1009" s="48" t="s">
        <v>640</v>
      </c>
    </row>
    <row r="1010" spans="1:12" x14ac:dyDescent="0.2">
      <c r="A1010" s="2" t="s">
        <v>59</v>
      </c>
      <c r="B1010" s="36">
        <v>250</v>
      </c>
      <c r="C1010" s="2" t="s">
        <v>104</v>
      </c>
      <c r="E1010" s="2" t="s">
        <v>1141</v>
      </c>
      <c r="G1010" s="2" t="s">
        <v>836</v>
      </c>
      <c r="L1010" s="48" t="str">
        <f t="shared" ref="L1010" si="117">_xlfn.TEXTJOIN("", TRUE, D1010:J1010)</f>
        <v>02_Slots/Gottheit/Goetter-mit-Epitheta/0250_Re/0001_ra_01.png</v>
      </c>
    </row>
    <row r="1011" spans="1:12" x14ac:dyDescent="0.2">
      <c r="A1011" s="2" t="s">
        <v>59</v>
      </c>
      <c r="B1011" s="36">
        <v>250</v>
      </c>
      <c r="C1011" s="2" t="s">
        <v>104</v>
      </c>
      <c r="E1011" s="2" t="s">
        <v>1141</v>
      </c>
      <c r="G1011" s="2" t="s">
        <v>837</v>
      </c>
      <c r="I1011" s="2" t="s">
        <v>1090</v>
      </c>
      <c r="J1011" s="2" t="s">
        <v>1099</v>
      </c>
      <c r="K1011" s="2" t="s">
        <v>1092</v>
      </c>
      <c r="L1011" s="48" t="str">
        <f t="shared" ref="L1011:L1017" si="118">_xlfn.TEXTJOIN("", TRUE, D1011:K1011)</f>
        <v>02_Slots/Gottheit/Goetter-mit-Epitheta/0250_Re/0010_ra_SP_01.png &lt;sup&gt;(Sp.)&lt;/sup&gt;</v>
      </c>
    </row>
    <row r="1012" spans="1:12" x14ac:dyDescent="0.2">
      <c r="A1012" s="2" t="s">
        <v>59</v>
      </c>
      <c r="B1012" s="36">
        <v>250</v>
      </c>
      <c r="C1012" s="2" t="s">
        <v>104</v>
      </c>
      <c r="E1012" s="2" t="s">
        <v>1141</v>
      </c>
      <c r="G1012" s="2" t="s">
        <v>838</v>
      </c>
      <c r="I1012" s="2" t="s">
        <v>1090</v>
      </c>
      <c r="J1012" s="2" t="s">
        <v>1093</v>
      </c>
      <c r="K1012" s="2" t="s">
        <v>1092</v>
      </c>
      <c r="L1012" s="48" t="str">
        <f t="shared" si="118"/>
        <v>02_Slots/Gottheit/Goetter-mit-Epitheta/0250_Re/0020_ra_GR_01.png &lt;sup&gt;(Gr.)&lt;/sup&gt;</v>
      </c>
    </row>
    <row r="1013" spans="1:12" x14ac:dyDescent="0.2">
      <c r="A1013" s="2" t="s">
        <v>59</v>
      </c>
      <c r="B1013" s="36">
        <v>250</v>
      </c>
      <c r="C1013" s="2" t="s">
        <v>104</v>
      </c>
      <c r="E1013" s="2" t="s">
        <v>1141</v>
      </c>
      <c r="G1013" s="2" t="s">
        <v>839</v>
      </c>
      <c r="I1013" s="2" t="s">
        <v>1090</v>
      </c>
      <c r="J1013" s="2" t="s">
        <v>1093</v>
      </c>
      <c r="K1013" s="2" t="s">
        <v>1092</v>
      </c>
      <c r="L1013" s="48" t="str">
        <f t="shared" si="118"/>
        <v>02_Slots/Gottheit/Goetter-mit-Epitheta/0250_Re/0030_ra_GR_02.png &lt;sup&gt;(Gr.)&lt;/sup&gt;</v>
      </c>
    </row>
    <row r="1014" spans="1:12" x14ac:dyDescent="0.2">
      <c r="A1014" s="2" t="s">
        <v>59</v>
      </c>
      <c r="B1014" s="36">
        <v>250</v>
      </c>
      <c r="C1014" s="2" t="s">
        <v>105</v>
      </c>
      <c r="E1014" s="2" t="s">
        <v>1141</v>
      </c>
      <c r="F1014" s="2" t="s">
        <v>109</v>
      </c>
      <c r="G1014" s="2" t="s">
        <v>840</v>
      </c>
      <c r="I1014" s="2" t="s">
        <v>1090</v>
      </c>
      <c r="J1014" s="2" t="s">
        <v>1091</v>
      </c>
      <c r="K1014" s="2" t="s">
        <v>1092</v>
      </c>
      <c r="L1014" s="48" t="str">
        <f t="shared" si="118"/>
        <v>02_Slots/Gottheit/Goetter-mit-Epitheta/0250_Re/det/0001_ra_det_AR_01.png &lt;sup&gt;(AR)&lt;/sup&gt;</v>
      </c>
    </row>
    <row r="1015" spans="1:12" x14ac:dyDescent="0.2">
      <c r="A1015" s="2" t="s">
        <v>59</v>
      </c>
      <c r="B1015" s="36">
        <v>250</v>
      </c>
      <c r="C1015" s="2" t="s">
        <v>105</v>
      </c>
      <c r="E1015" s="2" t="s">
        <v>1141</v>
      </c>
      <c r="F1015" s="2" t="s">
        <v>109</v>
      </c>
      <c r="G1015" s="2" t="s">
        <v>841</v>
      </c>
      <c r="I1015" s="2" t="s">
        <v>1090</v>
      </c>
      <c r="J1015" s="2" t="s">
        <v>1094</v>
      </c>
      <c r="K1015" s="2" t="s">
        <v>1092</v>
      </c>
      <c r="L1015" s="48" t="str">
        <f t="shared" si="118"/>
        <v>02_Slots/Gottheit/Goetter-mit-Epitheta/0250_Re/det/0010_ra_det_MR_01.png &lt;sup&gt;(MR)&lt;/sup&gt;</v>
      </c>
    </row>
    <row r="1016" spans="1:12" x14ac:dyDescent="0.2">
      <c r="A1016" s="2" t="s">
        <v>59</v>
      </c>
      <c r="B1016" s="36">
        <v>250</v>
      </c>
      <c r="C1016" s="2" t="s">
        <v>105</v>
      </c>
      <c r="E1016" s="2" t="s">
        <v>1141</v>
      </c>
      <c r="F1016" s="2" t="s">
        <v>109</v>
      </c>
      <c r="G1016" s="2" t="s">
        <v>842</v>
      </c>
      <c r="I1016" s="2" t="s">
        <v>1090</v>
      </c>
      <c r="J1016" s="2" t="s">
        <v>1049</v>
      </c>
      <c r="K1016" s="2" t="s">
        <v>1092</v>
      </c>
      <c r="L1016" s="48" t="str">
        <f t="shared" si="118"/>
        <v>02_Slots/Gottheit/Goetter-mit-Epitheta/0250_Re/det/0020_ra_det_NR_01.png &lt;sup&gt;(NR)&lt;/sup&gt;</v>
      </c>
    </row>
    <row r="1017" spans="1:12" x14ac:dyDescent="0.2">
      <c r="A1017" s="2" t="s">
        <v>59</v>
      </c>
      <c r="B1017" s="36">
        <v>250</v>
      </c>
      <c r="C1017" s="2" t="s">
        <v>105</v>
      </c>
      <c r="E1017" s="2" t="s">
        <v>1141</v>
      </c>
      <c r="F1017" s="2" t="s">
        <v>109</v>
      </c>
      <c r="G1017" s="2" t="s">
        <v>843</v>
      </c>
      <c r="I1017" s="2" t="s">
        <v>1090</v>
      </c>
      <c r="J1017" s="2" t="s">
        <v>1049</v>
      </c>
      <c r="K1017" s="2" t="s">
        <v>1092</v>
      </c>
      <c r="L1017" s="48" t="str">
        <f t="shared" si="118"/>
        <v>02_Slots/Gottheit/Goetter-mit-Epitheta/0250_Re/det/0030_ra_det_NR_02.png &lt;sup&gt;(NR)&lt;/sup&gt;</v>
      </c>
    </row>
    <row r="1018" spans="1:12" x14ac:dyDescent="0.2">
      <c r="A1018" s="2" t="s">
        <v>59</v>
      </c>
      <c r="B1018" s="36">
        <v>250</v>
      </c>
      <c r="C1018" s="2" t="s">
        <v>106</v>
      </c>
      <c r="L1018" s="48" t="s">
        <v>147</v>
      </c>
    </row>
    <row r="1019" spans="1:12" x14ac:dyDescent="0.2">
      <c r="A1019" s="2" t="s">
        <v>59</v>
      </c>
      <c r="B1019" s="36">
        <v>250</v>
      </c>
      <c r="C1019" s="2" t="s">
        <v>107</v>
      </c>
    </row>
    <row r="1020" spans="1:12" x14ac:dyDescent="0.2">
      <c r="A1020" s="2" t="s">
        <v>59</v>
      </c>
      <c r="B1020" s="36">
        <v>250</v>
      </c>
      <c r="C1020" s="2" t="s">
        <v>1561</v>
      </c>
      <c r="L1020" s="48">
        <v>400015</v>
      </c>
    </row>
    <row r="1023" spans="1:12" x14ac:dyDescent="0.2">
      <c r="A1023" s="2" t="s">
        <v>59</v>
      </c>
      <c r="B1023" s="36">
        <v>260</v>
      </c>
      <c r="C1023" s="2" t="s">
        <v>38</v>
      </c>
      <c r="L1023" s="48" t="s">
        <v>1566</v>
      </c>
    </row>
    <row r="1024" spans="1:12" x14ac:dyDescent="0.2">
      <c r="A1024" s="2" t="s">
        <v>59</v>
      </c>
      <c r="B1024" s="36">
        <v>260</v>
      </c>
      <c r="C1024" s="2" t="s">
        <v>104</v>
      </c>
      <c r="E1024" s="2" t="s">
        <v>1142</v>
      </c>
      <c r="L1024" s="48" t="str">
        <f>_xlfn.TEXTJOIN("", TRUE, D1024:J1024)</f>
        <v>02_Slots/Gottheit/Goetter-mit-Epitheta/0260_Re-Harachte/</v>
      </c>
    </row>
    <row r="1025" spans="1:12" x14ac:dyDescent="0.2">
      <c r="A1025" s="2" t="s">
        <v>59</v>
      </c>
      <c r="B1025" s="36">
        <v>260</v>
      </c>
      <c r="C1025" s="2" t="s">
        <v>105</v>
      </c>
      <c r="L1025" s="48" t="str">
        <f>_xlfn.TEXTJOIN("", TRUE, D1025:J1025)</f>
        <v/>
      </c>
    </row>
    <row r="1026" spans="1:12" x14ac:dyDescent="0.2">
      <c r="A1026" s="2" t="s">
        <v>59</v>
      </c>
      <c r="B1026" s="36">
        <v>260</v>
      </c>
      <c r="C1026" s="2" t="s">
        <v>106</v>
      </c>
      <c r="L1026" s="48" t="s">
        <v>148</v>
      </c>
    </row>
    <row r="1027" spans="1:12" x14ac:dyDescent="0.2">
      <c r="A1027" s="2" t="s">
        <v>59</v>
      </c>
      <c r="B1027" s="36">
        <v>260</v>
      </c>
      <c r="C1027" s="2" t="s">
        <v>107</v>
      </c>
    </row>
    <row r="1028" spans="1:12" x14ac:dyDescent="0.2">
      <c r="A1028" s="2" t="s">
        <v>59</v>
      </c>
      <c r="B1028" s="36">
        <v>260</v>
      </c>
      <c r="C1028" s="2" t="s">
        <v>1561</v>
      </c>
      <c r="L1028" s="48">
        <v>70002</v>
      </c>
    </row>
    <row r="1031" spans="1:12" x14ac:dyDescent="0.2">
      <c r="A1031" s="2" t="s">
        <v>59</v>
      </c>
      <c r="B1031" s="36">
        <v>270</v>
      </c>
      <c r="C1031" s="2" t="s">
        <v>38</v>
      </c>
      <c r="L1031" s="48" t="s">
        <v>641</v>
      </c>
    </row>
    <row r="1032" spans="1:12" x14ac:dyDescent="0.2">
      <c r="A1032" s="2" t="s">
        <v>59</v>
      </c>
      <c r="B1032" s="36">
        <v>270</v>
      </c>
      <c r="C1032" s="2" t="s">
        <v>104</v>
      </c>
      <c r="E1032" s="2" t="s">
        <v>1143</v>
      </c>
      <c r="G1032" s="2" t="s">
        <v>844</v>
      </c>
      <c r="L1032" s="48" t="str">
        <f t="shared" ref="L1032:L1038" si="119">_xlfn.TEXTJOIN("", TRUE, D1032:J1032)</f>
        <v>02_Slots/Gottheit/Goetter-mit-Epitheta/0270_Renenutet/0001_rnnwt.t_01.png</v>
      </c>
    </row>
    <row r="1033" spans="1:12" x14ac:dyDescent="0.2">
      <c r="A1033" s="2" t="s">
        <v>59</v>
      </c>
      <c r="B1033" s="36">
        <v>270</v>
      </c>
      <c r="C1033" s="2" t="s">
        <v>104</v>
      </c>
      <c r="E1033" s="2" t="s">
        <v>1143</v>
      </c>
      <c r="G1033" s="2" t="s">
        <v>845</v>
      </c>
      <c r="I1033" s="2" t="s">
        <v>1090</v>
      </c>
      <c r="J1033" s="2" t="s">
        <v>1091</v>
      </c>
      <c r="K1033" s="2" t="s">
        <v>1092</v>
      </c>
      <c r="L1033" s="48" t="str">
        <f t="shared" ref="L1033:L1037" si="120">_xlfn.TEXTJOIN("", TRUE, D1033:K1033)</f>
        <v>02_Slots/Gottheit/Goetter-mit-Epitheta/0270_Renenutet/0010_rnnwt.t_AR_01.png &lt;sup&gt;(AR)&lt;/sup&gt;</v>
      </c>
    </row>
    <row r="1034" spans="1:12" x14ac:dyDescent="0.2">
      <c r="A1034" s="2" t="s">
        <v>59</v>
      </c>
      <c r="B1034" s="36">
        <v>270</v>
      </c>
      <c r="C1034" s="2" t="s">
        <v>104</v>
      </c>
      <c r="E1034" s="2" t="s">
        <v>1143</v>
      </c>
      <c r="G1034" s="2" t="s">
        <v>846</v>
      </c>
      <c r="I1034" s="2" t="s">
        <v>1090</v>
      </c>
      <c r="J1034" s="2" t="s">
        <v>1091</v>
      </c>
      <c r="K1034" s="2" t="s">
        <v>1092</v>
      </c>
      <c r="L1034" s="48" t="str">
        <f t="shared" si="120"/>
        <v>02_Slots/Gottheit/Goetter-mit-Epitheta/0270_Renenutet/0020_rnnwt.t_AR_02.png &lt;sup&gt;(AR)&lt;/sup&gt;</v>
      </c>
    </row>
    <row r="1035" spans="1:12" x14ac:dyDescent="0.2">
      <c r="A1035" s="2" t="s">
        <v>59</v>
      </c>
      <c r="B1035" s="36">
        <v>270</v>
      </c>
      <c r="C1035" s="2" t="s">
        <v>104</v>
      </c>
      <c r="E1035" s="2" t="s">
        <v>1143</v>
      </c>
      <c r="G1035" s="2" t="s">
        <v>847</v>
      </c>
      <c r="I1035" s="2" t="s">
        <v>1090</v>
      </c>
      <c r="J1035" s="2" t="s">
        <v>1098</v>
      </c>
      <c r="K1035" s="2" t="s">
        <v>1092</v>
      </c>
      <c r="L1035" s="48" t="str">
        <f t="shared" si="120"/>
        <v>02_Slots/Gottheit/Goetter-mit-Epitheta/0270_Renenutet/0030_rnnwt.t_D.18_01.png &lt;sup&gt;(D.18)&lt;/sup&gt;</v>
      </c>
    </row>
    <row r="1036" spans="1:12" x14ac:dyDescent="0.2">
      <c r="A1036" s="2" t="s">
        <v>59</v>
      </c>
      <c r="B1036" s="36">
        <v>270</v>
      </c>
      <c r="C1036" s="2" t="s">
        <v>104</v>
      </c>
      <c r="E1036" s="2" t="s">
        <v>1143</v>
      </c>
      <c r="G1036" s="2" t="s">
        <v>848</v>
      </c>
      <c r="I1036" s="2" t="s">
        <v>1090</v>
      </c>
      <c r="J1036" s="2" t="s">
        <v>1098</v>
      </c>
      <c r="K1036" s="2" t="s">
        <v>1092</v>
      </c>
      <c r="L1036" s="48" t="str">
        <f t="shared" si="120"/>
        <v>02_Slots/Gottheit/Goetter-mit-Epitheta/0270_Renenutet/0040_rnnwt.t_D.18_02.png &lt;sup&gt;(D.18)&lt;/sup&gt;</v>
      </c>
    </row>
    <row r="1037" spans="1:12" x14ac:dyDescent="0.2">
      <c r="A1037" s="2" t="s">
        <v>59</v>
      </c>
      <c r="B1037" s="36">
        <v>270</v>
      </c>
      <c r="C1037" s="2" t="s">
        <v>104</v>
      </c>
      <c r="E1037" s="2" t="s">
        <v>1143</v>
      </c>
      <c r="G1037" s="2" t="s">
        <v>849</v>
      </c>
      <c r="I1037" s="2" t="s">
        <v>1090</v>
      </c>
      <c r="J1037" s="2" t="s">
        <v>1098</v>
      </c>
      <c r="K1037" s="2" t="s">
        <v>1092</v>
      </c>
      <c r="L1037" s="48" t="str">
        <f t="shared" si="120"/>
        <v>02_Slots/Gottheit/Goetter-mit-Epitheta/0270_Renenutet/0050_rnnwt.t_D.18_03.png &lt;sup&gt;(D.18)&lt;/sup&gt;</v>
      </c>
    </row>
    <row r="1038" spans="1:12" x14ac:dyDescent="0.2">
      <c r="A1038" s="2" t="s">
        <v>59</v>
      </c>
      <c r="B1038" s="36">
        <v>270</v>
      </c>
      <c r="C1038" s="2" t="s">
        <v>105</v>
      </c>
      <c r="L1038" s="48" t="str">
        <f t="shared" si="119"/>
        <v/>
      </c>
    </row>
    <row r="1039" spans="1:12" x14ac:dyDescent="0.2">
      <c r="A1039" s="2" t="s">
        <v>59</v>
      </c>
      <c r="B1039" s="36">
        <v>270</v>
      </c>
      <c r="C1039" s="2" t="s">
        <v>106</v>
      </c>
      <c r="L1039" s="48" t="s">
        <v>149</v>
      </c>
    </row>
    <row r="1040" spans="1:12" x14ac:dyDescent="0.2">
      <c r="A1040" s="2" t="s">
        <v>59</v>
      </c>
      <c r="B1040" s="36">
        <v>270</v>
      </c>
      <c r="C1040" s="2" t="s">
        <v>107</v>
      </c>
    </row>
    <row r="1041" spans="1:12" x14ac:dyDescent="0.2">
      <c r="A1041" s="2" t="s">
        <v>59</v>
      </c>
      <c r="B1041" s="36">
        <v>270</v>
      </c>
      <c r="C1041" s="2" t="s">
        <v>1561</v>
      </c>
      <c r="L1041" s="48">
        <v>95190</v>
      </c>
    </row>
    <row r="1044" spans="1:12" x14ac:dyDescent="0.2">
      <c r="A1044" s="2" t="s">
        <v>59</v>
      </c>
      <c r="B1044" s="36">
        <v>280</v>
      </c>
      <c r="C1044" s="2" t="s">
        <v>38</v>
      </c>
      <c r="L1044" s="48" t="s">
        <v>642</v>
      </c>
    </row>
    <row r="1045" spans="1:12" x14ac:dyDescent="0.2">
      <c r="A1045" s="2" t="s">
        <v>59</v>
      </c>
      <c r="B1045" s="36">
        <v>280</v>
      </c>
      <c r="C1045" s="2" t="s">
        <v>104</v>
      </c>
      <c r="E1045" s="2" t="s">
        <v>1144</v>
      </c>
      <c r="G1045" s="2" t="s">
        <v>850</v>
      </c>
      <c r="I1045" s="2" t="s">
        <v>1090</v>
      </c>
      <c r="J1045" s="2" t="s">
        <v>1091</v>
      </c>
      <c r="K1045" s="2" t="s">
        <v>1092</v>
      </c>
      <c r="L1045" s="48" t="str">
        <f t="shared" ref="L1045:L1056" si="121">_xlfn.TEXTJOIN("", TRUE, D1045:K1045)</f>
        <v>02_Slots/Gottheit/Goetter-mit-Epitheta/0280_Hapi-Nilgott/0001_Hapj_AR_01.png &lt;sup&gt;(AR)&lt;/sup&gt;</v>
      </c>
    </row>
    <row r="1046" spans="1:12" x14ac:dyDescent="0.2">
      <c r="A1046" s="2" t="s">
        <v>59</v>
      </c>
      <c r="B1046" s="36">
        <v>280</v>
      </c>
      <c r="C1046" s="2" t="s">
        <v>104</v>
      </c>
      <c r="E1046" s="2" t="s">
        <v>1144</v>
      </c>
      <c r="G1046" s="2" t="s">
        <v>851</v>
      </c>
      <c r="I1046" s="2" t="s">
        <v>1090</v>
      </c>
      <c r="J1046" s="2" t="s">
        <v>1094</v>
      </c>
      <c r="K1046" s="2" t="s">
        <v>1092</v>
      </c>
      <c r="L1046" s="48" t="str">
        <f t="shared" si="121"/>
        <v>02_Slots/Gottheit/Goetter-mit-Epitheta/0280_Hapi-Nilgott/0010_Hapj_MR_01.png &lt;sup&gt;(MR)&lt;/sup&gt;</v>
      </c>
    </row>
    <row r="1047" spans="1:12" x14ac:dyDescent="0.2">
      <c r="A1047" s="2" t="s">
        <v>59</v>
      </c>
      <c r="B1047" s="36">
        <v>280</v>
      </c>
      <c r="C1047" s="2" t="s">
        <v>104</v>
      </c>
      <c r="E1047" s="2" t="s">
        <v>1144</v>
      </c>
      <c r="G1047" s="2" t="s">
        <v>852</v>
      </c>
      <c r="I1047" s="2" t="s">
        <v>1090</v>
      </c>
      <c r="J1047" s="2" t="s">
        <v>1094</v>
      </c>
      <c r="K1047" s="2" t="s">
        <v>1092</v>
      </c>
      <c r="L1047" s="48" t="str">
        <f t="shared" si="121"/>
        <v>02_Slots/Gottheit/Goetter-mit-Epitheta/0280_Hapi-Nilgott/0020_Hapj_MR_02.png &lt;sup&gt;(MR)&lt;/sup&gt;</v>
      </c>
    </row>
    <row r="1048" spans="1:12" x14ac:dyDescent="0.2">
      <c r="A1048" s="2" t="s">
        <v>59</v>
      </c>
      <c r="B1048" s="36">
        <v>280</v>
      </c>
      <c r="C1048" s="2" t="s">
        <v>104</v>
      </c>
      <c r="E1048" s="2" t="s">
        <v>1144</v>
      </c>
      <c r="G1048" s="2" t="s">
        <v>853</v>
      </c>
      <c r="I1048" s="2" t="s">
        <v>1090</v>
      </c>
      <c r="J1048" s="2" t="s">
        <v>1094</v>
      </c>
      <c r="K1048" s="2" t="s">
        <v>1092</v>
      </c>
      <c r="L1048" s="48" t="str">
        <f t="shared" si="121"/>
        <v>02_Slots/Gottheit/Goetter-mit-Epitheta/0280_Hapi-Nilgott/0030_Hapj_MR_03.png &lt;sup&gt;(MR)&lt;/sup&gt;</v>
      </c>
    </row>
    <row r="1049" spans="1:12" x14ac:dyDescent="0.2">
      <c r="A1049" s="2" t="s">
        <v>59</v>
      </c>
      <c r="B1049" s="36">
        <v>280</v>
      </c>
      <c r="C1049" s="2" t="s">
        <v>104</v>
      </c>
      <c r="E1049" s="2" t="s">
        <v>1144</v>
      </c>
      <c r="G1049" s="2" t="s">
        <v>854</v>
      </c>
      <c r="I1049" s="2" t="s">
        <v>1090</v>
      </c>
      <c r="J1049" s="2" t="s">
        <v>1094</v>
      </c>
      <c r="K1049" s="2" t="s">
        <v>1092</v>
      </c>
      <c r="L1049" s="48" t="str">
        <f t="shared" si="121"/>
        <v>02_Slots/Gottheit/Goetter-mit-Epitheta/0280_Hapi-Nilgott/0040_Hapj_MR_04.png &lt;sup&gt;(MR)&lt;/sup&gt;</v>
      </c>
    </row>
    <row r="1050" spans="1:12" x14ac:dyDescent="0.2">
      <c r="A1050" s="2" t="s">
        <v>59</v>
      </c>
      <c r="B1050" s="36">
        <v>280</v>
      </c>
      <c r="C1050" s="2" t="s">
        <v>104</v>
      </c>
      <c r="E1050" s="2" t="s">
        <v>1144</v>
      </c>
      <c r="G1050" s="2" t="s">
        <v>855</v>
      </c>
      <c r="I1050" s="2" t="s">
        <v>1090</v>
      </c>
      <c r="J1050" s="2" t="s">
        <v>1094</v>
      </c>
      <c r="K1050" s="2" t="s">
        <v>1092</v>
      </c>
      <c r="L1050" s="48" t="str">
        <f t="shared" si="121"/>
        <v>02_Slots/Gottheit/Goetter-mit-Epitheta/0280_Hapi-Nilgott/0050_Hapj_MR_05.png &lt;sup&gt;(MR)&lt;/sup&gt;</v>
      </c>
    </row>
    <row r="1051" spans="1:12" x14ac:dyDescent="0.2">
      <c r="A1051" s="2" t="s">
        <v>59</v>
      </c>
      <c r="B1051" s="36">
        <v>280</v>
      </c>
      <c r="C1051" s="2" t="s">
        <v>104</v>
      </c>
      <c r="E1051" s="2" t="s">
        <v>1144</v>
      </c>
      <c r="G1051" s="2" t="s">
        <v>856</v>
      </c>
      <c r="I1051" s="2" t="s">
        <v>1090</v>
      </c>
      <c r="J1051" s="2" t="s">
        <v>1094</v>
      </c>
      <c r="K1051" s="2" t="s">
        <v>1092</v>
      </c>
      <c r="L1051" s="48" t="str">
        <f t="shared" si="121"/>
        <v>02_Slots/Gottheit/Goetter-mit-Epitheta/0280_Hapi-Nilgott/0060_Hapj_MR_06.png &lt;sup&gt;(MR)&lt;/sup&gt;</v>
      </c>
    </row>
    <row r="1052" spans="1:12" x14ac:dyDescent="0.2">
      <c r="A1052" s="2" t="s">
        <v>59</v>
      </c>
      <c r="B1052" s="36">
        <v>280</v>
      </c>
      <c r="C1052" s="2" t="s">
        <v>104</v>
      </c>
      <c r="E1052" s="2" t="s">
        <v>1144</v>
      </c>
      <c r="G1052" s="2" t="s">
        <v>857</v>
      </c>
      <c r="I1052" s="2" t="s">
        <v>1090</v>
      </c>
      <c r="J1052" s="2" t="s">
        <v>1101</v>
      </c>
      <c r="K1052" s="2" t="s">
        <v>1092</v>
      </c>
      <c r="L1052" s="48" t="str">
        <f t="shared" si="121"/>
        <v>02_Slots/Gottheit/Goetter-mit-Epitheta/0280_Hapi-Nilgott/0070_Hapj_Sait._01.png &lt;sup&gt;(Saït.)&lt;/sup&gt;</v>
      </c>
    </row>
    <row r="1053" spans="1:12" x14ac:dyDescent="0.2">
      <c r="A1053" s="2" t="s">
        <v>59</v>
      </c>
      <c r="B1053" s="36">
        <v>280</v>
      </c>
      <c r="C1053" s="2" t="s">
        <v>104</v>
      </c>
      <c r="E1053" s="2" t="s">
        <v>1144</v>
      </c>
      <c r="G1053" s="2" t="s">
        <v>858</v>
      </c>
      <c r="I1053" s="2" t="s">
        <v>1090</v>
      </c>
      <c r="J1053" s="2" t="s">
        <v>1101</v>
      </c>
      <c r="K1053" s="2" t="s">
        <v>1092</v>
      </c>
      <c r="L1053" s="48" t="str">
        <f t="shared" si="121"/>
        <v>02_Slots/Gottheit/Goetter-mit-Epitheta/0280_Hapi-Nilgott/0080_Hapj_Sait._02.png &lt;sup&gt;(Saït.)&lt;/sup&gt;</v>
      </c>
    </row>
    <row r="1054" spans="1:12" x14ac:dyDescent="0.2">
      <c r="A1054" s="2" t="s">
        <v>59</v>
      </c>
      <c r="B1054" s="36">
        <v>280</v>
      </c>
      <c r="C1054" s="2" t="s">
        <v>104</v>
      </c>
      <c r="E1054" s="2" t="s">
        <v>1144</v>
      </c>
      <c r="G1054" s="2" t="s">
        <v>861</v>
      </c>
      <c r="I1054" s="2" t="s">
        <v>1090</v>
      </c>
      <c r="J1054" s="2" t="s">
        <v>1102</v>
      </c>
      <c r="K1054" s="2" t="s">
        <v>1092</v>
      </c>
      <c r="L1054" s="48" t="str">
        <f t="shared" si="121"/>
        <v>02_Slots/Gottheit/Goetter-mit-Epitheta/0280_Hapi-Nilgott/0090_Hapj_SP-GR_01.png &lt;sup&gt;(Sp.–Gr.)&lt;/sup&gt;</v>
      </c>
    </row>
    <row r="1055" spans="1:12" x14ac:dyDescent="0.2">
      <c r="A1055" s="2" t="s">
        <v>59</v>
      </c>
      <c r="B1055" s="36">
        <v>280</v>
      </c>
      <c r="C1055" s="2" t="s">
        <v>104</v>
      </c>
      <c r="E1055" s="2" t="s">
        <v>1144</v>
      </c>
      <c r="G1055" s="2" t="s">
        <v>862</v>
      </c>
      <c r="I1055" s="2" t="s">
        <v>1090</v>
      </c>
      <c r="J1055" s="2" t="s">
        <v>1102</v>
      </c>
      <c r="K1055" s="2" t="s">
        <v>1092</v>
      </c>
      <c r="L1055" s="48" t="str">
        <f t="shared" si="121"/>
        <v>02_Slots/Gottheit/Goetter-mit-Epitheta/0280_Hapi-Nilgott/0100_Hapj_SP-GR_02.png &lt;sup&gt;(Sp.–Gr.)&lt;/sup&gt;</v>
      </c>
    </row>
    <row r="1056" spans="1:12" x14ac:dyDescent="0.2">
      <c r="A1056" s="2" t="s">
        <v>59</v>
      </c>
      <c r="B1056" s="36">
        <v>280</v>
      </c>
      <c r="C1056" s="2" t="s">
        <v>104</v>
      </c>
      <c r="E1056" s="2" t="s">
        <v>1144</v>
      </c>
      <c r="G1056" s="2" t="s">
        <v>863</v>
      </c>
      <c r="I1056" s="2" t="s">
        <v>1090</v>
      </c>
      <c r="J1056" s="2" t="s">
        <v>1102</v>
      </c>
      <c r="K1056" s="2" t="s">
        <v>1092</v>
      </c>
      <c r="L1056" s="48" t="str">
        <f t="shared" si="121"/>
        <v>02_Slots/Gottheit/Goetter-mit-Epitheta/0280_Hapi-Nilgott/0110_Hapj_SP-GR_03.png &lt;sup&gt;(Sp.–Gr.)&lt;/sup&gt;</v>
      </c>
    </row>
    <row r="1057" spans="1:12" x14ac:dyDescent="0.2">
      <c r="A1057" s="2" t="s">
        <v>59</v>
      </c>
      <c r="B1057" s="36">
        <v>280</v>
      </c>
      <c r="C1057" s="2" t="s">
        <v>105</v>
      </c>
      <c r="E1057" s="2" t="s">
        <v>1144</v>
      </c>
      <c r="F1057" s="2" t="s">
        <v>109</v>
      </c>
      <c r="G1057" s="2" t="s">
        <v>859</v>
      </c>
      <c r="L1057" s="48" t="str">
        <f t="shared" ref="L1057:L1058" si="122">_xlfn.TEXTJOIN("", TRUE, D1057:J1057)</f>
        <v>02_Slots/Gottheit/Goetter-mit-Epitheta/0280_Hapi-Nilgott/det/0001_Hapj_det_01.png</v>
      </c>
    </row>
    <row r="1058" spans="1:12" x14ac:dyDescent="0.2">
      <c r="A1058" s="2" t="s">
        <v>59</v>
      </c>
      <c r="B1058" s="36">
        <v>280</v>
      </c>
      <c r="C1058" s="2" t="s">
        <v>105</v>
      </c>
      <c r="E1058" s="2" t="s">
        <v>1144</v>
      </c>
      <c r="F1058" s="2" t="s">
        <v>109</v>
      </c>
      <c r="G1058" s="2" t="s">
        <v>860</v>
      </c>
      <c r="L1058" s="48" t="str">
        <f t="shared" si="122"/>
        <v>02_Slots/Gottheit/Goetter-mit-Epitheta/0280_Hapi-Nilgott/det/0010_Hapj_det_02.png</v>
      </c>
    </row>
    <row r="1059" spans="1:12" x14ac:dyDescent="0.2">
      <c r="A1059" s="2" t="s">
        <v>59</v>
      </c>
      <c r="B1059" s="36">
        <v>280</v>
      </c>
      <c r="C1059" s="2" t="s">
        <v>106</v>
      </c>
      <c r="L1059" s="48" t="s">
        <v>150</v>
      </c>
    </row>
    <row r="1060" spans="1:12" x14ac:dyDescent="0.2">
      <c r="A1060" s="2" t="s">
        <v>59</v>
      </c>
      <c r="B1060" s="36">
        <v>280</v>
      </c>
      <c r="C1060" s="2" t="s">
        <v>107</v>
      </c>
    </row>
    <row r="1061" spans="1:12" x14ac:dyDescent="0.2">
      <c r="A1061" s="2" t="s">
        <v>59</v>
      </c>
      <c r="B1061" s="36">
        <v>280</v>
      </c>
      <c r="C1061" s="2" t="s">
        <v>1561</v>
      </c>
      <c r="L1061" s="48">
        <v>650066</v>
      </c>
    </row>
    <row r="1064" spans="1:12" x14ac:dyDescent="0.2">
      <c r="A1064" s="2" t="s">
        <v>59</v>
      </c>
      <c r="B1064" s="36">
        <v>290</v>
      </c>
      <c r="C1064" s="2" t="s">
        <v>38</v>
      </c>
      <c r="L1064" s="48" t="s">
        <v>410</v>
      </c>
    </row>
    <row r="1065" spans="1:12" x14ac:dyDescent="0.2">
      <c r="A1065" s="2" t="s">
        <v>59</v>
      </c>
      <c r="B1065" s="36">
        <v>290</v>
      </c>
      <c r="C1065" s="2" t="s">
        <v>104</v>
      </c>
      <c r="E1065" s="2" t="s">
        <v>1145</v>
      </c>
      <c r="G1065" s="2" t="s">
        <v>864</v>
      </c>
      <c r="L1065" s="48" t="str">
        <f>_xlfn.TEXTJOIN("", TRUE, D1065:J1065)</f>
        <v>02_Slots/Gottheit/Goetter-mit-Epitheta/0290_Hathor/0001_Hwt-Hr_01.png</v>
      </c>
    </row>
    <row r="1066" spans="1:12" x14ac:dyDescent="0.2">
      <c r="A1066" s="2" t="s">
        <v>59</v>
      </c>
      <c r="B1066" s="36">
        <v>290</v>
      </c>
      <c r="C1066" s="2" t="s">
        <v>104</v>
      </c>
      <c r="E1066" s="2" t="s">
        <v>1145</v>
      </c>
      <c r="G1066" s="2" t="s">
        <v>865</v>
      </c>
      <c r="I1066" s="2" t="s">
        <v>1090</v>
      </c>
      <c r="J1066" s="2" t="s">
        <v>1091</v>
      </c>
      <c r="K1066" s="2" t="s">
        <v>1092</v>
      </c>
      <c r="L1066" s="48" t="str">
        <f t="shared" ref="L1066:L1067" si="123">_xlfn.TEXTJOIN("", TRUE, D1066:K1066)</f>
        <v>02_Slots/Gottheit/Goetter-mit-Epitheta/0290_Hathor/0010_Hwt-Hr_AR_01.png &lt;sup&gt;(AR)&lt;/sup&gt;</v>
      </c>
    </row>
    <row r="1067" spans="1:12" x14ac:dyDescent="0.2">
      <c r="A1067" s="2" t="s">
        <v>59</v>
      </c>
      <c r="B1067" s="36">
        <v>290</v>
      </c>
      <c r="C1067" s="2" t="s">
        <v>104</v>
      </c>
      <c r="E1067" s="2" t="s">
        <v>1145</v>
      </c>
      <c r="G1067" s="2" t="s">
        <v>866</v>
      </c>
      <c r="I1067" s="2" t="s">
        <v>1090</v>
      </c>
      <c r="J1067" s="2" t="s">
        <v>1091</v>
      </c>
      <c r="K1067" s="2" t="s">
        <v>1092</v>
      </c>
      <c r="L1067" s="48" t="str">
        <f t="shared" si="123"/>
        <v>02_Slots/Gottheit/Goetter-mit-Epitheta/0290_Hathor/0020_Hwt-Hr_AR_02.png &lt;sup&gt;(AR)&lt;/sup&gt;</v>
      </c>
    </row>
    <row r="1068" spans="1:12" x14ac:dyDescent="0.2">
      <c r="A1068" s="2" t="s">
        <v>59</v>
      </c>
      <c r="B1068" s="36">
        <v>290</v>
      </c>
      <c r="C1068" s="2" t="s">
        <v>105</v>
      </c>
      <c r="L1068" s="48" t="str">
        <f>_xlfn.TEXTJOIN("", TRUE, D1068:J1068)</f>
        <v/>
      </c>
    </row>
    <row r="1069" spans="1:12" x14ac:dyDescent="0.2">
      <c r="A1069" s="2" t="s">
        <v>59</v>
      </c>
      <c r="B1069" s="36">
        <v>290</v>
      </c>
      <c r="C1069" s="2" t="s">
        <v>106</v>
      </c>
      <c r="L1069" s="48" t="s">
        <v>151</v>
      </c>
    </row>
    <row r="1070" spans="1:12" x14ac:dyDescent="0.2">
      <c r="A1070" s="2" t="s">
        <v>59</v>
      </c>
      <c r="B1070" s="36">
        <v>290</v>
      </c>
      <c r="C1070" s="2" t="s">
        <v>107</v>
      </c>
    </row>
    <row r="1071" spans="1:12" x14ac:dyDescent="0.2">
      <c r="A1071" s="2" t="s">
        <v>59</v>
      </c>
      <c r="B1071" s="36">
        <v>290</v>
      </c>
      <c r="C1071" s="2" t="s">
        <v>1561</v>
      </c>
      <c r="L1071" s="48">
        <v>99960</v>
      </c>
    </row>
    <row r="1074" spans="1:12" x14ac:dyDescent="0.2">
      <c r="A1074" s="2" t="s">
        <v>59</v>
      </c>
      <c r="B1074" s="36">
        <v>300</v>
      </c>
      <c r="C1074" s="2" t="s">
        <v>38</v>
      </c>
      <c r="L1074" s="48" t="s">
        <v>643</v>
      </c>
    </row>
    <row r="1075" spans="1:12" x14ac:dyDescent="0.2">
      <c r="A1075" s="2" t="s">
        <v>59</v>
      </c>
      <c r="B1075" s="36">
        <v>300</v>
      </c>
      <c r="C1075" s="2" t="s">
        <v>104</v>
      </c>
      <c r="E1075" s="2" t="s">
        <v>1146</v>
      </c>
      <c r="G1075" s="2" t="s">
        <v>867</v>
      </c>
      <c r="L1075" s="48" t="str">
        <f t="shared" ref="L1075:L1080" si="124">_xlfn.TEXTJOIN("", TRUE, D1075:J1075)</f>
        <v>02_Slots/Gottheit/Goetter-mit-Epitheta/0300_Apis/0001_Hp_01.png</v>
      </c>
    </row>
    <row r="1076" spans="1:12" x14ac:dyDescent="0.2">
      <c r="A1076" s="2" t="s">
        <v>59</v>
      </c>
      <c r="B1076" s="36">
        <v>300</v>
      </c>
      <c r="C1076" s="2" t="s">
        <v>104</v>
      </c>
      <c r="E1076" s="2" t="s">
        <v>1146</v>
      </c>
      <c r="G1076" s="2" t="s">
        <v>868</v>
      </c>
      <c r="L1076" s="48" t="str">
        <f t="shared" si="124"/>
        <v>02_Slots/Gottheit/Goetter-mit-Epitheta/0300_Apis/0010_Hp_02.png</v>
      </c>
    </row>
    <row r="1077" spans="1:12" x14ac:dyDescent="0.2">
      <c r="A1077" s="2" t="s">
        <v>59</v>
      </c>
      <c r="B1077" s="36">
        <v>300</v>
      </c>
      <c r="C1077" s="2" t="s">
        <v>104</v>
      </c>
      <c r="E1077" s="2" t="s">
        <v>1146</v>
      </c>
      <c r="G1077" s="2" t="s">
        <v>869</v>
      </c>
      <c r="I1077" s="2" t="s">
        <v>1090</v>
      </c>
      <c r="J1077" s="2" t="s">
        <v>1091</v>
      </c>
      <c r="K1077" s="2" t="s">
        <v>1092</v>
      </c>
      <c r="L1077" s="48" t="str">
        <f t="shared" ref="L1077:L1078" si="125">_xlfn.TEXTJOIN("", TRUE, D1077:K1077)</f>
        <v>02_Slots/Gottheit/Goetter-mit-Epitheta/0300_Apis/0020_Hp_AR_01.png &lt;sup&gt;(AR)&lt;/sup&gt;</v>
      </c>
    </row>
    <row r="1078" spans="1:12" x14ac:dyDescent="0.2">
      <c r="A1078" s="2" t="s">
        <v>59</v>
      </c>
      <c r="B1078" s="36">
        <v>300</v>
      </c>
      <c r="C1078" s="2" t="s">
        <v>104</v>
      </c>
      <c r="E1078" s="2" t="s">
        <v>1146</v>
      </c>
      <c r="G1078" s="2" t="s">
        <v>870</v>
      </c>
      <c r="I1078" s="2" t="s">
        <v>1090</v>
      </c>
      <c r="J1078" s="2" t="s">
        <v>1049</v>
      </c>
      <c r="K1078" s="2" t="s">
        <v>1092</v>
      </c>
      <c r="L1078" s="48" t="str">
        <f t="shared" si="125"/>
        <v>02_Slots/Gottheit/Goetter-mit-Epitheta/0300_Apis/0030_Hp_NR_01.png &lt;sup&gt;(NR)&lt;/sup&gt;</v>
      </c>
    </row>
    <row r="1079" spans="1:12" x14ac:dyDescent="0.2">
      <c r="A1079" s="2" t="s">
        <v>59</v>
      </c>
      <c r="B1079" s="36">
        <v>300</v>
      </c>
      <c r="C1079" s="2" t="s">
        <v>105</v>
      </c>
      <c r="E1079" s="2" t="s">
        <v>1146</v>
      </c>
      <c r="F1079" s="2" t="s">
        <v>109</v>
      </c>
      <c r="G1079" s="2" t="s">
        <v>871</v>
      </c>
      <c r="L1079" s="48" t="str">
        <f t="shared" si="124"/>
        <v>02_Slots/Gottheit/Goetter-mit-Epitheta/0300_Apis/det/0001_Hp_det_01.png</v>
      </c>
    </row>
    <row r="1080" spans="1:12" x14ac:dyDescent="0.2">
      <c r="A1080" s="2" t="s">
        <v>59</v>
      </c>
      <c r="B1080" s="36">
        <v>300</v>
      </c>
      <c r="C1080" s="2" t="s">
        <v>105</v>
      </c>
      <c r="E1080" s="2" t="s">
        <v>1146</v>
      </c>
      <c r="F1080" s="2" t="s">
        <v>109</v>
      </c>
      <c r="G1080" s="2" t="s">
        <v>872</v>
      </c>
      <c r="L1080" s="48" t="str">
        <f t="shared" si="124"/>
        <v>02_Slots/Gottheit/Goetter-mit-Epitheta/0300_Apis/det/0010_Hp_det_02.png</v>
      </c>
    </row>
    <row r="1081" spans="1:12" x14ac:dyDescent="0.2">
      <c r="A1081" s="2" t="s">
        <v>59</v>
      </c>
      <c r="B1081" s="36">
        <v>300</v>
      </c>
      <c r="C1081" s="2" t="s">
        <v>105</v>
      </c>
      <c r="E1081" s="2" t="s">
        <v>1146</v>
      </c>
      <c r="F1081" s="2" t="s">
        <v>109</v>
      </c>
      <c r="G1081" s="2" t="s">
        <v>873</v>
      </c>
      <c r="I1081" s="2" t="s">
        <v>1090</v>
      </c>
      <c r="J1081" s="2" t="s">
        <v>1112</v>
      </c>
      <c r="K1081" s="2" t="s">
        <v>1092</v>
      </c>
      <c r="L1081" s="48" t="str">
        <f>_xlfn.TEXTJOIN("", TRUE, D1081:K1081)</f>
        <v>02_Slots/Gottheit/Goetter-mit-Epitheta/0300_Apis/det/0020_Hp_det_AR-SP_01.png &lt;sup&gt;(AR; Sp.)&lt;/sup&gt;</v>
      </c>
    </row>
    <row r="1082" spans="1:12" x14ac:dyDescent="0.2">
      <c r="A1082" s="2" t="s">
        <v>59</v>
      </c>
      <c r="B1082" s="36">
        <v>300</v>
      </c>
      <c r="C1082" s="2" t="s">
        <v>106</v>
      </c>
      <c r="L1082" s="48" t="s">
        <v>152</v>
      </c>
    </row>
    <row r="1083" spans="1:12" x14ac:dyDescent="0.2">
      <c r="A1083" s="2" t="s">
        <v>59</v>
      </c>
      <c r="B1083" s="36">
        <v>300</v>
      </c>
      <c r="C1083" s="2" t="s">
        <v>107</v>
      </c>
      <c r="L1083" s="48" t="s">
        <v>1073</v>
      </c>
    </row>
    <row r="1084" spans="1:12" x14ac:dyDescent="0.2">
      <c r="A1084" s="2" t="s">
        <v>59</v>
      </c>
      <c r="B1084" s="36">
        <v>300</v>
      </c>
      <c r="C1084" s="2" t="s">
        <v>1561</v>
      </c>
      <c r="L1084" s="48">
        <v>104000</v>
      </c>
    </row>
    <row r="1086" spans="1:12" x14ac:dyDescent="0.2">
      <c r="A1086" s="2" t="s">
        <v>874</v>
      </c>
      <c r="B1086" s="36">
        <v>1</v>
      </c>
      <c r="C1086" s="2" t="s">
        <v>38</v>
      </c>
      <c r="L1086" s="48" t="s">
        <v>617</v>
      </c>
    </row>
    <row r="1087" spans="1:12" x14ac:dyDescent="0.2">
      <c r="A1087" s="2" t="s">
        <v>874</v>
      </c>
      <c r="B1087" s="36">
        <v>1</v>
      </c>
      <c r="C1087" s="2" t="s">
        <v>104</v>
      </c>
      <c r="E1087" s="2" t="s">
        <v>1146</v>
      </c>
      <c r="F1087" s="2" t="s">
        <v>875</v>
      </c>
      <c r="G1087" s="2" t="s">
        <v>876</v>
      </c>
      <c r="H1087" s="2" t="s">
        <v>111</v>
      </c>
      <c r="I1087" s="2" t="s">
        <v>1090</v>
      </c>
      <c r="J1087" s="2" t="s">
        <v>1111</v>
      </c>
      <c r="K1087" s="2" t="s">
        <v>1092</v>
      </c>
      <c r="L1087" s="48" t="str">
        <f>_xlfn.TEXTJOIN("", TRUE, D1087:K1087)</f>
        <v>02_Slots/Gottheit/Goetter-mit-Epitheta/0300_Apis/epitheta/01_anx/0001_anx_seit-NR_01.png &lt;sup&gt;(seit NR)&lt;/sup&gt;</v>
      </c>
    </row>
    <row r="1088" spans="1:12" x14ac:dyDescent="0.2">
      <c r="A1088" s="2" t="s">
        <v>874</v>
      </c>
      <c r="B1088" s="36">
        <v>1</v>
      </c>
      <c r="C1088" s="2" t="s">
        <v>26</v>
      </c>
      <c r="L1088" s="48" t="s">
        <v>619</v>
      </c>
    </row>
    <row r="1089" spans="1:12" x14ac:dyDescent="0.2">
      <c r="A1089" s="2" t="s">
        <v>874</v>
      </c>
      <c r="B1089" s="36">
        <v>1</v>
      </c>
      <c r="C1089" s="2" t="s">
        <v>1561</v>
      </c>
      <c r="L1089" s="48">
        <v>853239</v>
      </c>
    </row>
    <row r="1095" spans="1:12" x14ac:dyDescent="0.2">
      <c r="A1095" s="2" t="s">
        <v>59</v>
      </c>
      <c r="B1095" s="36">
        <v>310</v>
      </c>
      <c r="C1095" s="2" t="s">
        <v>38</v>
      </c>
      <c r="L1095" s="48" t="s">
        <v>644</v>
      </c>
    </row>
    <row r="1096" spans="1:12" x14ac:dyDescent="0.2">
      <c r="A1096" s="2" t="s">
        <v>59</v>
      </c>
      <c r="B1096" s="36">
        <v>310</v>
      </c>
      <c r="C1096" s="2" t="s">
        <v>104</v>
      </c>
      <c r="E1096" s="2" t="s">
        <v>1147</v>
      </c>
      <c r="G1096" s="2" t="s">
        <v>877</v>
      </c>
      <c r="L1096" s="48" t="str">
        <f t="shared" ref="L1096:L1104" si="126">_xlfn.TEXTJOIN("", TRUE, D1096:J1096)</f>
        <v>02_Slots/Gottheit/Goetter-mit-Epitheta/0310_Hapi-Horussohn/0001_Hpy_01.png</v>
      </c>
    </row>
    <row r="1097" spans="1:12" x14ac:dyDescent="0.2">
      <c r="A1097" s="2" t="s">
        <v>59</v>
      </c>
      <c r="B1097" s="36">
        <v>310</v>
      </c>
      <c r="C1097" s="2" t="s">
        <v>104</v>
      </c>
      <c r="E1097" s="2" t="s">
        <v>1147</v>
      </c>
      <c r="G1097" s="2" t="s">
        <v>878</v>
      </c>
      <c r="L1097" s="48" t="str">
        <f t="shared" si="126"/>
        <v>02_Slots/Gottheit/Goetter-mit-Epitheta/0310_Hapi-Horussohn/0010_Hpy_02.png</v>
      </c>
    </row>
    <row r="1098" spans="1:12" x14ac:dyDescent="0.2">
      <c r="A1098" s="2" t="s">
        <v>59</v>
      </c>
      <c r="B1098" s="36">
        <v>310</v>
      </c>
      <c r="C1098" s="2" t="s">
        <v>104</v>
      </c>
      <c r="E1098" s="2" t="s">
        <v>1147</v>
      </c>
      <c r="G1098" s="2" t="s">
        <v>879</v>
      </c>
      <c r="L1098" s="48" t="str">
        <f t="shared" si="126"/>
        <v>02_Slots/Gottheit/Goetter-mit-Epitheta/0310_Hapi-Horussohn/0020_Hpy_03.png</v>
      </c>
    </row>
    <row r="1099" spans="1:12" x14ac:dyDescent="0.2">
      <c r="A1099" s="2" t="s">
        <v>59</v>
      </c>
      <c r="B1099" s="36">
        <v>310</v>
      </c>
      <c r="C1099" s="2" t="s">
        <v>104</v>
      </c>
      <c r="E1099" s="2" t="s">
        <v>1147</v>
      </c>
      <c r="G1099" s="2" t="s">
        <v>880</v>
      </c>
      <c r="L1099" s="48" t="str">
        <f t="shared" si="126"/>
        <v>02_Slots/Gottheit/Goetter-mit-Epitheta/0310_Hapi-Horussohn/0030_Hpy_04.png</v>
      </c>
    </row>
    <row r="1100" spans="1:12" x14ac:dyDescent="0.2">
      <c r="A1100" s="2" t="s">
        <v>59</v>
      </c>
      <c r="B1100" s="36">
        <v>310</v>
      </c>
      <c r="C1100" s="2" t="s">
        <v>104</v>
      </c>
      <c r="E1100" s="2" t="s">
        <v>1147</v>
      </c>
      <c r="G1100" s="2" t="s">
        <v>881</v>
      </c>
      <c r="I1100" s="2" t="s">
        <v>1090</v>
      </c>
      <c r="J1100" s="2" t="s">
        <v>1091</v>
      </c>
      <c r="K1100" s="2" t="s">
        <v>1092</v>
      </c>
      <c r="L1100" s="48" t="str">
        <f t="shared" ref="L1100:L1102" si="127">_xlfn.TEXTJOIN("", TRUE, D1100:K1100)</f>
        <v>02_Slots/Gottheit/Goetter-mit-Epitheta/0310_Hapi-Horussohn/0040_Hpy_AR_01.png &lt;sup&gt;(AR)&lt;/sup&gt;</v>
      </c>
    </row>
    <row r="1101" spans="1:12" x14ac:dyDescent="0.2">
      <c r="A1101" s="2" t="s">
        <v>59</v>
      </c>
      <c r="B1101" s="36">
        <v>310</v>
      </c>
      <c r="C1101" s="2" t="s">
        <v>104</v>
      </c>
      <c r="E1101" s="2" t="s">
        <v>1147</v>
      </c>
      <c r="G1101" s="2" t="s">
        <v>882</v>
      </c>
      <c r="I1101" s="2" t="s">
        <v>1090</v>
      </c>
      <c r="J1101" s="2" t="s">
        <v>1094</v>
      </c>
      <c r="K1101" s="2" t="s">
        <v>1092</v>
      </c>
      <c r="L1101" s="48" t="str">
        <f t="shared" si="127"/>
        <v>02_Slots/Gottheit/Goetter-mit-Epitheta/0310_Hapi-Horussohn/0050_Hpy_MR_01.png &lt;sup&gt;(MR)&lt;/sup&gt;</v>
      </c>
    </row>
    <row r="1102" spans="1:12" x14ac:dyDescent="0.2">
      <c r="A1102" s="2" t="s">
        <v>59</v>
      </c>
      <c r="B1102" s="36">
        <v>310</v>
      </c>
      <c r="C1102" s="2" t="s">
        <v>104</v>
      </c>
      <c r="E1102" s="2" t="s">
        <v>1147</v>
      </c>
      <c r="G1102" s="2" t="s">
        <v>883</v>
      </c>
      <c r="I1102" s="2" t="s">
        <v>1090</v>
      </c>
      <c r="J1102" s="2" t="s">
        <v>1106</v>
      </c>
      <c r="K1102" s="2" t="s">
        <v>1092</v>
      </c>
      <c r="L1102" s="48" t="str">
        <f t="shared" si="127"/>
        <v>02_Slots/Gottheit/Goetter-mit-Epitheta/0310_Hapi-Horussohn/0060_Hpy_MR-NR-GR_01.png &lt;sup&gt;(MR; NR; Gr.)&lt;/sup&gt;</v>
      </c>
    </row>
    <row r="1103" spans="1:12" x14ac:dyDescent="0.2">
      <c r="A1103" s="2" t="s">
        <v>59</v>
      </c>
      <c r="B1103" s="36">
        <v>310</v>
      </c>
      <c r="C1103" s="2" t="s">
        <v>105</v>
      </c>
      <c r="E1103" s="2" t="s">
        <v>1147</v>
      </c>
      <c r="F1103" s="2" t="s">
        <v>109</v>
      </c>
      <c r="G1103" s="2" t="s">
        <v>884</v>
      </c>
      <c r="L1103" s="48" t="str">
        <f t="shared" si="126"/>
        <v>02_Slots/Gottheit/Goetter-mit-Epitheta/0310_Hapi-Horussohn/det/0001_Hpy_det_01.png</v>
      </c>
    </row>
    <row r="1104" spans="1:12" x14ac:dyDescent="0.2">
      <c r="A1104" s="2" t="s">
        <v>59</v>
      </c>
      <c r="B1104" s="36">
        <v>310</v>
      </c>
      <c r="C1104" s="2" t="s">
        <v>105</v>
      </c>
      <c r="E1104" s="2" t="s">
        <v>1147</v>
      </c>
      <c r="F1104" s="2" t="s">
        <v>109</v>
      </c>
      <c r="G1104" s="2" t="s">
        <v>885</v>
      </c>
      <c r="L1104" s="48" t="str">
        <f t="shared" si="126"/>
        <v>02_Slots/Gottheit/Goetter-mit-Epitheta/0310_Hapi-Horussohn/det/0010_Hpy_det_AR_01.png</v>
      </c>
    </row>
    <row r="1105" spans="1:12" x14ac:dyDescent="0.2">
      <c r="A1105" s="2" t="s">
        <v>59</v>
      </c>
      <c r="B1105" s="36">
        <v>310</v>
      </c>
      <c r="C1105" s="2" t="s">
        <v>106</v>
      </c>
      <c r="L1105" s="48" t="s">
        <v>153</v>
      </c>
    </row>
    <row r="1106" spans="1:12" x14ac:dyDescent="0.2">
      <c r="A1106" s="2" t="s">
        <v>59</v>
      </c>
      <c r="B1106" s="36">
        <v>310</v>
      </c>
      <c r="C1106" s="2" t="s">
        <v>107</v>
      </c>
    </row>
    <row r="1107" spans="1:12" x14ac:dyDescent="0.2">
      <c r="A1107" s="2" t="s">
        <v>59</v>
      </c>
      <c r="B1107" s="36">
        <v>310</v>
      </c>
      <c r="C1107" s="2" t="s">
        <v>1561</v>
      </c>
      <c r="L1107" s="48">
        <v>104090</v>
      </c>
    </row>
    <row r="1110" spans="1:12" x14ac:dyDescent="0.2">
      <c r="A1110" s="2" t="s">
        <v>59</v>
      </c>
      <c r="B1110" s="36">
        <v>320</v>
      </c>
      <c r="C1110" s="2" t="s">
        <v>38</v>
      </c>
      <c r="L1110" s="48" t="s">
        <v>486</v>
      </c>
    </row>
    <row r="1111" spans="1:12" x14ac:dyDescent="0.2">
      <c r="A1111" s="2" t="s">
        <v>59</v>
      </c>
      <c r="B1111" s="36">
        <v>320</v>
      </c>
      <c r="C1111" s="2" t="s">
        <v>104</v>
      </c>
      <c r="E1111" s="2" t="s">
        <v>1148</v>
      </c>
      <c r="G1111" s="2" t="s">
        <v>886</v>
      </c>
      <c r="L1111" s="48" t="str">
        <f>_xlfn.TEXTJOIN("", TRUE, D1111:J1111)</f>
        <v>02_Slots/Gottheit/Goetter-mit-Epitheta/0320_Horus/0001_Hr_01.png</v>
      </c>
    </row>
    <row r="1112" spans="1:12" x14ac:dyDescent="0.2">
      <c r="A1112" s="2" t="s">
        <v>59</v>
      </c>
      <c r="B1112" s="36">
        <v>320</v>
      </c>
      <c r="C1112" s="2" t="s">
        <v>104</v>
      </c>
      <c r="E1112" s="2" t="s">
        <v>1148</v>
      </c>
      <c r="G1112" s="2" t="s">
        <v>887</v>
      </c>
      <c r="L1112" s="48" t="str">
        <f>_xlfn.TEXTJOIN("", TRUE, D1112:J1112)</f>
        <v>02_Slots/Gottheit/Goetter-mit-Epitheta/0320_Horus/0010_Hr_02.png</v>
      </c>
    </row>
    <row r="1113" spans="1:12" x14ac:dyDescent="0.2">
      <c r="A1113" s="2" t="s">
        <v>59</v>
      </c>
      <c r="B1113" s="36">
        <v>320</v>
      </c>
      <c r="C1113" s="2" t="s">
        <v>104</v>
      </c>
      <c r="E1113" s="2" t="s">
        <v>1148</v>
      </c>
      <c r="G1113" s="2" t="s">
        <v>888</v>
      </c>
      <c r="I1113" s="2" t="s">
        <v>1090</v>
      </c>
      <c r="J1113" s="2" t="s">
        <v>1091</v>
      </c>
      <c r="K1113" s="2" t="s">
        <v>1092</v>
      </c>
      <c r="L1113" s="48" t="str">
        <f t="shared" ref="L1113:L1114" si="128">_xlfn.TEXTJOIN("", TRUE, D1113:K1113)</f>
        <v>02_Slots/Gottheit/Goetter-mit-Epitheta/0320_Horus/0020_Hr_AR_01.png &lt;sup&gt;(AR)&lt;/sup&gt;</v>
      </c>
    </row>
    <row r="1114" spans="1:12" x14ac:dyDescent="0.2">
      <c r="A1114" s="2" t="s">
        <v>59</v>
      </c>
      <c r="B1114" s="36">
        <v>320</v>
      </c>
      <c r="C1114" s="2" t="s">
        <v>104</v>
      </c>
      <c r="E1114" s="2" t="s">
        <v>1148</v>
      </c>
      <c r="G1114" s="2" t="s">
        <v>889</v>
      </c>
      <c r="I1114" s="2" t="s">
        <v>1090</v>
      </c>
      <c r="J1114" s="2" t="s">
        <v>1094</v>
      </c>
      <c r="K1114" s="2" t="s">
        <v>1092</v>
      </c>
      <c r="L1114" s="48" t="str">
        <f t="shared" si="128"/>
        <v>02_Slots/Gottheit/Goetter-mit-Epitheta/0320_Horus/0030_Hr_MR_01.png &lt;sup&gt;(MR)&lt;/sup&gt;</v>
      </c>
    </row>
    <row r="1115" spans="1:12" x14ac:dyDescent="0.2">
      <c r="A1115" s="2" t="s">
        <v>59</v>
      </c>
      <c r="B1115" s="36">
        <v>320</v>
      </c>
      <c r="C1115" s="2" t="s">
        <v>105</v>
      </c>
      <c r="L1115" s="48" t="str">
        <f>_xlfn.TEXTJOIN("", TRUE, D1115:J1115)</f>
        <v/>
      </c>
    </row>
    <row r="1116" spans="1:12" x14ac:dyDescent="0.2">
      <c r="A1116" s="2" t="s">
        <v>59</v>
      </c>
      <c r="B1116" s="36">
        <v>320</v>
      </c>
      <c r="C1116" s="2" t="s">
        <v>106</v>
      </c>
      <c r="L1116" s="48" t="s">
        <v>154</v>
      </c>
    </row>
    <row r="1117" spans="1:12" x14ac:dyDescent="0.2">
      <c r="A1117" s="2" t="s">
        <v>59</v>
      </c>
      <c r="B1117" s="36">
        <v>320</v>
      </c>
      <c r="C1117" s="2" t="s">
        <v>107</v>
      </c>
      <c r="L1117" s="48" t="s">
        <v>1074</v>
      </c>
    </row>
    <row r="1118" spans="1:12" x14ac:dyDescent="0.2">
      <c r="A1118" s="2" t="s">
        <v>59</v>
      </c>
      <c r="B1118" s="36">
        <v>320</v>
      </c>
      <c r="C1118" s="2" t="s">
        <v>1561</v>
      </c>
      <c r="L1118" s="48">
        <v>107500</v>
      </c>
    </row>
    <row r="1120" spans="1:12" x14ac:dyDescent="0.2">
      <c r="A1120" s="2" t="s">
        <v>893</v>
      </c>
      <c r="B1120" s="36">
        <v>1</v>
      </c>
      <c r="C1120" s="2" t="s">
        <v>38</v>
      </c>
      <c r="L1120" s="48" t="s">
        <v>905</v>
      </c>
    </row>
    <row r="1121" spans="1:12" x14ac:dyDescent="0.2">
      <c r="A1121" s="2" t="s">
        <v>893</v>
      </c>
      <c r="B1121" s="36">
        <v>1</v>
      </c>
      <c r="C1121" s="2" t="s">
        <v>104</v>
      </c>
      <c r="E1121" s="2" t="s">
        <v>1148</v>
      </c>
      <c r="F1121" s="2" t="s">
        <v>890</v>
      </c>
      <c r="G1121" s="2" t="s">
        <v>891</v>
      </c>
      <c r="H1121" s="2" t="s">
        <v>111</v>
      </c>
      <c r="L1121" s="48" t="str">
        <f>_xlfn.TEXTJOIN("", TRUE, D1121:J1121)</f>
        <v>02_Slots/Gottheit/Goetter-mit-Epitheta/0320_Horus/epitheta/0001_m-Ax.t_01.png</v>
      </c>
    </row>
    <row r="1122" spans="1:12" x14ac:dyDescent="0.2">
      <c r="A1122" s="2" t="s">
        <v>893</v>
      </c>
      <c r="B1122" s="36">
        <v>1</v>
      </c>
      <c r="C1122" s="2" t="s">
        <v>26</v>
      </c>
      <c r="L1122" s="48" t="s">
        <v>906</v>
      </c>
    </row>
    <row r="1123" spans="1:12" x14ac:dyDescent="0.2">
      <c r="A1123" s="2" t="s">
        <v>893</v>
      </c>
      <c r="B1123" s="36">
        <v>1</v>
      </c>
      <c r="C1123" s="2" t="s">
        <v>1561</v>
      </c>
      <c r="L1123" s="48">
        <v>704928</v>
      </c>
    </row>
    <row r="1125" spans="1:12" x14ac:dyDescent="0.2">
      <c r="A1125" s="2" t="s">
        <v>893</v>
      </c>
      <c r="B1125" s="36">
        <v>2</v>
      </c>
      <c r="C1125" s="2" t="s">
        <v>38</v>
      </c>
      <c r="L1125" s="48" t="s">
        <v>1568</v>
      </c>
    </row>
    <row r="1126" spans="1:12" x14ac:dyDescent="0.2">
      <c r="A1126" s="2" t="s">
        <v>893</v>
      </c>
      <c r="B1126" s="36">
        <v>2</v>
      </c>
      <c r="C1126" s="2" t="s">
        <v>104</v>
      </c>
      <c r="E1126" s="2" t="s">
        <v>1148</v>
      </c>
      <c r="F1126" s="2" t="s">
        <v>890</v>
      </c>
      <c r="G1126" s="2" t="s">
        <v>892</v>
      </c>
      <c r="H1126" s="2" t="s">
        <v>111</v>
      </c>
      <c r="L1126" s="48" t="str">
        <f>_xlfn.TEXTJOIN("", TRUE, D1126:J1126)</f>
        <v>02_Slots/Gottheit/Goetter-mit-Epitheta/0320_Horus/epitheta/0001_nD-jt_01.png</v>
      </c>
    </row>
    <row r="1127" spans="1:12" x14ac:dyDescent="0.2">
      <c r="A1127" s="2" t="s">
        <v>893</v>
      </c>
      <c r="B1127" s="36">
        <v>2</v>
      </c>
      <c r="C1127" s="2" t="s">
        <v>26</v>
      </c>
      <c r="L1127" s="48" t="s">
        <v>1567</v>
      </c>
    </row>
    <row r="1128" spans="1:12" x14ac:dyDescent="0.2">
      <c r="A1128" s="2" t="s">
        <v>893</v>
      </c>
      <c r="B1128" s="36">
        <v>2</v>
      </c>
      <c r="C1128" s="2" t="s">
        <v>1561</v>
      </c>
      <c r="L1128" s="48">
        <v>550431</v>
      </c>
    </row>
    <row r="1130" spans="1:12" x14ac:dyDescent="0.2">
      <c r="A1130" s="2" t="s">
        <v>893</v>
      </c>
      <c r="B1130" s="36">
        <v>3</v>
      </c>
      <c r="C1130" s="2" t="s">
        <v>38</v>
      </c>
      <c r="L1130" s="48" t="s">
        <v>903</v>
      </c>
    </row>
    <row r="1131" spans="1:12" x14ac:dyDescent="0.2">
      <c r="A1131" s="2" t="s">
        <v>893</v>
      </c>
      <c r="B1131" s="36">
        <v>3</v>
      </c>
      <c r="C1131" s="2" t="s">
        <v>104</v>
      </c>
      <c r="E1131" s="2" t="s">
        <v>1148</v>
      </c>
      <c r="F1131" s="2" t="s">
        <v>890</v>
      </c>
      <c r="G1131" s="2" t="s">
        <v>894</v>
      </c>
      <c r="H1131" s="2" t="s">
        <v>111</v>
      </c>
      <c r="I1131" s="2" t="s">
        <v>1090</v>
      </c>
      <c r="J1131" s="2" t="s">
        <v>1082</v>
      </c>
      <c r="K1131" s="2" t="s">
        <v>1092</v>
      </c>
      <c r="L1131" s="48" t="str">
        <f>_xlfn.TEXTJOIN("", TRUE, D1131:K1131)</f>
        <v>02_Slots/Gottheit/Goetter-mit-Epitheta/0320_Horus/epitheta/0001_pA-Xrd_SP_01.png &lt;sup&gt;(Spät.)&lt;/sup&gt;</v>
      </c>
    </row>
    <row r="1132" spans="1:12" x14ac:dyDescent="0.2">
      <c r="A1132" s="2" t="s">
        <v>893</v>
      </c>
      <c r="B1132" s="36">
        <v>3</v>
      </c>
      <c r="C1132" s="2" t="s">
        <v>26</v>
      </c>
      <c r="L1132" s="48" t="s">
        <v>904</v>
      </c>
    </row>
    <row r="1133" spans="1:12" x14ac:dyDescent="0.2">
      <c r="A1133" s="2" t="s">
        <v>893</v>
      </c>
      <c r="B1133" s="36">
        <v>3</v>
      </c>
      <c r="C1133" s="2" t="s">
        <v>1561</v>
      </c>
      <c r="L1133" s="48">
        <v>853040</v>
      </c>
    </row>
    <row r="1135" spans="1:12" x14ac:dyDescent="0.2">
      <c r="A1135" s="2" t="s">
        <v>893</v>
      </c>
      <c r="B1135" s="36">
        <v>4</v>
      </c>
      <c r="C1135" s="2" t="s">
        <v>38</v>
      </c>
      <c r="L1135" s="48" t="s">
        <v>1569</v>
      </c>
    </row>
    <row r="1136" spans="1:12" x14ac:dyDescent="0.2">
      <c r="A1136" s="2" t="s">
        <v>893</v>
      </c>
      <c r="B1136" s="36">
        <v>4</v>
      </c>
      <c r="C1136" s="2" t="s">
        <v>104</v>
      </c>
      <c r="E1136" s="2" t="s">
        <v>1148</v>
      </c>
      <c r="F1136" s="2" t="s">
        <v>890</v>
      </c>
      <c r="G1136" s="2" t="s">
        <v>895</v>
      </c>
      <c r="H1136" s="2" t="s">
        <v>111</v>
      </c>
      <c r="L1136" s="48" t="str">
        <f>_xlfn.TEXTJOIN("", TRUE, D1136:J1136)</f>
        <v>02_Slots/Gottheit/Goetter-mit-Epitheta/0320_Horus/epitheta/0001_sA-s.t_01.png</v>
      </c>
    </row>
    <row r="1137" spans="1:12" x14ac:dyDescent="0.2">
      <c r="A1137" s="2" t="s">
        <v>893</v>
      </c>
      <c r="B1137" s="36">
        <v>4</v>
      </c>
      <c r="C1137" s="2" t="s">
        <v>26</v>
      </c>
      <c r="L1137" s="48" t="s">
        <v>902</v>
      </c>
    </row>
    <row r="1138" spans="1:12" x14ac:dyDescent="0.2">
      <c r="A1138" s="2" t="s">
        <v>893</v>
      </c>
      <c r="B1138" s="36">
        <v>4</v>
      </c>
      <c r="C1138" s="2" t="s">
        <v>1561</v>
      </c>
      <c r="L1138" s="48">
        <v>853039</v>
      </c>
    </row>
    <row r="1140" spans="1:12" x14ac:dyDescent="0.2">
      <c r="A1140" s="2" t="s">
        <v>893</v>
      </c>
      <c r="B1140" s="36">
        <v>5</v>
      </c>
      <c r="C1140" s="2" t="s">
        <v>38</v>
      </c>
      <c r="L1140" s="48" t="s">
        <v>900</v>
      </c>
    </row>
    <row r="1141" spans="1:12" x14ac:dyDescent="0.2">
      <c r="A1141" s="2" t="s">
        <v>893</v>
      </c>
      <c r="B1141" s="36">
        <v>5</v>
      </c>
      <c r="C1141" s="2" t="s">
        <v>104</v>
      </c>
      <c r="E1141" s="2" t="s">
        <v>1148</v>
      </c>
      <c r="F1141" s="2" t="s">
        <v>890</v>
      </c>
      <c r="G1141" s="2" t="s">
        <v>896</v>
      </c>
      <c r="H1141" s="2" t="s">
        <v>111</v>
      </c>
      <c r="L1141" s="48" t="str">
        <f>_xlfn.TEXTJOIN("", TRUE, D1141:J1141)</f>
        <v>02_Slots/Gottheit/Goetter-mit-Epitheta/0320_Horus/epitheta/0001_smA-tA.wj_01.png</v>
      </c>
    </row>
    <row r="1142" spans="1:12" x14ac:dyDescent="0.2">
      <c r="A1142" s="2" t="s">
        <v>893</v>
      </c>
      <c r="B1142" s="36">
        <v>5</v>
      </c>
      <c r="C1142" s="2" t="s">
        <v>26</v>
      </c>
      <c r="L1142" s="48" t="s">
        <v>901</v>
      </c>
    </row>
    <row r="1143" spans="1:12" x14ac:dyDescent="0.2">
      <c r="A1143" s="2" t="s">
        <v>893</v>
      </c>
      <c r="B1143" s="36">
        <v>5</v>
      </c>
      <c r="C1143" s="2" t="s">
        <v>1561</v>
      </c>
      <c r="L1143" s="48">
        <v>858652</v>
      </c>
    </row>
    <row r="1145" spans="1:12" x14ac:dyDescent="0.2">
      <c r="A1145" s="2" t="s">
        <v>893</v>
      </c>
      <c r="B1145" s="36">
        <v>6</v>
      </c>
      <c r="C1145" s="2" t="s">
        <v>38</v>
      </c>
      <c r="L1145" s="48" t="s">
        <v>898</v>
      </c>
    </row>
    <row r="1146" spans="1:12" x14ac:dyDescent="0.2">
      <c r="A1146" s="2" t="s">
        <v>893</v>
      </c>
      <c r="B1146" s="36">
        <v>6</v>
      </c>
      <c r="C1146" s="2" t="s">
        <v>104</v>
      </c>
      <c r="E1146" s="2" t="s">
        <v>1148</v>
      </c>
      <c r="F1146" s="2" t="s">
        <v>890</v>
      </c>
      <c r="G1146" s="2" t="s">
        <v>897</v>
      </c>
      <c r="H1146" s="2" t="s">
        <v>111</v>
      </c>
      <c r="L1146" s="48" t="str">
        <f>_xlfn.TEXTJOIN("", TRUE, D1146:J1146)</f>
        <v>02_Slots/Gottheit/Goetter-mit-Epitheta/0320_Horus/epitheta/0001_wr_01.png</v>
      </c>
    </row>
    <row r="1147" spans="1:12" x14ac:dyDescent="0.2">
      <c r="A1147" s="2" t="s">
        <v>893</v>
      </c>
      <c r="B1147" s="36">
        <v>6</v>
      </c>
      <c r="C1147" s="2" t="s">
        <v>26</v>
      </c>
      <c r="L1147" s="48" t="s">
        <v>899</v>
      </c>
    </row>
    <row r="1148" spans="1:12" x14ac:dyDescent="0.2">
      <c r="A1148" s="2" t="s">
        <v>893</v>
      </c>
      <c r="B1148" s="36">
        <v>6</v>
      </c>
      <c r="C1148" s="2" t="s">
        <v>1561</v>
      </c>
      <c r="L1148" s="48">
        <v>550351</v>
      </c>
    </row>
    <row r="1150" spans="1:12" x14ac:dyDescent="0.2">
      <c r="A1150" s="2" t="s">
        <v>59</v>
      </c>
      <c r="B1150" s="36">
        <v>330</v>
      </c>
      <c r="C1150" s="2" t="s">
        <v>38</v>
      </c>
      <c r="L1150" s="48" t="s">
        <v>645</v>
      </c>
    </row>
    <row r="1151" spans="1:12" x14ac:dyDescent="0.2">
      <c r="A1151" s="2" t="s">
        <v>59</v>
      </c>
      <c r="B1151" s="36">
        <v>330</v>
      </c>
      <c r="C1151" s="2" t="s">
        <v>104</v>
      </c>
      <c r="E1151" s="2" t="s">
        <v>1149</v>
      </c>
      <c r="G1151" s="2" t="s">
        <v>907</v>
      </c>
      <c r="L1151" s="48" t="str">
        <f>_xlfn.TEXTJOIN("", TRUE, D1151:J1151)</f>
        <v>02_Slots/Gottheit/Goetter-mit-Epitheta/0330_Harachte/0001_Hr-Axtj_01.png</v>
      </c>
    </row>
    <row r="1152" spans="1:12" x14ac:dyDescent="0.2">
      <c r="A1152" s="2" t="s">
        <v>59</v>
      </c>
      <c r="B1152" s="36">
        <v>330</v>
      </c>
      <c r="C1152" s="2" t="s">
        <v>104</v>
      </c>
      <c r="E1152" s="2" t="s">
        <v>1149</v>
      </c>
      <c r="G1152" s="2" t="s">
        <v>908</v>
      </c>
      <c r="L1152" s="48" t="str">
        <f>_xlfn.TEXTJOIN("", TRUE, D1152:J1152)</f>
        <v>02_Slots/Gottheit/Goetter-mit-Epitheta/0330_Harachte/0010_Hr-Axtj_02.png</v>
      </c>
    </row>
    <row r="1153" spans="1:12" x14ac:dyDescent="0.2">
      <c r="A1153" s="2" t="s">
        <v>59</v>
      </c>
      <c r="B1153" s="36">
        <v>330</v>
      </c>
      <c r="C1153" s="2" t="s">
        <v>104</v>
      </c>
      <c r="E1153" s="2" t="s">
        <v>1149</v>
      </c>
      <c r="G1153" s="2" t="s">
        <v>909</v>
      </c>
      <c r="L1153" s="48" t="str">
        <f>_xlfn.TEXTJOIN("", TRUE, D1153:J1153)</f>
        <v>02_Slots/Gottheit/Goetter-mit-Epitheta/0330_Harachte/0020_Hr-Axtj_03.png</v>
      </c>
    </row>
    <row r="1154" spans="1:12" x14ac:dyDescent="0.2">
      <c r="A1154" s="2" t="s">
        <v>59</v>
      </c>
      <c r="B1154" s="36">
        <v>330</v>
      </c>
      <c r="C1154" s="2" t="s">
        <v>105</v>
      </c>
      <c r="L1154" s="48" t="str">
        <f>_xlfn.TEXTJOIN("", TRUE, D1154:J1154)</f>
        <v/>
      </c>
    </row>
    <row r="1155" spans="1:12" x14ac:dyDescent="0.2">
      <c r="A1155" s="2" t="s">
        <v>59</v>
      </c>
      <c r="B1155" s="36">
        <v>330</v>
      </c>
      <c r="C1155" s="2" t="s">
        <v>106</v>
      </c>
      <c r="L1155" s="48" t="s">
        <v>155</v>
      </c>
    </row>
    <row r="1156" spans="1:12" x14ac:dyDescent="0.2">
      <c r="A1156" s="2" t="s">
        <v>59</v>
      </c>
      <c r="B1156" s="36">
        <v>330</v>
      </c>
      <c r="C1156" s="2" t="s">
        <v>107</v>
      </c>
    </row>
    <row r="1157" spans="1:12" x14ac:dyDescent="0.2">
      <c r="A1157" s="2" t="s">
        <v>59</v>
      </c>
      <c r="B1157" s="36">
        <v>330</v>
      </c>
      <c r="C1157" s="2" t="s">
        <v>1561</v>
      </c>
      <c r="L1157" s="48">
        <v>107800</v>
      </c>
    </row>
    <row r="1160" spans="1:12" x14ac:dyDescent="0.2">
      <c r="A1160" s="2" t="s">
        <v>59</v>
      </c>
      <c r="B1160" s="36">
        <v>340</v>
      </c>
      <c r="C1160" s="2" t="s">
        <v>38</v>
      </c>
      <c r="L1160" s="48" t="s">
        <v>646</v>
      </c>
    </row>
    <row r="1161" spans="1:12" x14ac:dyDescent="0.2">
      <c r="A1161" s="2" t="s">
        <v>59</v>
      </c>
      <c r="B1161" s="36">
        <v>340</v>
      </c>
      <c r="C1161" s="2" t="s">
        <v>104</v>
      </c>
      <c r="E1161" s="2" t="s">
        <v>1150</v>
      </c>
      <c r="G1161" s="2" t="s">
        <v>910</v>
      </c>
      <c r="L1161" s="48" t="str">
        <f>_xlfn.TEXTJOIN("", TRUE, D1161:J1161)</f>
        <v>02_Slots/Gottheit/Goetter-mit-Epitheta/0340_Heqet/0001_Hqt_01.png</v>
      </c>
    </row>
    <row r="1162" spans="1:12" x14ac:dyDescent="0.2">
      <c r="A1162" s="2" t="s">
        <v>59</v>
      </c>
      <c r="B1162" s="36">
        <v>340</v>
      </c>
      <c r="C1162" s="2" t="s">
        <v>104</v>
      </c>
      <c r="E1162" s="2" t="s">
        <v>1150</v>
      </c>
      <c r="G1162" s="2" t="s">
        <v>911</v>
      </c>
      <c r="I1162" s="2" t="s">
        <v>1090</v>
      </c>
      <c r="J1162" s="2" t="s">
        <v>1098</v>
      </c>
      <c r="K1162" s="2" t="s">
        <v>1092</v>
      </c>
      <c r="L1162" s="48" t="str">
        <f>_xlfn.TEXTJOIN("", TRUE, D1162:K1162)</f>
        <v>02_Slots/Gottheit/Goetter-mit-Epitheta/0340_Heqet/0010_Hqt_D.18_01.png &lt;sup&gt;(D.18)&lt;/sup&gt;</v>
      </c>
    </row>
    <row r="1163" spans="1:12" x14ac:dyDescent="0.2">
      <c r="A1163" s="2" t="s">
        <v>59</v>
      </c>
      <c r="B1163" s="36">
        <v>340</v>
      </c>
      <c r="C1163" s="2" t="s">
        <v>105</v>
      </c>
      <c r="E1163" s="2" t="s">
        <v>1150</v>
      </c>
      <c r="F1163" s="2" t="s">
        <v>109</v>
      </c>
      <c r="G1163" s="2" t="s">
        <v>912</v>
      </c>
      <c r="L1163" s="48" t="str">
        <f>_xlfn.TEXTJOIN("", TRUE, D1163:J1163)</f>
        <v>02_Slots/Gottheit/Goetter-mit-Epitheta/0340_Heqet/det/0001_Hqt_det_01.png</v>
      </c>
    </row>
    <row r="1164" spans="1:12" x14ac:dyDescent="0.2">
      <c r="A1164" s="2" t="s">
        <v>59</v>
      </c>
      <c r="B1164" s="36">
        <v>340</v>
      </c>
      <c r="C1164" s="2" t="s">
        <v>105</v>
      </c>
      <c r="E1164" s="2" t="s">
        <v>1150</v>
      </c>
      <c r="F1164" s="2" t="s">
        <v>109</v>
      </c>
      <c r="G1164" s="2" t="s">
        <v>913</v>
      </c>
      <c r="L1164" s="48" t="str">
        <f>_xlfn.TEXTJOIN("", TRUE, D1164:J1164)</f>
        <v>02_Slots/Gottheit/Goetter-mit-Epitheta/0340_Heqet/det/0010_Hqt_det_02.png</v>
      </c>
    </row>
    <row r="1165" spans="1:12" x14ac:dyDescent="0.2">
      <c r="A1165" s="2" t="s">
        <v>59</v>
      </c>
      <c r="B1165" s="36">
        <v>340</v>
      </c>
      <c r="C1165" s="2" t="s">
        <v>106</v>
      </c>
      <c r="L1165" s="48" t="s">
        <v>156</v>
      </c>
    </row>
    <row r="1166" spans="1:12" x14ac:dyDescent="0.2">
      <c r="A1166" s="2" t="s">
        <v>59</v>
      </c>
      <c r="B1166" s="36">
        <v>340</v>
      </c>
      <c r="C1166" s="2" t="s">
        <v>107</v>
      </c>
    </row>
    <row r="1167" spans="1:12" x14ac:dyDescent="0.2">
      <c r="A1167" s="2" t="s">
        <v>59</v>
      </c>
      <c r="B1167" s="36">
        <v>340</v>
      </c>
      <c r="C1167" s="2" t="s">
        <v>1561</v>
      </c>
      <c r="L1167" s="48">
        <v>110310</v>
      </c>
    </row>
    <row r="1170" spans="1:12" x14ac:dyDescent="0.2">
      <c r="A1170" s="2" t="s">
        <v>59</v>
      </c>
      <c r="B1170" s="36">
        <v>360</v>
      </c>
      <c r="C1170" s="2" t="s">
        <v>38</v>
      </c>
      <c r="L1170" s="48" t="s">
        <v>647</v>
      </c>
    </row>
    <row r="1171" spans="1:12" x14ac:dyDescent="0.2">
      <c r="A1171" s="2" t="s">
        <v>59</v>
      </c>
      <c r="B1171" s="36">
        <v>360</v>
      </c>
      <c r="C1171" s="2" t="s">
        <v>104</v>
      </c>
      <c r="E1171" s="2" t="s">
        <v>1151</v>
      </c>
      <c r="G1171" s="2" t="s">
        <v>914</v>
      </c>
      <c r="L1171" s="48" t="str">
        <f t="shared" ref="L1171:L1178" si="129">_xlfn.TEXTJOIN("", TRUE, D1171:J1171)</f>
        <v>02_Slots/Gottheit/Goetter-mit-Epitheta/0350_Chnum/0001_Xnm.w_01.png</v>
      </c>
    </row>
    <row r="1172" spans="1:12" x14ac:dyDescent="0.2">
      <c r="A1172" s="2" t="s">
        <v>59</v>
      </c>
      <c r="B1172" s="36">
        <v>360</v>
      </c>
      <c r="C1172" s="2" t="s">
        <v>104</v>
      </c>
      <c r="E1172" s="2" t="s">
        <v>1151</v>
      </c>
      <c r="G1172" s="2" t="s">
        <v>915</v>
      </c>
      <c r="L1172" s="48" t="str">
        <f t="shared" si="129"/>
        <v>02_Slots/Gottheit/Goetter-mit-Epitheta/0350_Chnum/0010_Xnm.w_02.png</v>
      </c>
    </row>
    <row r="1173" spans="1:12" x14ac:dyDescent="0.2">
      <c r="A1173" s="2" t="s">
        <v>59</v>
      </c>
      <c r="B1173" s="36">
        <v>360</v>
      </c>
      <c r="C1173" s="2" t="s">
        <v>104</v>
      </c>
      <c r="E1173" s="2" t="s">
        <v>1151</v>
      </c>
      <c r="G1173" s="2" t="s">
        <v>916</v>
      </c>
      <c r="L1173" s="48" t="str">
        <f t="shared" si="129"/>
        <v>02_Slots/Gottheit/Goetter-mit-Epitheta/0350_Chnum/0020_Xnm.w_03.png</v>
      </c>
    </row>
    <row r="1174" spans="1:12" x14ac:dyDescent="0.2">
      <c r="A1174" s="2" t="s">
        <v>59</v>
      </c>
      <c r="B1174" s="36">
        <v>360</v>
      </c>
      <c r="C1174" s="2" t="s">
        <v>104</v>
      </c>
      <c r="E1174" s="2" t="s">
        <v>1151</v>
      </c>
      <c r="G1174" s="2" t="s">
        <v>917</v>
      </c>
      <c r="L1174" s="48" t="str">
        <f t="shared" si="129"/>
        <v>02_Slots/Gottheit/Goetter-mit-Epitheta/0350_Chnum/0030_Xnm.w_04.png</v>
      </c>
    </row>
    <row r="1175" spans="1:12" x14ac:dyDescent="0.2">
      <c r="A1175" s="2" t="s">
        <v>59</v>
      </c>
      <c r="B1175" s="36">
        <v>360</v>
      </c>
      <c r="C1175" s="2" t="s">
        <v>104</v>
      </c>
      <c r="E1175" s="2" t="s">
        <v>1151</v>
      </c>
      <c r="G1175" s="2" t="s">
        <v>918</v>
      </c>
      <c r="I1175" s="2" t="s">
        <v>1090</v>
      </c>
      <c r="J1175" s="2" t="s">
        <v>1093</v>
      </c>
      <c r="K1175" s="2" t="s">
        <v>1092</v>
      </c>
      <c r="L1175" s="48" t="str">
        <f t="shared" ref="L1175:L1176" si="130">_xlfn.TEXTJOIN("", TRUE, D1175:K1175)</f>
        <v>02_Slots/Gottheit/Goetter-mit-Epitheta/0350_Chnum/0040_Xnm.w_GR_01.png &lt;sup&gt;(Gr.)&lt;/sup&gt;</v>
      </c>
    </row>
    <row r="1176" spans="1:12" x14ac:dyDescent="0.2">
      <c r="A1176" s="2" t="s">
        <v>59</v>
      </c>
      <c r="B1176" s="36">
        <v>360</v>
      </c>
      <c r="C1176" s="2" t="s">
        <v>104</v>
      </c>
      <c r="E1176" s="2" t="s">
        <v>1151</v>
      </c>
      <c r="G1176" s="2" t="s">
        <v>919</v>
      </c>
      <c r="I1176" s="2" t="s">
        <v>1090</v>
      </c>
      <c r="J1176" s="2" t="s">
        <v>1093</v>
      </c>
      <c r="K1176" s="2" t="s">
        <v>1092</v>
      </c>
      <c r="L1176" s="48" t="str">
        <f t="shared" si="130"/>
        <v>02_Slots/Gottheit/Goetter-mit-Epitheta/0350_Chnum/0050_Xnm.w_GR_02.png &lt;sup&gt;(Gr.)&lt;/sup&gt;</v>
      </c>
    </row>
    <row r="1177" spans="1:12" x14ac:dyDescent="0.2">
      <c r="A1177" s="2" t="s">
        <v>59</v>
      </c>
      <c r="B1177" s="36">
        <v>360</v>
      </c>
      <c r="C1177" s="2" t="s">
        <v>105</v>
      </c>
      <c r="E1177" s="2" t="s">
        <v>1151</v>
      </c>
      <c r="F1177" s="2" t="s">
        <v>109</v>
      </c>
      <c r="G1177" s="2" t="s">
        <v>920</v>
      </c>
      <c r="L1177" s="48" t="str">
        <f t="shared" si="129"/>
        <v>02_Slots/Gottheit/Goetter-mit-Epitheta/0350_Chnum/det/0001_Xnm.w_det_01.png</v>
      </c>
    </row>
    <row r="1178" spans="1:12" x14ac:dyDescent="0.2">
      <c r="A1178" s="2" t="s">
        <v>59</v>
      </c>
      <c r="B1178" s="36">
        <v>360</v>
      </c>
      <c r="C1178" s="2" t="s">
        <v>105</v>
      </c>
      <c r="E1178" s="2" t="s">
        <v>1151</v>
      </c>
      <c r="F1178" s="2" t="s">
        <v>109</v>
      </c>
      <c r="G1178" s="2" t="s">
        <v>921</v>
      </c>
      <c r="L1178" s="48" t="str">
        <f t="shared" si="129"/>
        <v>02_Slots/Gottheit/Goetter-mit-Epitheta/0350_Chnum/det/0010_Xnm.w_det_02.png</v>
      </c>
    </row>
    <row r="1179" spans="1:12" x14ac:dyDescent="0.2">
      <c r="A1179" s="2" t="s">
        <v>59</v>
      </c>
      <c r="B1179" s="36">
        <v>360</v>
      </c>
      <c r="C1179" s="2" t="s">
        <v>106</v>
      </c>
      <c r="L1179" s="48" t="s">
        <v>157</v>
      </c>
    </row>
    <row r="1180" spans="1:12" x14ac:dyDescent="0.2">
      <c r="A1180" s="2" t="s">
        <v>59</v>
      </c>
      <c r="B1180" s="36">
        <v>360</v>
      </c>
      <c r="C1180" s="2" t="s">
        <v>107</v>
      </c>
    </row>
    <row r="1181" spans="1:12" x14ac:dyDescent="0.2">
      <c r="A1181" s="2" t="s">
        <v>59</v>
      </c>
      <c r="B1181" s="36">
        <v>360</v>
      </c>
      <c r="C1181" s="2" t="s">
        <v>1561</v>
      </c>
      <c r="L1181" s="48">
        <v>123590</v>
      </c>
    </row>
    <row r="1184" spans="1:12" x14ac:dyDescent="0.2">
      <c r="A1184" s="2" t="s">
        <v>59</v>
      </c>
      <c r="B1184" s="36">
        <v>350</v>
      </c>
      <c r="C1184" s="2" t="s">
        <v>38</v>
      </c>
      <c r="L1184" s="48" t="s">
        <v>1570</v>
      </c>
    </row>
    <row r="1185" spans="1:12" x14ac:dyDescent="0.2">
      <c r="A1185" s="2" t="s">
        <v>59</v>
      </c>
      <c r="B1185" s="36">
        <v>350</v>
      </c>
      <c r="C1185" s="2" t="s">
        <v>104</v>
      </c>
      <c r="E1185" s="2" t="s">
        <v>1152</v>
      </c>
      <c r="G1185" s="2" t="s">
        <v>922</v>
      </c>
      <c r="L1185" s="48" t="str">
        <f t="shared" ref="L1185:L1186" si="131">_xlfn.TEXTJOIN("", TRUE, D1185:K1185)</f>
        <v>02_Slots/Gottheit/Goetter-mit-Epitheta/0360_Chons/0001_Xnsw_01.png</v>
      </c>
    </row>
    <row r="1186" spans="1:12" x14ac:dyDescent="0.2">
      <c r="A1186" s="2" t="s">
        <v>59</v>
      </c>
      <c r="B1186" s="36">
        <v>350</v>
      </c>
      <c r="C1186" s="2" t="s">
        <v>104</v>
      </c>
      <c r="E1186" s="2" t="s">
        <v>1152</v>
      </c>
      <c r="G1186" s="2" t="s">
        <v>923</v>
      </c>
      <c r="L1186" s="48" t="str">
        <f t="shared" si="131"/>
        <v>02_Slots/Gottheit/Goetter-mit-Epitheta/0360_Chons/0010_Xnsw_02.png</v>
      </c>
    </row>
    <row r="1187" spans="1:12" x14ac:dyDescent="0.2">
      <c r="A1187" s="2" t="s">
        <v>59</v>
      </c>
      <c r="B1187" s="36">
        <v>350</v>
      </c>
      <c r="C1187" s="2" t="s">
        <v>104</v>
      </c>
      <c r="E1187" s="2" t="s">
        <v>1152</v>
      </c>
      <c r="G1187" s="2" t="s">
        <v>924</v>
      </c>
      <c r="I1187" s="2" t="s">
        <v>1090</v>
      </c>
      <c r="J1187" s="2" t="s">
        <v>1049</v>
      </c>
      <c r="K1187" s="2" t="s">
        <v>1092</v>
      </c>
      <c r="L1187" s="48" t="str">
        <f>_xlfn.TEXTJOIN("", TRUE, D1187:K1187)</f>
        <v>02_Slots/Gottheit/Goetter-mit-Epitheta/0360_Chons/0020_Xnsw_NR_01.png &lt;sup&gt;(NR)&lt;/sup&gt;</v>
      </c>
    </row>
    <row r="1188" spans="1:12" x14ac:dyDescent="0.2">
      <c r="A1188" s="2" t="s">
        <v>59</v>
      </c>
      <c r="B1188" s="36">
        <v>350</v>
      </c>
      <c r="C1188" s="2" t="s">
        <v>105</v>
      </c>
      <c r="L1188" s="48" t="str">
        <f>_xlfn.TEXTJOIN("", TRUE, D1188:J1188)</f>
        <v/>
      </c>
    </row>
    <row r="1189" spans="1:12" x14ac:dyDescent="0.2">
      <c r="A1189" s="2" t="s">
        <v>59</v>
      </c>
      <c r="B1189" s="36">
        <v>350</v>
      </c>
      <c r="C1189" s="2" t="s">
        <v>106</v>
      </c>
      <c r="L1189" s="48" t="s">
        <v>158</v>
      </c>
    </row>
    <row r="1190" spans="1:12" x14ac:dyDescent="0.2">
      <c r="A1190" s="2" t="s">
        <v>59</v>
      </c>
      <c r="B1190" s="36">
        <v>350</v>
      </c>
      <c r="C1190" s="2" t="s">
        <v>107</v>
      </c>
      <c r="L1190" s="54" t="s">
        <v>1443</v>
      </c>
    </row>
    <row r="1191" spans="1:12" x14ac:dyDescent="0.2">
      <c r="A1191" s="2" t="s">
        <v>59</v>
      </c>
      <c r="B1191" s="36">
        <v>350</v>
      </c>
      <c r="C1191" s="2" t="s">
        <v>1561</v>
      </c>
      <c r="L1191" s="54">
        <v>118720</v>
      </c>
    </row>
    <row r="1192" spans="1:12" x14ac:dyDescent="0.2">
      <c r="K1192" s="43"/>
    </row>
    <row r="1193" spans="1:12" x14ac:dyDescent="0.2">
      <c r="A1193" s="2" t="s">
        <v>1444</v>
      </c>
      <c r="B1193" s="36">
        <v>1</v>
      </c>
      <c r="C1193" s="2" t="s">
        <v>38</v>
      </c>
      <c r="L1193" s="54" t="s">
        <v>1448</v>
      </c>
    </row>
    <row r="1194" spans="1:12" x14ac:dyDescent="0.2">
      <c r="A1194" s="2" t="s">
        <v>1444</v>
      </c>
      <c r="B1194" s="36">
        <v>1</v>
      </c>
      <c r="C1194" s="2" t="s">
        <v>104</v>
      </c>
      <c r="E1194" s="2" t="s">
        <v>1152</v>
      </c>
      <c r="F1194" s="2" t="s">
        <v>1447</v>
      </c>
      <c r="G1194" s="2" t="s">
        <v>1445</v>
      </c>
      <c r="I1194" s="2" t="s">
        <v>1090</v>
      </c>
      <c r="J1194" s="2" t="s">
        <v>1049</v>
      </c>
      <c r="K1194" s="2" t="s">
        <v>1092</v>
      </c>
      <c r="L1194" s="48" t="str">
        <f t="shared" ref="L1194:L1195" si="132">_xlfn.TEXTJOIN("", TRUE, D1194:K1194)</f>
        <v>02_Slots/Gottheit/Goetter-mit-Epitheta/0360_Chons/epitheta/01-m-wAs.t/0001_m-WAs.t_NR_01.png &lt;sup&gt;(NR)&lt;/sup&gt;</v>
      </c>
    </row>
    <row r="1195" spans="1:12" x14ac:dyDescent="0.2">
      <c r="A1195" s="2" t="s">
        <v>1444</v>
      </c>
      <c r="B1195" s="36">
        <v>1</v>
      </c>
      <c r="C1195" s="2" t="s">
        <v>104</v>
      </c>
      <c r="E1195" s="2" t="s">
        <v>1152</v>
      </c>
      <c r="F1195" s="2" t="s">
        <v>1447</v>
      </c>
      <c r="G1195" s="2" t="s">
        <v>1446</v>
      </c>
      <c r="I1195" s="2" t="s">
        <v>1090</v>
      </c>
      <c r="J1195" s="2" t="s">
        <v>1049</v>
      </c>
      <c r="K1195" s="2" t="s">
        <v>1092</v>
      </c>
      <c r="L1195" s="48" t="str">
        <f t="shared" si="132"/>
        <v>02_Slots/Gottheit/Goetter-mit-Epitheta/0360_Chons/epitheta/01-m-wAs.t/0010_m-WAs.t_NR_02.png &lt;sup&gt;(NR)&lt;/sup&gt;</v>
      </c>
    </row>
    <row r="1196" spans="1:12" x14ac:dyDescent="0.2">
      <c r="A1196" s="2" t="s">
        <v>1444</v>
      </c>
      <c r="B1196" s="36">
        <v>1</v>
      </c>
      <c r="C1196" s="2" t="s">
        <v>26</v>
      </c>
      <c r="L1196" s="54" t="s">
        <v>1449</v>
      </c>
    </row>
    <row r="1197" spans="1:12" x14ac:dyDescent="0.2">
      <c r="A1197" s="2" t="s">
        <v>1444</v>
      </c>
      <c r="B1197" s="36">
        <v>1</v>
      </c>
      <c r="C1197" s="2" t="s">
        <v>1561</v>
      </c>
      <c r="L1197" s="54">
        <v>860012</v>
      </c>
    </row>
    <row r="1198" spans="1:12" x14ac:dyDescent="0.2">
      <c r="L1198" s="54"/>
    </row>
    <row r="1199" spans="1:12" x14ac:dyDescent="0.2">
      <c r="A1199" s="2" t="s">
        <v>1444</v>
      </c>
      <c r="B1199" s="36">
        <v>2</v>
      </c>
      <c r="C1199" s="2" t="s">
        <v>38</v>
      </c>
      <c r="L1199" s="54" t="s">
        <v>1450</v>
      </c>
    </row>
    <row r="1200" spans="1:12" x14ac:dyDescent="0.2">
      <c r="A1200" s="2" t="s">
        <v>1444</v>
      </c>
      <c r="B1200" s="36">
        <v>2</v>
      </c>
      <c r="C1200" s="2" t="s">
        <v>104</v>
      </c>
      <c r="E1200" s="2" t="s">
        <v>1152</v>
      </c>
      <c r="F1200" s="2" t="s">
        <v>1453</v>
      </c>
      <c r="G1200" s="2" t="s">
        <v>1452</v>
      </c>
      <c r="I1200" s="2" t="s">
        <v>1090</v>
      </c>
      <c r="J1200" s="2" t="s">
        <v>1099</v>
      </c>
      <c r="K1200" s="2" t="s">
        <v>1092</v>
      </c>
      <c r="L1200" s="48" t="str">
        <f t="shared" ref="L1200" si="133">_xlfn.TEXTJOIN("", TRUE, D1200:K1200)</f>
        <v>02_Slots/Gottheit/Goetter-mit-Epitheta/0360_Chons/epitheta/02-pA-jrj-sxr.w-m-WAs.t/0001_pA-jrj-sxr.w-m-WAs.t_Sp_01.png &lt;sup&gt;(Sp.)&lt;/sup&gt;</v>
      </c>
    </row>
    <row r="1201" spans="1:12" x14ac:dyDescent="0.2">
      <c r="A1201" s="2" t="s">
        <v>1444</v>
      </c>
      <c r="B1201" s="36">
        <v>2</v>
      </c>
      <c r="C1201" s="2" t="s">
        <v>26</v>
      </c>
      <c r="L1201" s="54" t="s">
        <v>1451</v>
      </c>
    </row>
    <row r="1202" spans="1:12" x14ac:dyDescent="0.2">
      <c r="A1202" s="2" t="s">
        <v>1444</v>
      </c>
      <c r="B1202" s="36">
        <v>2</v>
      </c>
      <c r="C1202" s="2" t="s">
        <v>1561</v>
      </c>
      <c r="L1202" s="54">
        <v>860013</v>
      </c>
    </row>
    <row r="1203" spans="1:12" x14ac:dyDescent="0.2">
      <c r="L1203" s="54"/>
    </row>
    <row r="1204" spans="1:12" x14ac:dyDescent="0.2">
      <c r="L1204" s="54"/>
    </row>
    <row r="1205" spans="1:12" x14ac:dyDescent="0.2">
      <c r="L1205" s="54"/>
    </row>
    <row r="1206" spans="1:12" x14ac:dyDescent="0.2">
      <c r="L1206" s="54"/>
    </row>
    <row r="1209" spans="1:12" x14ac:dyDescent="0.2">
      <c r="A1209" s="2" t="s">
        <v>59</v>
      </c>
      <c r="B1209" s="36">
        <v>370</v>
      </c>
      <c r="C1209" s="2" t="s">
        <v>38</v>
      </c>
      <c r="L1209" s="48" t="s">
        <v>648</v>
      </c>
    </row>
    <row r="1210" spans="1:12" x14ac:dyDescent="0.2">
      <c r="A1210" s="2" t="s">
        <v>59</v>
      </c>
      <c r="B1210" s="36">
        <v>370</v>
      </c>
      <c r="C1210" s="2" t="s">
        <v>104</v>
      </c>
      <c r="E1210" s="2" t="s">
        <v>1153</v>
      </c>
      <c r="G1210" s="2" t="s">
        <v>925</v>
      </c>
      <c r="L1210" s="48" t="str">
        <f>_xlfn.TEXTJOIN("", TRUE, D1210:J1210)</f>
        <v>02_Slots/Gottheit/Goetter-mit-Epitheta/0370_Sobek/0001_sbk_01.png</v>
      </c>
    </row>
    <row r="1211" spans="1:12" x14ac:dyDescent="0.2">
      <c r="A1211" s="2" t="s">
        <v>59</v>
      </c>
      <c r="B1211" s="36">
        <v>370</v>
      </c>
      <c r="C1211" s="2" t="s">
        <v>104</v>
      </c>
      <c r="E1211" s="2" t="s">
        <v>1153</v>
      </c>
      <c r="G1211" s="2" t="s">
        <v>926</v>
      </c>
      <c r="L1211" s="48" t="str">
        <f>_xlfn.TEXTJOIN("", TRUE, D1211:J1211)</f>
        <v>02_Slots/Gottheit/Goetter-mit-Epitheta/0370_Sobek/0010_sbk_02.png</v>
      </c>
    </row>
    <row r="1212" spans="1:12" x14ac:dyDescent="0.2">
      <c r="A1212" s="2" t="s">
        <v>59</v>
      </c>
      <c r="B1212" s="36">
        <v>370</v>
      </c>
      <c r="C1212" s="2" t="s">
        <v>104</v>
      </c>
      <c r="E1212" s="2" t="s">
        <v>1153</v>
      </c>
      <c r="G1212" s="2" t="s">
        <v>927</v>
      </c>
      <c r="L1212" s="48" t="str">
        <f>_xlfn.TEXTJOIN("", TRUE, D1212:J1212)</f>
        <v>02_Slots/Gottheit/Goetter-mit-Epitheta/0370_Sobek/0020_sbk_03.png</v>
      </c>
    </row>
    <row r="1213" spans="1:12" x14ac:dyDescent="0.2">
      <c r="A1213" s="2" t="s">
        <v>59</v>
      </c>
      <c r="B1213" s="36">
        <v>370</v>
      </c>
      <c r="C1213" s="2" t="s">
        <v>104</v>
      </c>
      <c r="E1213" s="2" t="s">
        <v>1153</v>
      </c>
      <c r="G1213" s="2" t="s">
        <v>928</v>
      </c>
      <c r="I1213" s="2" t="s">
        <v>1090</v>
      </c>
      <c r="J1213" s="2" t="s">
        <v>1049</v>
      </c>
      <c r="K1213" s="2" t="s">
        <v>1092</v>
      </c>
      <c r="L1213" s="48" t="str">
        <f>_xlfn.TEXTJOIN("", TRUE, D1213:K1213)</f>
        <v>02_Slots/Gottheit/Goetter-mit-Epitheta/0370_Sobek/0030_sbk_NR_01.png &lt;sup&gt;(NR)&lt;/sup&gt;</v>
      </c>
    </row>
    <row r="1214" spans="1:12" x14ac:dyDescent="0.2">
      <c r="A1214" s="2" t="s">
        <v>59</v>
      </c>
      <c r="B1214" s="36">
        <v>370</v>
      </c>
      <c r="C1214" s="2" t="s">
        <v>105</v>
      </c>
      <c r="E1214" s="2" t="s">
        <v>1153</v>
      </c>
      <c r="F1214" s="2" t="s">
        <v>109</v>
      </c>
      <c r="G1214" s="2" t="s">
        <v>929</v>
      </c>
      <c r="L1214" s="48" t="str">
        <f>_xlfn.TEXTJOIN("", TRUE, D1214:J1214)</f>
        <v>02_Slots/Gottheit/Goetter-mit-Epitheta/0370_Sobek/det/0001_sbk_det_01.png</v>
      </c>
    </row>
    <row r="1215" spans="1:12" x14ac:dyDescent="0.2">
      <c r="A1215" s="2" t="s">
        <v>59</v>
      </c>
      <c r="B1215" s="36">
        <v>370</v>
      </c>
      <c r="C1215" s="2" t="s">
        <v>106</v>
      </c>
      <c r="L1215" s="48" t="s">
        <v>159</v>
      </c>
    </row>
    <row r="1216" spans="1:12" x14ac:dyDescent="0.2">
      <c r="A1216" s="2" t="s">
        <v>59</v>
      </c>
      <c r="B1216" s="36">
        <v>370</v>
      </c>
      <c r="C1216" s="2" t="s">
        <v>107</v>
      </c>
    </row>
    <row r="1217" spans="1:12" x14ac:dyDescent="0.2">
      <c r="A1217" s="2" t="s">
        <v>59</v>
      </c>
      <c r="B1217" s="36">
        <v>370</v>
      </c>
      <c r="C1217" s="2" t="s">
        <v>1561</v>
      </c>
      <c r="L1217" s="48">
        <v>132180</v>
      </c>
    </row>
    <row r="1220" spans="1:12" x14ac:dyDescent="0.2">
      <c r="A1220" s="2" t="s">
        <v>59</v>
      </c>
      <c r="B1220" s="36">
        <v>380</v>
      </c>
      <c r="C1220" s="2" t="s">
        <v>38</v>
      </c>
      <c r="L1220" s="48" t="s">
        <v>649</v>
      </c>
    </row>
    <row r="1221" spans="1:12" x14ac:dyDescent="0.2">
      <c r="A1221" s="2" t="s">
        <v>59</v>
      </c>
      <c r="B1221" s="36">
        <v>380</v>
      </c>
      <c r="C1221" s="2" t="s">
        <v>104</v>
      </c>
      <c r="E1221" s="2" t="s">
        <v>1154</v>
      </c>
      <c r="G1221" s="2" t="s">
        <v>930</v>
      </c>
      <c r="L1221" s="48" t="str">
        <f t="shared" ref="L1221:L1229" si="134">_xlfn.TEXTJOIN("", TRUE, D1221:J1221)</f>
        <v>02_Slots/Gottheit/Goetter-mit-Epitheta/0380_Selkis/0001_srq.t_01.png</v>
      </c>
    </row>
    <row r="1222" spans="1:12" x14ac:dyDescent="0.2">
      <c r="A1222" s="2" t="s">
        <v>59</v>
      </c>
      <c r="B1222" s="36">
        <v>380</v>
      </c>
      <c r="C1222" s="2" t="s">
        <v>104</v>
      </c>
      <c r="E1222" s="2" t="s">
        <v>1154</v>
      </c>
      <c r="G1222" s="2" t="s">
        <v>931</v>
      </c>
      <c r="L1222" s="48" t="str">
        <f t="shared" si="134"/>
        <v>02_Slots/Gottheit/Goetter-mit-Epitheta/0380_Selkis/0010_srq.t_02.png</v>
      </c>
    </row>
    <row r="1223" spans="1:12" x14ac:dyDescent="0.2">
      <c r="A1223" s="2" t="s">
        <v>59</v>
      </c>
      <c r="B1223" s="36">
        <v>380</v>
      </c>
      <c r="C1223" s="2" t="s">
        <v>104</v>
      </c>
      <c r="E1223" s="2" t="s">
        <v>1154</v>
      </c>
      <c r="G1223" s="2" t="s">
        <v>932</v>
      </c>
      <c r="L1223" s="48" t="str">
        <f t="shared" si="134"/>
        <v>02_Slots/Gottheit/Goetter-mit-Epitheta/0380_Selkis/0020_srq.t_03.png</v>
      </c>
    </row>
    <row r="1224" spans="1:12" x14ac:dyDescent="0.2">
      <c r="A1224" s="2" t="s">
        <v>59</v>
      </c>
      <c r="B1224" s="36">
        <v>380</v>
      </c>
      <c r="C1224" s="2" t="s">
        <v>104</v>
      </c>
      <c r="E1224" s="2" t="s">
        <v>1154</v>
      </c>
      <c r="G1224" s="2" t="s">
        <v>933</v>
      </c>
      <c r="I1224" s="2" t="s">
        <v>1090</v>
      </c>
      <c r="J1224" s="2" t="s">
        <v>1107</v>
      </c>
      <c r="K1224" s="2" t="s">
        <v>1092</v>
      </c>
      <c r="L1224" s="48" t="str">
        <f t="shared" ref="L1224:L1227" si="135">_xlfn.TEXTJOIN("", TRUE, D1224:K1224)</f>
        <v>02_Slots/Gottheit/Goetter-mit-Epitheta/0380_Selkis/0030_srq.t_Pyr.-MR_01.png &lt;sup&gt;(Pyr.; NR)&lt;/sup&gt;</v>
      </c>
    </row>
    <row r="1225" spans="1:12" x14ac:dyDescent="0.2">
      <c r="A1225" s="2" t="s">
        <v>59</v>
      </c>
      <c r="B1225" s="36">
        <v>380</v>
      </c>
      <c r="C1225" s="2" t="s">
        <v>104</v>
      </c>
      <c r="E1225" s="2" t="s">
        <v>1154</v>
      </c>
      <c r="G1225" s="2" t="s">
        <v>934</v>
      </c>
      <c r="I1225" s="2" t="s">
        <v>1090</v>
      </c>
      <c r="J1225" s="2" t="s">
        <v>1093</v>
      </c>
      <c r="K1225" s="2" t="s">
        <v>1092</v>
      </c>
      <c r="L1225" s="48" t="str">
        <f t="shared" si="135"/>
        <v>02_Slots/Gottheit/Goetter-mit-Epitheta/0380_Selkis/0040_srq.t_GR_01.png &lt;sup&gt;(Gr.)&lt;/sup&gt;</v>
      </c>
    </row>
    <row r="1226" spans="1:12" x14ac:dyDescent="0.2">
      <c r="A1226" s="2" t="s">
        <v>59</v>
      </c>
      <c r="B1226" s="36">
        <v>380</v>
      </c>
      <c r="C1226" s="2" t="s">
        <v>104</v>
      </c>
      <c r="E1226" s="2" t="s">
        <v>1154</v>
      </c>
      <c r="G1226" s="2" t="s">
        <v>935</v>
      </c>
      <c r="I1226" s="2" t="s">
        <v>1090</v>
      </c>
      <c r="J1226" s="2" t="s">
        <v>1093</v>
      </c>
      <c r="K1226" s="2" t="s">
        <v>1092</v>
      </c>
      <c r="L1226" s="48" t="str">
        <f t="shared" si="135"/>
        <v>02_Slots/Gottheit/Goetter-mit-Epitheta/0380_Selkis/0050_srq.t_GR_02.png &lt;sup&gt;(Gr.)&lt;/sup&gt;</v>
      </c>
    </row>
    <row r="1227" spans="1:12" x14ac:dyDescent="0.2">
      <c r="A1227" s="2" t="s">
        <v>59</v>
      </c>
      <c r="B1227" s="36">
        <v>380</v>
      </c>
      <c r="C1227" s="2" t="s">
        <v>104</v>
      </c>
      <c r="E1227" s="2" t="s">
        <v>1154</v>
      </c>
      <c r="G1227" s="2" t="s">
        <v>936</v>
      </c>
      <c r="I1227" s="2" t="s">
        <v>1090</v>
      </c>
      <c r="J1227" s="2" t="s">
        <v>1093</v>
      </c>
      <c r="K1227" s="2" t="s">
        <v>1092</v>
      </c>
      <c r="L1227" s="48" t="str">
        <f t="shared" si="135"/>
        <v>02_Slots/Gottheit/Goetter-mit-Epitheta/0380_Selkis/0060_srq.t_GR_03.png &lt;sup&gt;(Gr.)&lt;/sup&gt;</v>
      </c>
    </row>
    <row r="1228" spans="1:12" x14ac:dyDescent="0.2">
      <c r="A1228" s="2" t="s">
        <v>59</v>
      </c>
      <c r="B1228" s="36">
        <v>380</v>
      </c>
      <c r="C1228" s="2" t="s">
        <v>105</v>
      </c>
      <c r="E1228" s="2" t="s">
        <v>1154</v>
      </c>
      <c r="F1228" s="2" t="s">
        <v>109</v>
      </c>
      <c r="G1228" s="2" t="s">
        <v>937</v>
      </c>
      <c r="L1228" s="48" t="str">
        <f t="shared" si="134"/>
        <v>02_Slots/Gottheit/Goetter-mit-Epitheta/0380_Selkis/det/0001_srq.t_det_01.png</v>
      </c>
    </row>
    <row r="1229" spans="1:12" x14ac:dyDescent="0.2">
      <c r="A1229" s="2" t="s">
        <v>59</v>
      </c>
      <c r="B1229" s="36">
        <v>380</v>
      </c>
      <c r="C1229" s="2" t="s">
        <v>105</v>
      </c>
      <c r="E1229" s="2" t="s">
        <v>1154</v>
      </c>
      <c r="F1229" s="2" t="s">
        <v>109</v>
      </c>
      <c r="G1229" s="2" t="s">
        <v>938</v>
      </c>
      <c r="L1229" s="48" t="str">
        <f t="shared" si="134"/>
        <v>02_Slots/Gottheit/Goetter-mit-Epitheta/0380_Selkis/det/0010_srq.t_det_02.png</v>
      </c>
    </row>
    <row r="1230" spans="1:12" x14ac:dyDescent="0.2">
      <c r="A1230" s="2" t="s">
        <v>59</v>
      </c>
      <c r="B1230" s="36">
        <v>380</v>
      </c>
      <c r="C1230" s="2" t="s">
        <v>106</v>
      </c>
      <c r="L1230" s="48" t="s">
        <v>160</v>
      </c>
    </row>
    <row r="1231" spans="1:12" x14ac:dyDescent="0.2">
      <c r="A1231" s="2" t="s">
        <v>59</v>
      </c>
      <c r="B1231" s="36">
        <v>380</v>
      </c>
      <c r="C1231" s="2" t="s">
        <v>107</v>
      </c>
    </row>
    <row r="1232" spans="1:12" x14ac:dyDescent="0.2">
      <c r="A1232" s="2" t="s">
        <v>59</v>
      </c>
      <c r="B1232" s="36">
        <v>380</v>
      </c>
      <c r="C1232" s="2" t="s">
        <v>1561</v>
      </c>
      <c r="L1232" s="48">
        <v>139850</v>
      </c>
    </row>
    <row r="1235" spans="1:12" x14ac:dyDescent="0.2">
      <c r="A1235" s="2" t="s">
        <v>59</v>
      </c>
      <c r="B1235" s="36">
        <v>390</v>
      </c>
      <c r="C1235" s="2" t="s">
        <v>38</v>
      </c>
      <c r="L1235" s="48" t="s">
        <v>650</v>
      </c>
    </row>
    <row r="1236" spans="1:12" x14ac:dyDescent="0.2">
      <c r="A1236" s="2" t="s">
        <v>59</v>
      </c>
      <c r="B1236" s="36">
        <v>390</v>
      </c>
      <c r="C1236" s="2" t="s">
        <v>104</v>
      </c>
      <c r="E1236" s="2" t="s">
        <v>1155</v>
      </c>
      <c r="G1236" s="2" t="s">
        <v>939</v>
      </c>
      <c r="L1236" s="48" t="str">
        <f t="shared" ref="L1236:L1242" si="136">_xlfn.TEXTJOIN("", TRUE, D1236:J1236)</f>
        <v>02_Slots/Gottheit/Goetter-mit-Epitheta/0390_Sachmet/0001_sxm.t_01.png</v>
      </c>
    </row>
    <row r="1237" spans="1:12" x14ac:dyDescent="0.2">
      <c r="A1237" s="2" t="s">
        <v>59</v>
      </c>
      <c r="B1237" s="36">
        <v>390</v>
      </c>
      <c r="C1237" s="2" t="s">
        <v>104</v>
      </c>
      <c r="E1237" s="2" t="s">
        <v>1155</v>
      </c>
      <c r="G1237" s="2" t="s">
        <v>940</v>
      </c>
      <c r="I1237" s="2" t="s">
        <v>1090</v>
      </c>
      <c r="J1237" s="2" t="s">
        <v>1091</v>
      </c>
      <c r="K1237" s="2" t="s">
        <v>1092</v>
      </c>
      <c r="L1237" s="48" t="str">
        <f t="shared" ref="L1237:L1241" si="137">_xlfn.TEXTJOIN("", TRUE, D1237:K1237)</f>
        <v>02_Slots/Gottheit/Goetter-mit-Epitheta/0390_Sachmet/0010_sxm.t_AR_01.png &lt;sup&gt;(AR)&lt;/sup&gt;</v>
      </c>
    </row>
    <row r="1238" spans="1:12" x14ac:dyDescent="0.2">
      <c r="A1238" s="2" t="s">
        <v>59</v>
      </c>
      <c r="B1238" s="36">
        <v>390</v>
      </c>
      <c r="C1238" s="2" t="s">
        <v>104</v>
      </c>
      <c r="E1238" s="2" t="s">
        <v>1155</v>
      </c>
      <c r="G1238" s="2" t="s">
        <v>941</v>
      </c>
      <c r="I1238" s="2" t="s">
        <v>1090</v>
      </c>
      <c r="J1238" s="2" t="s">
        <v>1091</v>
      </c>
      <c r="K1238" s="2" t="s">
        <v>1092</v>
      </c>
      <c r="L1238" s="48" t="str">
        <f t="shared" si="137"/>
        <v>02_Slots/Gottheit/Goetter-mit-Epitheta/0390_Sachmet/0020_sxm.t_AR_02.png &lt;sup&gt;(AR)&lt;/sup&gt;</v>
      </c>
    </row>
    <row r="1239" spans="1:12" x14ac:dyDescent="0.2">
      <c r="A1239" s="2" t="s">
        <v>59</v>
      </c>
      <c r="B1239" s="36">
        <v>390</v>
      </c>
      <c r="C1239" s="2" t="s">
        <v>104</v>
      </c>
      <c r="E1239" s="2" t="s">
        <v>1155</v>
      </c>
      <c r="G1239" s="2" t="s">
        <v>942</v>
      </c>
      <c r="I1239" s="2" t="s">
        <v>1090</v>
      </c>
      <c r="J1239" s="2" t="s">
        <v>1049</v>
      </c>
      <c r="K1239" s="2" t="s">
        <v>1092</v>
      </c>
      <c r="L1239" s="48" t="str">
        <f t="shared" si="137"/>
        <v>02_Slots/Gottheit/Goetter-mit-Epitheta/0390_Sachmet/0030_sxm.t_NR_01.png &lt;sup&gt;(NR)&lt;/sup&gt;</v>
      </c>
    </row>
    <row r="1240" spans="1:12" x14ac:dyDescent="0.2">
      <c r="A1240" s="2" t="s">
        <v>59</v>
      </c>
      <c r="B1240" s="36">
        <v>390</v>
      </c>
      <c r="C1240" s="2" t="s">
        <v>104</v>
      </c>
      <c r="E1240" s="2" t="s">
        <v>1155</v>
      </c>
      <c r="G1240" s="2" t="s">
        <v>943</v>
      </c>
      <c r="I1240" s="2" t="s">
        <v>1090</v>
      </c>
      <c r="J1240" s="2" t="s">
        <v>1093</v>
      </c>
      <c r="K1240" s="2" t="s">
        <v>1092</v>
      </c>
      <c r="L1240" s="48" t="str">
        <f t="shared" si="137"/>
        <v>02_Slots/Gottheit/Goetter-mit-Epitheta/0390_Sachmet/0040_sxm.t_GR_01.png &lt;sup&gt;(Gr.)&lt;/sup&gt;</v>
      </c>
    </row>
    <row r="1241" spans="1:12" x14ac:dyDescent="0.2">
      <c r="A1241" s="2" t="s">
        <v>59</v>
      </c>
      <c r="B1241" s="36">
        <v>390</v>
      </c>
      <c r="C1241" s="2" t="s">
        <v>104</v>
      </c>
      <c r="E1241" s="2" t="s">
        <v>1155</v>
      </c>
      <c r="G1241" s="2" t="s">
        <v>944</v>
      </c>
      <c r="I1241" s="2" t="s">
        <v>1090</v>
      </c>
      <c r="J1241" s="2" t="s">
        <v>1093</v>
      </c>
      <c r="K1241" s="2" t="s">
        <v>1092</v>
      </c>
      <c r="L1241" s="48" t="str">
        <f t="shared" si="137"/>
        <v>02_Slots/Gottheit/Goetter-mit-Epitheta/0390_Sachmet/0050_sxm.t_GR_02.png &lt;sup&gt;(Gr.)&lt;/sup&gt;</v>
      </c>
    </row>
    <row r="1242" spans="1:12" x14ac:dyDescent="0.2">
      <c r="A1242" s="2" t="s">
        <v>59</v>
      </c>
      <c r="B1242" s="36">
        <v>390</v>
      </c>
      <c r="C1242" s="2" t="s">
        <v>105</v>
      </c>
      <c r="L1242" s="48" t="str">
        <f t="shared" si="136"/>
        <v/>
      </c>
    </row>
    <row r="1243" spans="1:12" x14ac:dyDescent="0.2">
      <c r="A1243" s="2" t="s">
        <v>59</v>
      </c>
      <c r="B1243" s="36">
        <v>390</v>
      </c>
      <c r="C1243" s="2" t="s">
        <v>106</v>
      </c>
      <c r="L1243" s="48" t="s">
        <v>161</v>
      </c>
    </row>
    <row r="1244" spans="1:12" x14ac:dyDescent="0.2">
      <c r="A1244" s="2" t="s">
        <v>59</v>
      </c>
      <c r="B1244" s="36">
        <v>390</v>
      </c>
      <c r="C1244" s="2" t="s">
        <v>107</v>
      </c>
    </row>
    <row r="1245" spans="1:12" x14ac:dyDescent="0.2">
      <c r="A1245" s="2" t="s">
        <v>59</v>
      </c>
      <c r="B1245" s="36">
        <v>390</v>
      </c>
      <c r="C1245" s="2" t="s">
        <v>1561</v>
      </c>
      <c r="L1245" s="48">
        <v>142250</v>
      </c>
    </row>
    <row r="1248" spans="1:12" x14ac:dyDescent="0.2">
      <c r="A1248" s="2" t="s">
        <v>59</v>
      </c>
      <c r="B1248" s="36">
        <v>400</v>
      </c>
      <c r="C1248" s="2" t="s">
        <v>38</v>
      </c>
      <c r="L1248" s="48" t="s">
        <v>651</v>
      </c>
    </row>
    <row r="1249" spans="1:12" x14ac:dyDescent="0.2">
      <c r="A1249" s="2" t="s">
        <v>59</v>
      </c>
      <c r="B1249" s="36">
        <v>400</v>
      </c>
      <c r="C1249" s="2" t="s">
        <v>104</v>
      </c>
      <c r="E1249" s="2" t="s">
        <v>1156</v>
      </c>
      <c r="G1249" s="2" t="s">
        <v>945</v>
      </c>
      <c r="L1249" s="48" t="str">
        <f>_xlfn.TEXTJOIN("", TRUE, D1249:J1249)</f>
        <v>02_Slots/Gottheit/Goetter-mit-Epitheta/0400_Sokar/0001_skr_01.png</v>
      </c>
    </row>
    <row r="1250" spans="1:12" x14ac:dyDescent="0.2">
      <c r="A1250" s="2" t="s">
        <v>59</v>
      </c>
      <c r="B1250" s="36">
        <v>400</v>
      </c>
      <c r="C1250" s="2" t="s">
        <v>105</v>
      </c>
      <c r="E1250" s="2" t="s">
        <v>1156</v>
      </c>
      <c r="F1250" s="2" t="s">
        <v>109</v>
      </c>
      <c r="G1250" s="2" t="s">
        <v>946</v>
      </c>
      <c r="L1250" s="48" t="str">
        <f>_xlfn.TEXTJOIN("", TRUE, D1250:J1250)</f>
        <v>02_Slots/Gottheit/Goetter-mit-Epitheta/0400_Sokar/det/0001_skr_det_01.png</v>
      </c>
    </row>
    <row r="1251" spans="1:12" x14ac:dyDescent="0.2">
      <c r="A1251" s="2" t="s">
        <v>59</v>
      </c>
      <c r="B1251" s="36">
        <v>400</v>
      </c>
      <c r="C1251" s="2" t="s">
        <v>106</v>
      </c>
      <c r="L1251" s="48" t="s">
        <v>162</v>
      </c>
    </row>
    <row r="1252" spans="1:12" x14ac:dyDescent="0.2">
      <c r="A1252" s="2" t="s">
        <v>59</v>
      </c>
      <c r="B1252" s="36">
        <v>400</v>
      </c>
      <c r="C1252" s="2" t="s">
        <v>107</v>
      </c>
    </row>
    <row r="1253" spans="1:12" x14ac:dyDescent="0.2">
      <c r="A1253" s="2" t="s">
        <v>59</v>
      </c>
      <c r="B1253" s="36">
        <v>400</v>
      </c>
      <c r="C1253" s="2" t="s">
        <v>1561</v>
      </c>
      <c r="L1253" s="48">
        <v>146890</v>
      </c>
    </row>
    <row r="1256" spans="1:12" x14ac:dyDescent="0.2">
      <c r="A1256" s="2" t="s">
        <v>59</v>
      </c>
      <c r="B1256" s="36">
        <v>410</v>
      </c>
      <c r="C1256" s="2" t="s">
        <v>38</v>
      </c>
      <c r="L1256" s="48" t="s">
        <v>652</v>
      </c>
    </row>
    <row r="1257" spans="1:12" x14ac:dyDescent="0.2">
      <c r="A1257" s="2" t="s">
        <v>59</v>
      </c>
      <c r="B1257" s="36">
        <v>410</v>
      </c>
      <c r="C1257" s="2" t="s">
        <v>104</v>
      </c>
      <c r="E1257" s="2" t="s">
        <v>1157</v>
      </c>
      <c r="G1257" s="2" t="s">
        <v>963</v>
      </c>
      <c r="L1257" s="48" t="str">
        <f t="shared" ref="L1257:L1270" si="138">_xlfn.TEXTJOIN("", TRUE, D1257:J1257)</f>
        <v>02_Slots/Gottheit/Goetter-mit-Epitheta/0410_Seth/0001_stX_01.png</v>
      </c>
    </row>
    <row r="1258" spans="1:12" x14ac:dyDescent="0.2">
      <c r="A1258" s="2" t="s">
        <v>59</v>
      </c>
      <c r="B1258" s="36">
        <v>410</v>
      </c>
      <c r="C1258" s="2" t="s">
        <v>104</v>
      </c>
      <c r="E1258" s="2" t="s">
        <v>1157</v>
      </c>
      <c r="G1258" s="2" t="s">
        <v>964</v>
      </c>
      <c r="I1258" s="2" t="s">
        <v>1090</v>
      </c>
      <c r="J1258" s="2" t="s">
        <v>1091</v>
      </c>
      <c r="K1258" s="2" t="s">
        <v>1092</v>
      </c>
      <c r="L1258" s="48" t="str">
        <f t="shared" ref="L1258:L1268" si="139">_xlfn.TEXTJOIN("", TRUE, D1258:K1258)</f>
        <v>02_Slots/Gottheit/Goetter-mit-Epitheta/0410_Seth/0010_stX_AR_01.png &lt;sup&gt;(AR)&lt;/sup&gt;</v>
      </c>
    </row>
    <row r="1259" spans="1:12" x14ac:dyDescent="0.2">
      <c r="A1259" s="2" t="s">
        <v>59</v>
      </c>
      <c r="B1259" s="36">
        <v>410</v>
      </c>
      <c r="C1259" s="2" t="s">
        <v>104</v>
      </c>
      <c r="E1259" s="2" t="s">
        <v>1157</v>
      </c>
      <c r="G1259" s="2" t="s">
        <v>965</v>
      </c>
      <c r="I1259" s="2" t="s">
        <v>1090</v>
      </c>
      <c r="J1259" s="2" t="s">
        <v>1094</v>
      </c>
      <c r="K1259" s="2" t="s">
        <v>1092</v>
      </c>
      <c r="L1259" s="48" t="str">
        <f t="shared" si="139"/>
        <v>02_Slots/Gottheit/Goetter-mit-Epitheta/0410_Seth/0020_stX_MR_01.png &lt;sup&gt;(MR)&lt;/sup&gt;</v>
      </c>
    </row>
    <row r="1260" spans="1:12" x14ac:dyDescent="0.2">
      <c r="A1260" s="2" t="s">
        <v>59</v>
      </c>
      <c r="B1260" s="36">
        <v>410</v>
      </c>
      <c r="C1260" s="2" t="s">
        <v>104</v>
      </c>
      <c r="E1260" s="2" t="s">
        <v>1157</v>
      </c>
      <c r="G1260" s="2" t="s">
        <v>966</v>
      </c>
      <c r="I1260" s="2" t="s">
        <v>1090</v>
      </c>
      <c r="J1260" s="2" t="s">
        <v>1108</v>
      </c>
      <c r="K1260" s="2" t="s">
        <v>1092</v>
      </c>
      <c r="L1260" s="48" t="str">
        <f t="shared" si="139"/>
        <v>02_Slots/Gottheit/Goetter-mit-Epitheta/0410_Seth/0030_stX_MR-SP_01.png &lt;sup&gt;(MR; Sp.)&lt;/sup&gt;</v>
      </c>
    </row>
    <row r="1261" spans="1:12" x14ac:dyDescent="0.2">
      <c r="A1261" s="2" t="s">
        <v>59</v>
      </c>
      <c r="B1261" s="36">
        <v>410</v>
      </c>
      <c r="C1261" s="2" t="s">
        <v>104</v>
      </c>
      <c r="E1261" s="2" t="s">
        <v>1157</v>
      </c>
      <c r="G1261" s="2" t="s">
        <v>967</v>
      </c>
      <c r="I1261" s="2" t="s">
        <v>1090</v>
      </c>
      <c r="J1261" s="2" t="s">
        <v>1049</v>
      </c>
      <c r="K1261" s="2" t="s">
        <v>1092</v>
      </c>
      <c r="L1261" s="48" t="str">
        <f t="shared" si="139"/>
        <v>02_Slots/Gottheit/Goetter-mit-Epitheta/0410_Seth/0040_stX_NR_01.png &lt;sup&gt;(NR)&lt;/sup&gt;</v>
      </c>
    </row>
    <row r="1262" spans="1:12" x14ac:dyDescent="0.2">
      <c r="A1262" s="2" t="s">
        <v>59</v>
      </c>
      <c r="B1262" s="36">
        <v>410</v>
      </c>
      <c r="C1262" s="2" t="s">
        <v>104</v>
      </c>
      <c r="E1262" s="2" t="s">
        <v>1157</v>
      </c>
      <c r="G1262" s="2" t="s">
        <v>968</v>
      </c>
      <c r="I1262" s="2" t="s">
        <v>1090</v>
      </c>
      <c r="J1262" s="2" t="s">
        <v>1098</v>
      </c>
      <c r="K1262" s="2" t="s">
        <v>1092</v>
      </c>
      <c r="L1262" s="48" t="str">
        <f t="shared" si="139"/>
        <v>02_Slots/Gottheit/Goetter-mit-Epitheta/0410_Seth/0050_stX_D.18_01.png &lt;sup&gt;(D.18)&lt;/sup&gt;</v>
      </c>
    </row>
    <row r="1263" spans="1:12" x14ac:dyDescent="0.2">
      <c r="A1263" s="2" t="s">
        <v>59</v>
      </c>
      <c r="B1263" s="36">
        <v>410</v>
      </c>
      <c r="C1263" s="2" t="s">
        <v>104</v>
      </c>
      <c r="E1263" s="2" t="s">
        <v>1157</v>
      </c>
      <c r="G1263" s="2" t="s">
        <v>969</v>
      </c>
      <c r="I1263" s="2" t="s">
        <v>1090</v>
      </c>
      <c r="J1263" s="2" t="s">
        <v>1098</v>
      </c>
      <c r="K1263" s="2" t="s">
        <v>1092</v>
      </c>
      <c r="L1263" s="48" t="str">
        <f t="shared" si="139"/>
        <v>02_Slots/Gottheit/Goetter-mit-Epitheta/0410_Seth/0060_stX_D.18_02.png &lt;sup&gt;(D.18)&lt;/sup&gt;</v>
      </c>
    </row>
    <row r="1264" spans="1:12" x14ac:dyDescent="0.2">
      <c r="A1264" s="2" t="s">
        <v>59</v>
      </c>
      <c r="B1264" s="36">
        <v>410</v>
      </c>
      <c r="C1264" s="2" t="s">
        <v>104</v>
      </c>
      <c r="E1264" s="2" t="s">
        <v>1157</v>
      </c>
      <c r="G1264" s="2" t="s">
        <v>970</v>
      </c>
      <c r="I1264" s="2" t="s">
        <v>1090</v>
      </c>
      <c r="J1264" s="2" t="s">
        <v>1098</v>
      </c>
      <c r="K1264" s="2" t="s">
        <v>1092</v>
      </c>
      <c r="L1264" s="48" t="str">
        <f t="shared" si="139"/>
        <v>02_Slots/Gottheit/Goetter-mit-Epitheta/0410_Seth/0070_stX_D.18_03.png &lt;sup&gt;(D.18)&lt;/sup&gt;</v>
      </c>
    </row>
    <row r="1265" spans="1:12" x14ac:dyDescent="0.2">
      <c r="A1265" s="2" t="s">
        <v>59</v>
      </c>
      <c r="B1265" s="36">
        <v>410</v>
      </c>
      <c r="C1265" s="2" t="s">
        <v>104</v>
      </c>
      <c r="E1265" s="2" t="s">
        <v>1157</v>
      </c>
      <c r="G1265" s="2" t="s">
        <v>971</v>
      </c>
      <c r="I1265" s="2" t="s">
        <v>1090</v>
      </c>
      <c r="J1265" s="2" t="s">
        <v>1103</v>
      </c>
      <c r="K1265" s="2" t="s">
        <v>1092</v>
      </c>
      <c r="L1265" s="48" t="str">
        <f t="shared" si="139"/>
        <v>02_Slots/Gottheit/Goetter-mit-Epitheta/0410_Seth/0080_stX_D.19_01.png &lt;sup&gt;(D.19)&lt;/sup&gt;</v>
      </c>
    </row>
    <row r="1266" spans="1:12" x14ac:dyDescent="0.2">
      <c r="A1266" s="2" t="s">
        <v>59</v>
      </c>
      <c r="B1266" s="36">
        <v>410</v>
      </c>
      <c r="C1266" s="2" t="s">
        <v>104</v>
      </c>
      <c r="E1266" s="2" t="s">
        <v>1157</v>
      </c>
      <c r="G1266" s="2" t="s">
        <v>972</v>
      </c>
      <c r="I1266" s="2" t="s">
        <v>1090</v>
      </c>
      <c r="J1266" s="2" t="s">
        <v>1103</v>
      </c>
      <c r="K1266" s="2" t="s">
        <v>1092</v>
      </c>
      <c r="L1266" s="48" t="str">
        <f t="shared" si="139"/>
        <v>02_Slots/Gottheit/Goetter-mit-Epitheta/0410_Seth/0090_stX_D.19_02.png &lt;sup&gt;(D.19)&lt;/sup&gt;</v>
      </c>
    </row>
    <row r="1267" spans="1:12" x14ac:dyDescent="0.2">
      <c r="A1267" s="2" t="s">
        <v>59</v>
      </c>
      <c r="B1267" s="36">
        <v>410</v>
      </c>
      <c r="C1267" s="2" t="s">
        <v>104</v>
      </c>
      <c r="E1267" s="2" t="s">
        <v>1157</v>
      </c>
      <c r="G1267" s="2" t="s">
        <v>973</v>
      </c>
      <c r="I1267" s="2" t="s">
        <v>1090</v>
      </c>
      <c r="J1267" s="2" t="s">
        <v>1093</v>
      </c>
      <c r="K1267" s="2" t="s">
        <v>1092</v>
      </c>
      <c r="L1267" s="48" t="str">
        <f t="shared" si="139"/>
        <v>02_Slots/Gottheit/Goetter-mit-Epitheta/0410_Seth/0100_stX_GR_01.png &lt;sup&gt;(Gr.)&lt;/sup&gt;</v>
      </c>
    </row>
    <row r="1268" spans="1:12" x14ac:dyDescent="0.2">
      <c r="A1268" s="2" t="s">
        <v>59</v>
      </c>
      <c r="B1268" s="36">
        <v>410</v>
      </c>
      <c r="C1268" s="2" t="s">
        <v>104</v>
      </c>
      <c r="E1268" s="2" t="s">
        <v>1157</v>
      </c>
      <c r="G1268" s="2" t="s">
        <v>962</v>
      </c>
      <c r="I1268" s="2" t="s">
        <v>1090</v>
      </c>
      <c r="J1268" s="2" t="s">
        <v>1093</v>
      </c>
      <c r="K1268" s="2" t="s">
        <v>1092</v>
      </c>
      <c r="L1268" s="48" t="str">
        <f t="shared" si="139"/>
        <v>02_Slots/Gottheit/Goetter-mit-Epitheta/0410_Seth/0110_stX_GR_02.png &lt;sup&gt;(Gr.)&lt;/sup&gt;</v>
      </c>
    </row>
    <row r="1269" spans="1:12" x14ac:dyDescent="0.2">
      <c r="A1269" s="2" t="s">
        <v>59</v>
      </c>
      <c r="B1269" s="36">
        <v>410</v>
      </c>
      <c r="C1269" s="2" t="s">
        <v>105</v>
      </c>
      <c r="E1269" s="2" t="s">
        <v>1157</v>
      </c>
      <c r="F1269" s="2" t="s">
        <v>109</v>
      </c>
      <c r="G1269" s="2" t="s">
        <v>974</v>
      </c>
      <c r="L1269" s="48" t="str">
        <f t="shared" si="138"/>
        <v>02_Slots/Gottheit/Goetter-mit-Epitheta/0410_Seth/det/0001_stX_det_01.png</v>
      </c>
    </row>
    <row r="1270" spans="1:12" x14ac:dyDescent="0.2">
      <c r="A1270" s="2" t="s">
        <v>59</v>
      </c>
      <c r="B1270" s="36">
        <v>410</v>
      </c>
      <c r="C1270" s="2" t="s">
        <v>105</v>
      </c>
      <c r="E1270" s="2" t="s">
        <v>1157</v>
      </c>
      <c r="F1270" s="2" t="s">
        <v>109</v>
      </c>
      <c r="G1270" s="2" t="s">
        <v>975</v>
      </c>
      <c r="L1270" s="48" t="str">
        <f t="shared" si="138"/>
        <v>02_Slots/Gottheit/Goetter-mit-Epitheta/0410_Seth/det/0010_stX_det_02.png</v>
      </c>
    </row>
    <row r="1271" spans="1:12" x14ac:dyDescent="0.2">
      <c r="A1271" s="2" t="s">
        <v>59</v>
      </c>
      <c r="B1271" s="36">
        <v>410</v>
      </c>
      <c r="C1271" s="2" t="s">
        <v>105</v>
      </c>
      <c r="E1271" s="2" t="s">
        <v>1157</v>
      </c>
      <c r="F1271" s="2" t="s">
        <v>109</v>
      </c>
      <c r="G1271" s="2" t="s">
        <v>976</v>
      </c>
      <c r="I1271" s="2" t="s">
        <v>1090</v>
      </c>
      <c r="J1271" s="2" t="s">
        <v>1094</v>
      </c>
      <c r="K1271" s="2" t="s">
        <v>1092</v>
      </c>
      <c r="L1271" s="48" t="str">
        <f>_xlfn.TEXTJOIN("", TRUE, D1271:K1271)</f>
        <v>02_Slots/Gottheit/Goetter-mit-Epitheta/0410_Seth/det/0020_stX_det_MR_01.png &lt;sup&gt;(MR)&lt;/sup&gt;</v>
      </c>
    </row>
    <row r="1272" spans="1:12" x14ac:dyDescent="0.2">
      <c r="A1272" s="2" t="s">
        <v>59</v>
      </c>
      <c r="B1272" s="36">
        <v>410</v>
      </c>
      <c r="C1272" s="2" t="s">
        <v>106</v>
      </c>
      <c r="L1272" s="48" t="s">
        <v>164</v>
      </c>
    </row>
    <row r="1273" spans="1:12" x14ac:dyDescent="0.2">
      <c r="A1273" s="2" t="s">
        <v>59</v>
      </c>
      <c r="B1273" s="36">
        <v>410</v>
      </c>
      <c r="C1273" s="2" t="s">
        <v>107</v>
      </c>
    </row>
    <row r="1274" spans="1:12" x14ac:dyDescent="0.2">
      <c r="A1274" s="2" t="s">
        <v>59</v>
      </c>
      <c r="B1274" s="36">
        <v>410</v>
      </c>
      <c r="C1274" s="2" t="s">
        <v>1561</v>
      </c>
      <c r="L1274" s="48">
        <v>148520</v>
      </c>
    </row>
    <row r="1277" spans="1:12" x14ac:dyDescent="0.2">
      <c r="A1277" s="2" t="s">
        <v>59</v>
      </c>
      <c r="B1277" s="36">
        <v>420</v>
      </c>
      <c r="C1277" s="2" t="s">
        <v>38</v>
      </c>
      <c r="L1277" s="48" t="s">
        <v>653</v>
      </c>
    </row>
    <row r="1278" spans="1:12" x14ac:dyDescent="0.2">
      <c r="A1278" s="2" t="s">
        <v>59</v>
      </c>
      <c r="B1278" s="36">
        <v>420</v>
      </c>
      <c r="C1278" s="2" t="s">
        <v>104</v>
      </c>
      <c r="E1278" s="2" t="s">
        <v>1158</v>
      </c>
      <c r="G1278" s="2" t="s">
        <v>977</v>
      </c>
      <c r="L1278" s="48" t="str">
        <f t="shared" ref="L1278:L1283" si="140">_xlfn.TEXTJOIN("", TRUE, D1278:J1278)</f>
        <v>02_Slots/Gottheit/Goetter-mit-Epitheta/0420_Schu/0001_Sw_01.png</v>
      </c>
    </row>
    <row r="1279" spans="1:12" x14ac:dyDescent="0.2">
      <c r="A1279" s="2" t="s">
        <v>59</v>
      </c>
      <c r="B1279" s="36">
        <v>420</v>
      </c>
      <c r="C1279" s="2" t="s">
        <v>104</v>
      </c>
      <c r="E1279" s="2" t="s">
        <v>1158</v>
      </c>
      <c r="G1279" s="2" t="s">
        <v>978</v>
      </c>
      <c r="I1279" s="2" t="s">
        <v>1090</v>
      </c>
      <c r="J1279" s="2" t="s">
        <v>1091</v>
      </c>
      <c r="K1279" s="2" t="s">
        <v>1092</v>
      </c>
      <c r="L1279" s="48" t="str">
        <f t="shared" ref="L1279:L1282" si="141">_xlfn.TEXTJOIN("", TRUE, D1279:K1279)</f>
        <v>02_Slots/Gottheit/Goetter-mit-Epitheta/0420_Schu/0010_Sw_AR_01.png &lt;sup&gt;(AR)&lt;/sup&gt;</v>
      </c>
    </row>
    <row r="1280" spans="1:12" x14ac:dyDescent="0.2">
      <c r="A1280" s="2" t="s">
        <v>59</v>
      </c>
      <c r="B1280" s="36">
        <v>420</v>
      </c>
      <c r="C1280" s="2" t="s">
        <v>104</v>
      </c>
      <c r="E1280" s="2" t="s">
        <v>1158</v>
      </c>
      <c r="G1280" s="2" t="s">
        <v>979</v>
      </c>
      <c r="I1280" s="2" t="s">
        <v>1090</v>
      </c>
      <c r="J1280" s="2" t="s">
        <v>1094</v>
      </c>
      <c r="K1280" s="2" t="s">
        <v>1092</v>
      </c>
      <c r="L1280" s="48" t="str">
        <f t="shared" si="141"/>
        <v>02_Slots/Gottheit/Goetter-mit-Epitheta/0420_Schu/0020_Sw_MR_01.png &lt;sup&gt;(MR)&lt;/sup&gt;</v>
      </c>
    </row>
    <row r="1281" spans="1:12" x14ac:dyDescent="0.2">
      <c r="A1281" s="2" t="s">
        <v>59</v>
      </c>
      <c r="B1281" s="36">
        <v>420</v>
      </c>
      <c r="C1281" s="2" t="s">
        <v>104</v>
      </c>
      <c r="E1281" s="2" t="s">
        <v>1158</v>
      </c>
      <c r="G1281" s="2" t="s">
        <v>980</v>
      </c>
      <c r="I1281" s="2" t="s">
        <v>1090</v>
      </c>
      <c r="J1281" s="2" t="s">
        <v>1049</v>
      </c>
      <c r="K1281" s="2" t="s">
        <v>1092</v>
      </c>
      <c r="L1281" s="48" t="str">
        <f t="shared" si="141"/>
        <v>02_Slots/Gottheit/Goetter-mit-Epitheta/0420_Schu/0030_Sw_NR_01.png &lt;sup&gt;(NR)&lt;/sup&gt;</v>
      </c>
    </row>
    <row r="1282" spans="1:12" x14ac:dyDescent="0.2">
      <c r="A1282" s="2" t="s">
        <v>59</v>
      </c>
      <c r="B1282" s="36">
        <v>420</v>
      </c>
      <c r="C1282" s="2" t="s">
        <v>104</v>
      </c>
      <c r="E1282" s="2" t="s">
        <v>1158</v>
      </c>
      <c r="G1282" s="2" t="s">
        <v>981</v>
      </c>
      <c r="I1282" s="2" t="s">
        <v>1090</v>
      </c>
      <c r="J1282" s="2" t="s">
        <v>1093</v>
      </c>
      <c r="K1282" s="2" t="s">
        <v>1092</v>
      </c>
      <c r="L1282" s="48" t="str">
        <f t="shared" si="141"/>
        <v>02_Slots/Gottheit/Goetter-mit-Epitheta/0420_Schu/0040_Sw_GR_01.png &lt;sup&gt;(Gr.)&lt;/sup&gt;</v>
      </c>
    </row>
    <row r="1283" spans="1:12" x14ac:dyDescent="0.2">
      <c r="A1283" s="2" t="s">
        <v>59</v>
      </c>
      <c r="B1283" s="36">
        <v>420</v>
      </c>
      <c r="C1283" s="2" t="s">
        <v>105</v>
      </c>
      <c r="L1283" s="48" t="str">
        <f t="shared" si="140"/>
        <v/>
      </c>
    </row>
    <row r="1284" spans="1:12" x14ac:dyDescent="0.2">
      <c r="A1284" s="2" t="s">
        <v>59</v>
      </c>
      <c r="B1284" s="36">
        <v>420</v>
      </c>
      <c r="C1284" s="2" t="s">
        <v>106</v>
      </c>
      <c r="L1284" s="48" t="s">
        <v>165</v>
      </c>
    </row>
    <row r="1285" spans="1:12" x14ac:dyDescent="0.2">
      <c r="A1285" s="2" t="s">
        <v>59</v>
      </c>
      <c r="B1285" s="36">
        <v>420</v>
      </c>
      <c r="C1285" s="2" t="s">
        <v>107</v>
      </c>
    </row>
    <row r="1286" spans="1:12" x14ac:dyDescent="0.2">
      <c r="A1286" s="2" t="s">
        <v>59</v>
      </c>
      <c r="B1286" s="36">
        <v>420</v>
      </c>
      <c r="C1286" s="2" t="s">
        <v>1561</v>
      </c>
      <c r="L1286" s="48">
        <v>152710</v>
      </c>
    </row>
    <row r="1289" spans="1:12" x14ac:dyDescent="0.2">
      <c r="A1289" s="2" t="s">
        <v>59</v>
      </c>
      <c r="B1289" s="36">
        <v>430</v>
      </c>
      <c r="C1289" s="2" t="s">
        <v>38</v>
      </c>
      <c r="L1289" s="48" t="s">
        <v>654</v>
      </c>
    </row>
    <row r="1290" spans="1:12" x14ac:dyDescent="0.2">
      <c r="A1290" s="2" t="s">
        <v>59</v>
      </c>
      <c r="B1290" s="36">
        <v>430</v>
      </c>
      <c r="C1290" s="2" t="s">
        <v>104</v>
      </c>
      <c r="E1290" s="2" t="s">
        <v>1159</v>
      </c>
      <c r="G1290" s="2" t="s">
        <v>983</v>
      </c>
      <c r="L1290" s="48" t="str">
        <f t="shared" ref="L1290:L1292" si="142">_xlfn.TEXTJOIN("", TRUE, D1290:J1290)</f>
        <v>02_Slots/Gottheit/Goetter-mit-Epitheta/0430_Qebehsenuef/0001_qbH-snw=f_01.png</v>
      </c>
    </row>
    <row r="1291" spans="1:12" x14ac:dyDescent="0.2">
      <c r="A1291" s="2" t="s">
        <v>59</v>
      </c>
      <c r="B1291" s="36">
        <v>430</v>
      </c>
      <c r="C1291" s="2" t="s">
        <v>104</v>
      </c>
      <c r="E1291" s="2" t="s">
        <v>1159</v>
      </c>
      <c r="G1291" s="2" t="s">
        <v>984</v>
      </c>
      <c r="L1291" s="48" t="str">
        <f t="shared" si="142"/>
        <v>02_Slots/Gottheit/Goetter-mit-Epitheta/0430_Qebehsenuef/0010_qbH-snw=f_02.png</v>
      </c>
    </row>
    <row r="1292" spans="1:12" x14ac:dyDescent="0.2">
      <c r="A1292" s="2" t="s">
        <v>59</v>
      </c>
      <c r="B1292" s="36">
        <v>430</v>
      </c>
      <c r="C1292" s="2" t="s">
        <v>104</v>
      </c>
      <c r="E1292" s="2" t="s">
        <v>1159</v>
      </c>
      <c r="G1292" s="2" t="s">
        <v>985</v>
      </c>
      <c r="L1292" s="48" t="str">
        <f t="shared" si="142"/>
        <v>02_Slots/Gottheit/Goetter-mit-Epitheta/0430_Qebehsenuef/0020_qbH-snw=f_03.png</v>
      </c>
    </row>
    <row r="1293" spans="1:12" x14ac:dyDescent="0.2">
      <c r="A1293" s="2" t="s">
        <v>59</v>
      </c>
      <c r="B1293" s="36">
        <v>430</v>
      </c>
      <c r="C1293" s="2" t="s">
        <v>104</v>
      </c>
      <c r="E1293" s="2" t="s">
        <v>1159</v>
      </c>
      <c r="G1293" s="2" t="s">
        <v>986</v>
      </c>
      <c r="I1293" s="2" t="s">
        <v>1090</v>
      </c>
      <c r="J1293" s="2" t="s">
        <v>1094</v>
      </c>
      <c r="K1293" s="2" t="s">
        <v>1092</v>
      </c>
      <c r="L1293" s="48" t="str">
        <f t="shared" ref="L1293:L1300" si="143">_xlfn.TEXTJOIN("", TRUE, D1293:K1293)</f>
        <v>02_Slots/Gottheit/Goetter-mit-Epitheta/0430_Qebehsenuef/0030_qbH-snw=f_MR_01.png &lt;sup&gt;(MR)&lt;/sup&gt;</v>
      </c>
    </row>
    <row r="1294" spans="1:12" x14ac:dyDescent="0.2">
      <c r="A1294" s="2" t="s">
        <v>59</v>
      </c>
      <c r="B1294" s="36">
        <v>430</v>
      </c>
      <c r="C1294" s="2" t="s">
        <v>104</v>
      </c>
      <c r="E1294" s="2" t="s">
        <v>1159</v>
      </c>
      <c r="G1294" s="2" t="s">
        <v>987</v>
      </c>
      <c r="I1294" s="2" t="s">
        <v>1090</v>
      </c>
      <c r="J1294" s="2" t="s">
        <v>1094</v>
      </c>
      <c r="K1294" s="2" t="s">
        <v>1092</v>
      </c>
      <c r="L1294" s="48" t="str">
        <f t="shared" si="143"/>
        <v>02_Slots/Gottheit/Goetter-mit-Epitheta/0430_Qebehsenuef/0040_qbH-snw=f_MR_02.png &lt;sup&gt;(MR)&lt;/sup&gt;</v>
      </c>
    </row>
    <row r="1295" spans="1:12" x14ac:dyDescent="0.2">
      <c r="A1295" s="2" t="s">
        <v>59</v>
      </c>
      <c r="B1295" s="36">
        <v>430</v>
      </c>
      <c r="C1295" s="2" t="s">
        <v>104</v>
      </c>
      <c r="E1295" s="2" t="s">
        <v>1159</v>
      </c>
      <c r="G1295" s="2" t="s">
        <v>988</v>
      </c>
      <c r="I1295" s="2" t="s">
        <v>1090</v>
      </c>
      <c r="J1295" s="2" t="s">
        <v>1093</v>
      </c>
      <c r="K1295" s="2" t="s">
        <v>1092</v>
      </c>
      <c r="L1295" s="48" t="str">
        <f t="shared" si="143"/>
        <v>02_Slots/Gottheit/Goetter-mit-Epitheta/0430_Qebehsenuef/0050_qbH-snw=f_GR_01.png &lt;sup&gt;(Gr.)&lt;/sup&gt;</v>
      </c>
    </row>
    <row r="1296" spans="1:12" x14ac:dyDescent="0.2">
      <c r="A1296" s="2" t="s">
        <v>59</v>
      </c>
      <c r="B1296" s="36">
        <v>430</v>
      </c>
      <c r="C1296" s="2" t="s">
        <v>104</v>
      </c>
      <c r="E1296" s="2" t="s">
        <v>1159</v>
      </c>
      <c r="G1296" s="2" t="s">
        <v>989</v>
      </c>
      <c r="I1296" s="2" t="s">
        <v>1090</v>
      </c>
      <c r="J1296" s="2" t="s">
        <v>1093</v>
      </c>
      <c r="K1296" s="2" t="s">
        <v>1092</v>
      </c>
      <c r="L1296" s="48" t="str">
        <f t="shared" si="143"/>
        <v>02_Slots/Gottheit/Goetter-mit-Epitheta/0430_Qebehsenuef/0060_qbH-snw=f_GR_02.png &lt;sup&gt;(Gr.)&lt;/sup&gt;</v>
      </c>
    </row>
    <row r="1297" spans="1:12" x14ac:dyDescent="0.2">
      <c r="A1297" s="2" t="s">
        <v>59</v>
      </c>
      <c r="B1297" s="36">
        <v>430</v>
      </c>
      <c r="C1297" s="2" t="s">
        <v>104</v>
      </c>
      <c r="E1297" s="2" t="s">
        <v>1159</v>
      </c>
      <c r="G1297" s="2" t="s">
        <v>990</v>
      </c>
      <c r="I1297" s="2" t="s">
        <v>1090</v>
      </c>
      <c r="J1297" s="2" t="s">
        <v>1093</v>
      </c>
      <c r="K1297" s="2" t="s">
        <v>1092</v>
      </c>
      <c r="L1297" s="48" t="str">
        <f t="shared" si="143"/>
        <v>02_Slots/Gottheit/Goetter-mit-Epitheta/0430_Qebehsenuef/0070_qbH-snw=f_GR_03.png &lt;sup&gt;(Gr.)&lt;/sup&gt;</v>
      </c>
    </row>
    <row r="1298" spans="1:12" x14ac:dyDescent="0.2">
      <c r="A1298" s="2" t="s">
        <v>59</v>
      </c>
      <c r="B1298" s="36">
        <v>430</v>
      </c>
      <c r="C1298" s="2" t="s">
        <v>104</v>
      </c>
      <c r="E1298" s="2" t="s">
        <v>1159</v>
      </c>
      <c r="G1298" s="2" t="s">
        <v>982</v>
      </c>
      <c r="I1298" s="2" t="s">
        <v>1090</v>
      </c>
      <c r="J1298" s="2" t="s">
        <v>1093</v>
      </c>
      <c r="K1298" s="2" t="s">
        <v>1092</v>
      </c>
      <c r="L1298" s="48" t="str">
        <f t="shared" si="143"/>
        <v>02_Slots/Gottheit/Goetter-mit-Epitheta/0430_Qebehsenuef/0080_qbH-snw=f_GR_04.png &lt;sup&gt;(Gr.)&lt;/sup&gt;</v>
      </c>
    </row>
    <row r="1299" spans="1:12" x14ac:dyDescent="0.2">
      <c r="A1299" s="2" t="s">
        <v>59</v>
      </c>
      <c r="B1299" s="36">
        <v>430</v>
      </c>
      <c r="C1299" s="2" t="s">
        <v>105</v>
      </c>
      <c r="E1299" s="2" t="s">
        <v>1159</v>
      </c>
      <c r="F1299" s="2" t="s">
        <v>109</v>
      </c>
      <c r="G1299" s="2" t="s">
        <v>991</v>
      </c>
      <c r="I1299" s="2" t="s">
        <v>1090</v>
      </c>
      <c r="J1299" s="2" t="s">
        <v>1093</v>
      </c>
      <c r="K1299" s="2" t="s">
        <v>1092</v>
      </c>
      <c r="L1299" s="48" t="str">
        <f t="shared" si="143"/>
        <v>02_Slots/Gottheit/Goetter-mit-Epitheta/0430_Qebehsenuef/det/0001_qbH-snw=f_det_GR_01.png &lt;sup&gt;(Gr.)&lt;/sup&gt;</v>
      </c>
    </row>
    <row r="1300" spans="1:12" x14ac:dyDescent="0.2">
      <c r="A1300" s="2" t="s">
        <v>59</v>
      </c>
      <c r="B1300" s="36">
        <v>430</v>
      </c>
      <c r="C1300" s="2" t="s">
        <v>105</v>
      </c>
      <c r="E1300" s="2" t="s">
        <v>1159</v>
      </c>
      <c r="F1300" s="2" t="s">
        <v>109</v>
      </c>
      <c r="G1300" s="2" t="s">
        <v>992</v>
      </c>
      <c r="I1300" s="2" t="s">
        <v>1090</v>
      </c>
      <c r="J1300" s="2" t="s">
        <v>1093</v>
      </c>
      <c r="K1300" s="2" t="s">
        <v>1092</v>
      </c>
      <c r="L1300" s="48" t="str">
        <f t="shared" si="143"/>
        <v>02_Slots/Gottheit/Goetter-mit-Epitheta/0430_Qebehsenuef/det/0010_qbH-snw=f_det_GR_02.png &lt;sup&gt;(Gr.)&lt;/sup&gt;</v>
      </c>
    </row>
    <row r="1301" spans="1:12" x14ac:dyDescent="0.2">
      <c r="A1301" s="2" t="s">
        <v>59</v>
      </c>
      <c r="B1301" s="36">
        <v>430</v>
      </c>
      <c r="C1301" s="2" t="s">
        <v>106</v>
      </c>
      <c r="L1301" s="48" t="s">
        <v>166</v>
      </c>
    </row>
    <row r="1302" spans="1:12" x14ac:dyDescent="0.2">
      <c r="A1302" s="2" t="s">
        <v>59</v>
      </c>
      <c r="B1302" s="36">
        <v>430</v>
      </c>
      <c r="C1302" s="2" t="s">
        <v>107</v>
      </c>
    </row>
    <row r="1303" spans="1:12" x14ac:dyDescent="0.2">
      <c r="A1303" s="2" t="s">
        <v>59</v>
      </c>
      <c r="B1303" s="36">
        <v>430</v>
      </c>
      <c r="C1303" s="2" t="s">
        <v>1561</v>
      </c>
      <c r="L1303" s="48">
        <v>160390</v>
      </c>
    </row>
    <row r="1306" spans="1:12" x14ac:dyDescent="0.2">
      <c r="A1306" s="2" t="s">
        <v>59</v>
      </c>
      <c r="B1306" s="36">
        <v>440</v>
      </c>
      <c r="C1306" s="2" t="s">
        <v>38</v>
      </c>
      <c r="L1306" s="48" t="s">
        <v>655</v>
      </c>
    </row>
    <row r="1307" spans="1:12" x14ac:dyDescent="0.2">
      <c r="A1307" s="2" t="s">
        <v>59</v>
      </c>
      <c r="B1307" s="36">
        <v>440</v>
      </c>
      <c r="C1307" s="2" t="s">
        <v>104</v>
      </c>
      <c r="E1307" s="2" t="s">
        <v>1160</v>
      </c>
      <c r="G1307" s="2" t="s">
        <v>993</v>
      </c>
      <c r="I1307" s="2" t="s">
        <v>1090</v>
      </c>
      <c r="J1307" s="2" t="s">
        <v>1091</v>
      </c>
      <c r="K1307" s="2" t="s">
        <v>1092</v>
      </c>
      <c r="L1307" s="48" t="str">
        <f t="shared" ref="L1307:L1311" si="144">_xlfn.TEXTJOIN("", TRUE, D1307:K1307)</f>
        <v>02_Slots/Gottheit/Goetter-mit-Epitheta/0440_Duamutef/0001_dwA-mw.t=f_AR_01.png &lt;sup&gt;(AR)&lt;/sup&gt;</v>
      </c>
    </row>
    <row r="1308" spans="1:12" x14ac:dyDescent="0.2">
      <c r="A1308" s="2" t="s">
        <v>59</v>
      </c>
      <c r="B1308" s="36">
        <v>440</v>
      </c>
      <c r="C1308" s="2" t="s">
        <v>104</v>
      </c>
      <c r="E1308" s="2" t="s">
        <v>1160</v>
      </c>
      <c r="G1308" s="2" t="s">
        <v>994</v>
      </c>
      <c r="I1308" s="2" t="s">
        <v>1090</v>
      </c>
      <c r="J1308" s="2" t="s">
        <v>1091</v>
      </c>
      <c r="K1308" s="2" t="s">
        <v>1092</v>
      </c>
      <c r="L1308" s="48" t="str">
        <f t="shared" si="144"/>
        <v>02_Slots/Gottheit/Goetter-mit-Epitheta/0440_Duamutef/0010_dwA-mw.t=f_AR_02.png &lt;sup&gt;(AR)&lt;/sup&gt;</v>
      </c>
    </row>
    <row r="1309" spans="1:12" x14ac:dyDescent="0.2">
      <c r="A1309" s="2" t="s">
        <v>59</v>
      </c>
      <c r="B1309" s="36">
        <v>440</v>
      </c>
      <c r="C1309" s="2" t="s">
        <v>104</v>
      </c>
      <c r="E1309" s="2" t="s">
        <v>1160</v>
      </c>
      <c r="G1309" s="2" t="s">
        <v>995</v>
      </c>
      <c r="I1309" s="2" t="s">
        <v>1090</v>
      </c>
      <c r="J1309" s="2" t="s">
        <v>1094</v>
      </c>
      <c r="K1309" s="2" t="s">
        <v>1092</v>
      </c>
      <c r="L1309" s="48" t="str">
        <f t="shared" si="144"/>
        <v>02_Slots/Gottheit/Goetter-mit-Epitheta/0440_Duamutef/0020_dwA-mw.t=f_MR_01.png &lt;sup&gt;(MR)&lt;/sup&gt;</v>
      </c>
    </row>
    <row r="1310" spans="1:12" x14ac:dyDescent="0.2">
      <c r="A1310" s="2" t="s">
        <v>59</v>
      </c>
      <c r="B1310" s="36">
        <v>440</v>
      </c>
      <c r="C1310" s="2" t="s">
        <v>104</v>
      </c>
      <c r="E1310" s="2" t="s">
        <v>1160</v>
      </c>
      <c r="G1310" s="2" t="s">
        <v>996</v>
      </c>
      <c r="I1310" s="2" t="s">
        <v>1090</v>
      </c>
      <c r="J1310" s="2" t="s">
        <v>1094</v>
      </c>
      <c r="K1310" s="2" t="s">
        <v>1092</v>
      </c>
      <c r="L1310" s="48" t="str">
        <f t="shared" si="144"/>
        <v>02_Slots/Gottheit/Goetter-mit-Epitheta/0440_Duamutef/0030_dwA-mw.t=f_MR_02.png &lt;sup&gt;(MR)&lt;/sup&gt;</v>
      </c>
    </row>
    <row r="1311" spans="1:12" x14ac:dyDescent="0.2">
      <c r="A1311" s="2" t="s">
        <v>59</v>
      </c>
      <c r="B1311" s="36">
        <v>440</v>
      </c>
      <c r="C1311" s="2" t="s">
        <v>104</v>
      </c>
      <c r="E1311" s="2" t="s">
        <v>1160</v>
      </c>
      <c r="G1311" s="2" t="s">
        <v>997</v>
      </c>
      <c r="I1311" s="2" t="s">
        <v>1090</v>
      </c>
      <c r="J1311" s="2" t="s">
        <v>1094</v>
      </c>
      <c r="K1311" s="2" t="s">
        <v>1092</v>
      </c>
      <c r="L1311" s="48" t="str">
        <f t="shared" si="144"/>
        <v>02_Slots/Gottheit/Goetter-mit-Epitheta/0440_Duamutef/0040_dwA-mw.t=f_MR_03.png &lt;sup&gt;(MR)&lt;/sup&gt;</v>
      </c>
    </row>
    <row r="1312" spans="1:12" x14ac:dyDescent="0.2">
      <c r="A1312" s="2" t="s">
        <v>59</v>
      </c>
      <c r="B1312" s="36">
        <v>440</v>
      </c>
      <c r="C1312" s="2" t="s">
        <v>105</v>
      </c>
      <c r="L1312" s="48" t="str">
        <f t="shared" ref="L1312" si="145">_xlfn.TEXTJOIN("", TRUE, D1312:J1312)</f>
        <v/>
      </c>
    </row>
    <row r="1313" spans="1:12" x14ac:dyDescent="0.2">
      <c r="A1313" s="2" t="s">
        <v>59</v>
      </c>
      <c r="B1313" s="36">
        <v>440</v>
      </c>
      <c r="C1313" s="2" t="s">
        <v>106</v>
      </c>
      <c r="L1313" s="48" t="s">
        <v>167</v>
      </c>
    </row>
    <row r="1314" spans="1:12" x14ac:dyDescent="0.2">
      <c r="A1314" s="2" t="s">
        <v>59</v>
      </c>
      <c r="B1314" s="36">
        <v>440</v>
      </c>
      <c r="C1314" s="2" t="s">
        <v>107</v>
      </c>
    </row>
    <row r="1315" spans="1:12" x14ac:dyDescent="0.2">
      <c r="A1315" s="2" t="s">
        <v>59</v>
      </c>
      <c r="B1315" s="36">
        <v>440</v>
      </c>
      <c r="C1315" s="2" t="s">
        <v>1561</v>
      </c>
      <c r="L1315" s="48">
        <v>178060</v>
      </c>
    </row>
    <row r="1318" spans="1:12" x14ac:dyDescent="0.2">
      <c r="A1318" s="2" t="s">
        <v>59</v>
      </c>
      <c r="B1318" s="36">
        <v>450</v>
      </c>
      <c r="C1318" s="2" t="s">
        <v>38</v>
      </c>
      <c r="L1318" s="48" t="s">
        <v>656</v>
      </c>
    </row>
    <row r="1319" spans="1:12" x14ac:dyDescent="0.2">
      <c r="A1319" s="2" t="s">
        <v>59</v>
      </c>
      <c r="B1319" s="36">
        <v>450</v>
      </c>
      <c r="C1319" s="2" t="s">
        <v>104</v>
      </c>
      <c r="E1319" s="2" t="s">
        <v>1161</v>
      </c>
      <c r="G1319" s="2" t="s">
        <v>998</v>
      </c>
      <c r="I1319" s="2" t="s">
        <v>1090</v>
      </c>
      <c r="J1319" s="2" t="s">
        <v>1091</v>
      </c>
      <c r="K1319" s="2" t="s">
        <v>1092</v>
      </c>
      <c r="L1319" s="48" t="str">
        <f t="shared" ref="L1319:L1329" si="146">_xlfn.TEXTJOIN("", TRUE, D1319:K1319)</f>
        <v>02_Slots/Gottheit/Goetter-mit-Epitheta/0450_Thot/0001_DHwtj_AR_01.png &lt;sup&gt;(AR)&lt;/sup&gt;</v>
      </c>
    </row>
    <row r="1320" spans="1:12" x14ac:dyDescent="0.2">
      <c r="A1320" s="2" t="s">
        <v>59</v>
      </c>
      <c r="B1320" s="36">
        <v>450</v>
      </c>
      <c r="C1320" s="2" t="s">
        <v>104</v>
      </c>
      <c r="E1320" s="2" t="s">
        <v>1161</v>
      </c>
      <c r="G1320" s="2" t="s">
        <v>999</v>
      </c>
      <c r="I1320" s="2" t="s">
        <v>1090</v>
      </c>
      <c r="J1320" s="2" t="s">
        <v>1094</v>
      </c>
      <c r="K1320" s="2" t="s">
        <v>1092</v>
      </c>
      <c r="L1320" s="48" t="str">
        <f t="shared" si="146"/>
        <v>02_Slots/Gottheit/Goetter-mit-Epitheta/0450_Thot/0010_DHwtj_MR_01.png &lt;sup&gt;(MR)&lt;/sup&gt;</v>
      </c>
    </row>
    <row r="1321" spans="1:12" x14ac:dyDescent="0.2">
      <c r="A1321" s="2" t="s">
        <v>59</v>
      </c>
      <c r="B1321" s="36">
        <v>450</v>
      </c>
      <c r="C1321" s="2" t="s">
        <v>104</v>
      </c>
      <c r="E1321" s="2" t="s">
        <v>1161</v>
      </c>
      <c r="G1321" s="2" t="s">
        <v>1000</v>
      </c>
      <c r="I1321" s="2" t="s">
        <v>1090</v>
      </c>
      <c r="J1321" s="2" t="s">
        <v>1094</v>
      </c>
      <c r="K1321" s="2" t="s">
        <v>1092</v>
      </c>
      <c r="L1321" s="48" t="str">
        <f t="shared" si="146"/>
        <v>02_Slots/Gottheit/Goetter-mit-Epitheta/0450_Thot/0020_DHwtj_MR_02.png &lt;sup&gt;(MR)&lt;/sup&gt;</v>
      </c>
    </row>
    <row r="1322" spans="1:12" x14ac:dyDescent="0.2">
      <c r="A1322" s="2" t="s">
        <v>59</v>
      </c>
      <c r="B1322" s="36">
        <v>450</v>
      </c>
      <c r="C1322" s="2" t="s">
        <v>104</v>
      </c>
      <c r="E1322" s="2" t="s">
        <v>1161</v>
      </c>
      <c r="G1322" s="2" t="s">
        <v>1001</v>
      </c>
      <c r="I1322" s="2" t="s">
        <v>1090</v>
      </c>
      <c r="J1322" s="2" t="s">
        <v>1094</v>
      </c>
      <c r="K1322" s="2" t="s">
        <v>1092</v>
      </c>
      <c r="L1322" s="48" t="str">
        <f t="shared" si="146"/>
        <v>02_Slots/Gottheit/Goetter-mit-Epitheta/0450_Thot/0030_DHwtj_MR_03.png &lt;sup&gt;(MR)&lt;/sup&gt;</v>
      </c>
    </row>
    <row r="1323" spans="1:12" x14ac:dyDescent="0.2">
      <c r="A1323" s="2" t="s">
        <v>59</v>
      </c>
      <c r="B1323" s="36">
        <v>450</v>
      </c>
      <c r="C1323" s="2" t="s">
        <v>104</v>
      </c>
      <c r="E1323" s="2" t="s">
        <v>1161</v>
      </c>
      <c r="G1323" s="2" t="s">
        <v>1002</v>
      </c>
      <c r="I1323" s="2" t="s">
        <v>1090</v>
      </c>
      <c r="J1323" s="2" t="s">
        <v>1094</v>
      </c>
      <c r="K1323" s="2" t="s">
        <v>1092</v>
      </c>
      <c r="L1323" s="48" t="str">
        <f t="shared" si="146"/>
        <v>02_Slots/Gottheit/Goetter-mit-Epitheta/0450_Thot/0040_DHwtj_MR_04.png &lt;sup&gt;(MR)&lt;/sup&gt;</v>
      </c>
    </row>
    <row r="1324" spans="1:12" x14ac:dyDescent="0.2">
      <c r="A1324" s="2" t="s">
        <v>59</v>
      </c>
      <c r="B1324" s="36">
        <v>450</v>
      </c>
      <c r="C1324" s="2" t="s">
        <v>104</v>
      </c>
      <c r="E1324" s="2" t="s">
        <v>1161</v>
      </c>
      <c r="G1324" s="2" t="s">
        <v>1003</v>
      </c>
      <c r="I1324" s="2" t="s">
        <v>1090</v>
      </c>
      <c r="J1324" s="2" t="s">
        <v>1094</v>
      </c>
      <c r="K1324" s="2" t="s">
        <v>1092</v>
      </c>
      <c r="L1324" s="48" t="str">
        <f t="shared" si="146"/>
        <v>02_Slots/Gottheit/Goetter-mit-Epitheta/0450_Thot/0050_DHwtj_MR_05.png &lt;sup&gt;(MR)&lt;/sup&gt;</v>
      </c>
    </row>
    <row r="1325" spans="1:12" x14ac:dyDescent="0.2">
      <c r="A1325" s="2" t="s">
        <v>59</v>
      </c>
      <c r="B1325" s="36">
        <v>450</v>
      </c>
      <c r="C1325" s="2" t="s">
        <v>104</v>
      </c>
      <c r="E1325" s="2" t="s">
        <v>1161</v>
      </c>
      <c r="G1325" s="2" t="s">
        <v>1004</v>
      </c>
      <c r="I1325" s="2" t="s">
        <v>1090</v>
      </c>
      <c r="J1325" s="2" t="s">
        <v>1099</v>
      </c>
      <c r="K1325" s="2" t="s">
        <v>1092</v>
      </c>
      <c r="L1325" s="48" t="str">
        <f t="shared" si="146"/>
        <v>02_Slots/Gottheit/Goetter-mit-Epitheta/0450_Thot/0060_DHwtj_SP_01.png &lt;sup&gt;(Sp.)&lt;/sup&gt;</v>
      </c>
    </row>
    <row r="1326" spans="1:12" x14ac:dyDescent="0.2">
      <c r="A1326" s="2" t="s">
        <v>59</v>
      </c>
      <c r="B1326" s="36">
        <v>450</v>
      </c>
      <c r="C1326" s="2" t="s">
        <v>104</v>
      </c>
      <c r="E1326" s="2" t="s">
        <v>1161</v>
      </c>
      <c r="G1326" s="2" t="s">
        <v>1005</v>
      </c>
      <c r="I1326" s="2" t="s">
        <v>1090</v>
      </c>
      <c r="J1326" s="2" t="s">
        <v>1099</v>
      </c>
      <c r="K1326" s="2" t="s">
        <v>1092</v>
      </c>
      <c r="L1326" s="48" t="str">
        <f t="shared" si="146"/>
        <v>02_Slots/Gottheit/Goetter-mit-Epitheta/0450_Thot/0070_DHwtj_SP_02.png &lt;sup&gt;(Sp.)&lt;/sup&gt;</v>
      </c>
    </row>
    <row r="1327" spans="1:12" x14ac:dyDescent="0.2">
      <c r="A1327" s="2" t="s">
        <v>59</v>
      </c>
      <c r="B1327" s="36">
        <v>450</v>
      </c>
      <c r="C1327" s="2" t="s">
        <v>104</v>
      </c>
      <c r="E1327" s="2" t="s">
        <v>1161</v>
      </c>
      <c r="G1327" s="2" t="s">
        <v>1006</v>
      </c>
      <c r="I1327" s="2" t="s">
        <v>1090</v>
      </c>
      <c r="J1327" s="2" t="s">
        <v>1109</v>
      </c>
      <c r="K1327" s="2" t="s">
        <v>1092</v>
      </c>
      <c r="L1327" s="48" t="str">
        <f t="shared" si="146"/>
        <v>02_Slots/Gottheit/Goetter-mit-Epitheta/0450_Thot/0080_DHwtj_SP-GR_01.png &lt;sup&gt;(Sp.; Gr.)&lt;/sup&gt;</v>
      </c>
    </row>
    <row r="1328" spans="1:12" x14ac:dyDescent="0.2">
      <c r="A1328" s="2" t="s">
        <v>59</v>
      </c>
      <c r="B1328" s="36">
        <v>450</v>
      </c>
      <c r="C1328" s="2" t="s">
        <v>104</v>
      </c>
      <c r="E1328" s="2" t="s">
        <v>1161</v>
      </c>
      <c r="G1328" s="2" t="s">
        <v>1007</v>
      </c>
      <c r="I1328" s="2" t="s">
        <v>1090</v>
      </c>
      <c r="J1328" s="2" t="s">
        <v>1109</v>
      </c>
      <c r="K1328" s="2" t="s">
        <v>1092</v>
      </c>
      <c r="L1328" s="48" t="str">
        <f t="shared" si="146"/>
        <v>02_Slots/Gottheit/Goetter-mit-Epitheta/0450_Thot/0090_DHwtj_SP-GR_02.png &lt;sup&gt;(Sp.; Gr.)&lt;/sup&gt;</v>
      </c>
    </row>
    <row r="1329" spans="1:12" x14ac:dyDescent="0.2">
      <c r="A1329" s="2" t="s">
        <v>59</v>
      </c>
      <c r="B1329" s="36">
        <v>450</v>
      </c>
      <c r="C1329" s="2" t="s">
        <v>105</v>
      </c>
      <c r="E1329" s="2" t="s">
        <v>1161</v>
      </c>
      <c r="F1329" s="2" t="s">
        <v>109</v>
      </c>
      <c r="G1329" s="2" t="s">
        <v>1008</v>
      </c>
      <c r="I1329" s="2" t="s">
        <v>1090</v>
      </c>
      <c r="J1329" s="2" t="s">
        <v>1099</v>
      </c>
      <c r="K1329" s="2" t="s">
        <v>1092</v>
      </c>
      <c r="L1329" s="48" t="str">
        <f t="shared" si="146"/>
        <v>02_Slots/Gottheit/Goetter-mit-Epitheta/0450_Thot/det/0001_DHwtj_det_SP_01.png &lt;sup&gt;(Sp.)&lt;/sup&gt;</v>
      </c>
    </row>
    <row r="1330" spans="1:12" x14ac:dyDescent="0.2">
      <c r="A1330" s="2" t="s">
        <v>59</v>
      </c>
      <c r="B1330" s="36">
        <v>450</v>
      </c>
      <c r="C1330" s="2" t="s">
        <v>106</v>
      </c>
      <c r="L1330" s="48" t="s">
        <v>168</v>
      </c>
    </row>
    <row r="1331" spans="1:12" x14ac:dyDescent="0.2">
      <c r="A1331" s="2" t="s">
        <v>59</v>
      </c>
      <c r="B1331" s="36">
        <v>450</v>
      </c>
      <c r="C1331" s="2" t="s">
        <v>107</v>
      </c>
    </row>
    <row r="1332" spans="1:12" x14ac:dyDescent="0.2">
      <c r="A1332" s="2" t="s">
        <v>59</v>
      </c>
      <c r="B1332" s="36">
        <v>450</v>
      </c>
      <c r="C1332" s="2" t="s">
        <v>1561</v>
      </c>
      <c r="L1332" s="48">
        <v>185290</v>
      </c>
    </row>
    <row r="1338" spans="1:12" x14ac:dyDescent="0.2">
      <c r="A1338" s="13" t="s">
        <v>1178</v>
      </c>
      <c r="B1338" s="36">
        <v>1</v>
      </c>
      <c r="C1338" s="2" t="s">
        <v>1234</v>
      </c>
      <c r="L1338" s="48" t="s">
        <v>1235</v>
      </c>
    </row>
    <row r="1339" spans="1:12" x14ac:dyDescent="0.2">
      <c r="A1339" s="13" t="s">
        <v>1178</v>
      </c>
      <c r="B1339" s="36">
        <v>1</v>
      </c>
      <c r="C1339" s="2" t="s">
        <v>1177</v>
      </c>
      <c r="E1339" s="2" t="s">
        <v>1231</v>
      </c>
      <c r="G1339" s="2" t="s">
        <v>1230</v>
      </c>
      <c r="H1339" s="2" t="s">
        <v>111</v>
      </c>
      <c r="L1339" s="48" t="str">
        <f t="shared" ref="L1339" si="147">_xlfn.TEXTJOIN("", TRUE, D1339:K1339)</f>
        <v>03_Hieroglyphen-selten/F63_xnty_01.png</v>
      </c>
    </row>
    <row r="1340" spans="1:12" x14ac:dyDescent="0.2">
      <c r="A1340" s="13" t="s">
        <v>1178</v>
      </c>
      <c r="B1340" s="36">
        <v>1</v>
      </c>
      <c r="C1340" s="2" t="s">
        <v>38</v>
      </c>
      <c r="L1340" s="48" t="s">
        <v>1232</v>
      </c>
    </row>
    <row r="1341" spans="1:12" x14ac:dyDescent="0.2">
      <c r="A1341" s="13" t="s">
        <v>1178</v>
      </c>
      <c r="B1341" s="36">
        <v>1</v>
      </c>
      <c r="C1341" s="2" t="s">
        <v>26</v>
      </c>
      <c r="L1341" s="48" t="s">
        <v>1233</v>
      </c>
    </row>
    <row r="1346" spans="1:12" x14ac:dyDescent="0.2">
      <c r="A1346" s="13" t="s">
        <v>1216</v>
      </c>
      <c r="B1346" s="36">
        <v>1</v>
      </c>
      <c r="C1346" s="2" t="s">
        <v>1234</v>
      </c>
      <c r="L1346" s="48" t="s">
        <v>1236</v>
      </c>
    </row>
    <row r="1347" spans="1:12" x14ac:dyDescent="0.2">
      <c r="A1347" s="13" t="s">
        <v>1216</v>
      </c>
      <c r="B1347" s="36">
        <v>1</v>
      </c>
      <c r="C1347" s="2" t="s">
        <v>1177</v>
      </c>
      <c r="E1347" s="2" t="s">
        <v>1231</v>
      </c>
      <c r="G1347" s="2" t="s">
        <v>1237</v>
      </c>
      <c r="H1347" s="2" t="s">
        <v>111</v>
      </c>
      <c r="L1347" s="48" t="str">
        <f t="shared" ref="L1347" si="148">_xlfn.TEXTJOIN("", TRUE, D1347:K1347)</f>
        <v>03_Hieroglyphen-selten/N6B_nsw-bjt_01.png</v>
      </c>
    </row>
    <row r="1348" spans="1:12" x14ac:dyDescent="0.2">
      <c r="A1348" s="13" t="s">
        <v>1216</v>
      </c>
      <c r="B1348" s="36">
        <v>1</v>
      </c>
      <c r="C1348" s="2" t="s">
        <v>38</v>
      </c>
      <c r="L1348" s="48" t="s">
        <v>1577</v>
      </c>
    </row>
    <row r="1349" spans="1:12" x14ac:dyDescent="0.2">
      <c r="A1349" s="13" t="s">
        <v>1216</v>
      </c>
      <c r="B1349" s="36">
        <v>1</v>
      </c>
      <c r="C1349" s="2" t="s">
        <v>26</v>
      </c>
      <c r="L1349" s="48" t="s">
        <v>1238</v>
      </c>
    </row>
    <row r="1350" spans="1:12" x14ac:dyDescent="0.2">
      <c r="A1350" s="13" t="s">
        <v>1216</v>
      </c>
      <c r="B1350" s="36">
        <v>2</v>
      </c>
      <c r="C1350" s="2" t="s">
        <v>1234</v>
      </c>
      <c r="L1350" s="48" t="s">
        <v>1240</v>
      </c>
    </row>
    <row r="1351" spans="1:12" x14ac:dyDescent="0.2">
      <c r="A1351" s="13" t="s">
        <v>1216</v>
      </c>
      <c r="B1351" s="36">
        <v>2</v>
      </c>
      <c r="C1351" s="2" t="s">
        <v>1177</v>
      </c>
      <c r="E1351" s="2" t="s">
        <v>1231</v>
      </c>
      <c r="G1351" s="2" t="s">
        <v>1239</v>
      </c>
      <c r="H1351" s="2" t="s">
        <v>111</v>
      </c>
      <c r="L1351" s="48" t="str">
        <f t="shared" ref="L1351" si="149">_xlfn.TEXTJOIN("", TRUE, D1351:K1351)</f>
        <v>03_Hieroglyphen-selten/N102_jmn_01.png</v>
      </c>
    </row>
    <row r="1352" spans="1:12" x14ac:dyDescent="0.2">
      <c r="A1352" s="13" t="s">
        <v>1216</v>
      </c>
      <c r="B1352" s="36">
        <v>2</v>
      </c>
      <c r="C1352" s="2" t="s">
        <v>38</v>
      </c>
      <c r="L1352" s="48" t="s">
        <v>174</v>
      </c>
    </row>
    <row r="1353" spans="1:12" x14ac:dyDescent="0.2">
      <c r="A1353" s="13" t="s">
        <v>1216</v>
      </c>
      <c r="B1353" s="36">
        <v>2</v>
      </c>
      <c r="C1353" s="2" t="s">
        <v>26</v>
      </c>
      <c r="L1353" s="48" t="s">
        <v>110</v>
      </c>
    </row>
  </sheetData>
  <pageMargins left="0.7" right="0.7" top="0.78740157499999996" bottom="0.78740157499999996" header="0.3" footer="0.3"/>
  <ignoredErrors>
    <ignoredError sqref="L37 L1213 L1162"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89703-D8B6-7D4F-BE4B-112C79E1F253}">
  <dimension ref="A1:D9"/>
  <sheetViews>
    <sheetView workbookViewId="0">
      <selection activeCell="C9" sqref="C9"/>
    </sheetView>
  </sheetViews>
  <sheetFormatPr baseColWidth="10" defaultRowHeight="16" x14ac:dyDescent="0.2"/>
  <cols>
    <col min="1" max="2" width="10.83203125" style="57"/>
    <col min="3" max="3" width="25.6640625" style="57" bestFit="1" customWidth="1"/>
    <col min="4" max="16384" width="10.83203125" style="57"/>
  </cols>
  <sheetData>
    <row r="1" spans="1:4" s="58" customFormat="1" x14ac:dyDescent="0.2">
      <c r="A1" s="58" t="s">
        <v>1645</v>
      </c>
      <c r="B1" s="58" t="s">
        <v>42</v>
      </c>
      <c r="C1" s="58" t="s">
        <v>1646</v>
      </c>
      <c r="D1" s="58" t="s">
        <v>1647</v>
      </c>
    </row>
    <row r="2" spans="1:4" ht="17" x14ac:dyDescent="0.25">
      <c r="A2" t="s">
        <v>1648</v>
      </c>
      <c r="B2">
        <v>1</v>
      </c>
      <c r="C2" s="59" t="s">
        <v>1662</v>
      </c>
      <c r="D2" t="s">
        <v>1649</v>
      </c>
    </row>
    <row r="3" spans="1:4" ht="17" x14ac:dyDescent="0.25">
      <c r="A3" t="s">
        <v>1648</v>
      </c>
      <c r="B3">
        <v>2</v>
      </c>
      <c r="C3" s="59" t="s">
        <v>1663</v>
      </c>
      <c r="D3" t="s">
        <v>1650</v>
      </c>
    </row>
    <row r="4" spans="1:4" ht="17" x14ac:dyDescent="0.25">
      <c r="A4" t="s">
        <v>1648</v>
      </c>
      <c r="B4">
        <v>3</v>
      </c>
      <c r="C4" s="59" t="s">
        <v>1664</v>
      </c>
      <c r="D4" t="s">
        <v>1651</v>
      </c>
    </row>
    <row r="5" spans="1:4" ht="17" x14ac:dyDescent="0.25">
      <c r="A5" t="s">
        <v>1648</v>
      </c>
      <c r="B5">
        <v>4</v>
      </c>
      <c r="C5" s="59" t="s">
        <v>1665</v>
      </c>
      <c r="D5" t="s">
        <v>1652</v>
      </c>
    </row>
    <row r="6" spans="1:4" ht="17" x14ac:dyDescent="0.25">
      <c r="A6" t="s">
        <v>1653</v>
      </c>
      <c r="B6">
        <v>1</v>
      </c>
      <c r="C6" s="59" t="s">
        <v>1654</v>
      </c>
      <c r="D6" t="s">
        <v>1655</v>
      </c>
    </row>
    <row r="7" spans="1:4" ht="17" x14ac:dyDescent="0.25">
      <c r="A7" t="s">
        <v>1653</v>
      </c>
      <c r="B7">
        <v>2</v>
      </c>
      <c r="C7" s="59" t="s">
        <v>1656</v>
      </c>
      <c r="D7" t="s">
        <v>1657</v>
      </c>
    </row>
    <row r="8" spans="1:4" ht="17" x14ac:dyDescent="0.25">
      <c r="A8" t="s">
        <v>1653</v>
      </c>
      <c r="B8">
        <v>3</v>
      </c>
      <c r="C8" s="59" t="s">
        <v>1658</v>
      </c>
      <c r="D8" t="s">
        <v>1659</v>
      </c>
    </row>
    <row r="9" spans="1:4" ht="17" x14ac:dyDescent="0.25">
      <c r="A9" t="s">
        <v>1653</v>
      </c>
      <c r="B9">
        <v>4</v>
      </c>
      <c r="C9" s="59" t="s">
        <v>1660</v>
      </c>
      <c r="D9" t="s">
        <v>1661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pages</vt:lpstr>
      <vt:lpstr>landing_cards</vt:lpstr>
      <vt:lpstr>formula_blocks</vt:lpstr>
      <vt:lpstr>slot_content</vt:lpstr>
      <vt:lpstr>glyphlines</vt:lpstr>
      <vt:lpstr>tables</vt:lpstr>
      <vt:lpstr>tutorial_steps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Kutschka, Markus</dc:creator>
  <cp:lastModifiedBy>Kutschka, Markus</cp:lastModifiedBy>
  <dcterms:created xsi:type="dcterms:W3CDTF">2026-02-21T09:04:06Z</dcterms:created>
  <dcterms:modified xsi:type="dcterms:W3CDTF">2026-09-11T08:40:51Z</dcterms:modified>
</cp:coreProperties>
</file>