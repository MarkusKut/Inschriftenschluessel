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130B32DD-00A9-154D-B757-5DC8FD20783D}" xr6:coauthVersionLast="47" xr6:coauthVersionMax="47" xr10:uidLastSave="{00000000-0000-0000-0000-000000000000}"/>
  <bookViews>
    <workbookView xWindow="2640" yWindow="500" windowWidth="21640" windowHeight="19440" activeTab="3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91" i="4" l="1"/>
  <c r="L1087" i="4"/>
  <c r="L1079" i="4"/>
  <c r="L387" i="4"/>
  <c r="L361" i="4"/>
  <c r="L360" i="4"/>
  <c r="L356" i="4"/>
  <c r="L355" i="4"/>
  <c r="L354" i="4"/>
  <c r="L349" i="4"/>
  <c r="L348" i="4"/>
  <c r="L347" i="4"/>
  <c r="L346" i="4"/>
  <c r="L345" i="4"/>
  <c r="L344" i="4"/>
  <c r="L369" i="4"/>
  <c r="L370" i="4"/>
  <c r="L371" i="4"/>
  <c r="L372" i="4"/>
  <c r="L377" i="4"/>
  <c r="L381" i="4"/>
  <c r="L1070" i="4"/>
  <c r="L1069" i="4"/>
  <c r="L1068" i="4"/>
  <c r="L1067" i="4"/>
  <c r="L1066" i="4"/>
  <c r="L1065" i="4"/>
  <c r="L1064" i="4"/>
  <c r="L1063" i="4"/>
  <c r="L1062" i="4"/>
  <c r="L1061" i="4"/>
  <c r="L1060" i="4"/>
  <c r="L1053" i="4"/>
  <c r="L1052" i="4"/>
  <c r="L1051" i="4"/>
  <c r="L1050" i="4"/>
  <c r="L1049" i="4"/>
  <c r="L1043" i="4"/>
  <c r="L1042" i="4"/>
  <c r="L1041" i="4"/>
  <c r="L1040" i="4"/>
  <c r="L1039" i="4"/>
  <c r="L1038" i="4"/>
  <c r="L1037" i="4"/>
  <c r="L1036" i="4"/>
  <c r="L1026" i="4"/>
  <c r="L1025" i="4"/>
  <c r="L1024" i="4"/>
  <c r="L1023" i="4"/>
  <c r="L1016" i="4"/>
  <c r="L1013" i="4"/>
  <c r="L1012" i="4"/>
  <c r="L1011" i="4"/>
  <c r="L1010" i="4"/>
  <c r="L1009" i="4"/>
  <c r="L1008" i="4"/>
  <c r="L1007" i="4"/>
  <c r="L1006" i="4"/>
  <c r="L1005" i="4"/>
  <c r="L1004" i="4"/>
  <c r="L1003" i="4"/>
  <c r="L988" i="4"/>
  <c r="L987" i="4"/>
  <c r="L986" i="4"/>
  <c r="L985" i="4"/>
  <c r="L984" i="4"/>
  <c r="L975" i="4"/>
  <c r="L974" i="4"/>
  <c r="L973" i="4"/>
  <c r="L972" i="4"/>
  <c r="L962" i="4"/>
  <c r="L952" i="4"/>
  <c r="L942" i="4"/>
  <c r="L941" i="4"/>
  <c r="L929" i="4"/>
  <c r="L903" i="4"/>
  <c r="L889" i="4"/>
  <c r="L888" i="4"/>
  <c r="L878" i="4"/>
  <c r="L877" i="4"/>
  <c r="L876" i="4"/>
  <c r="L864" i="4"/>
  <c r="L859" i="4"/>
  <c r="L856" i="4"/>
  <c r="L855" i="4"/>
  <c r="L846" i="4"/>
  <c r="L845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18" i="4"/>
  <c r="L817" i="4"/>
  <c r="L816" i="4"/>
  <c r="L815" i="4"/>
  <c r="L814" i="4"/>
  <c r="L800" i="4"/>
  <c r="L799" i="4"/>
  <c r="L798" i="4"/>
  <c r="L797" i="4"/>
  <c r="L796" i="4"/>
  <c r="L795" i="4"/>
  <c r="L794" i="4"/>
  <c r="L787" i="4"/>
  <c r="L786" i="4"/>
  <c r="L785" i="4"/>
  <c r="L777" i="4"/>
  <c r="L776" i="4"/>
  <c r="L775" i="4"/>
  <c r="L774" i="4"/>
  <c r="L773" i="4"/>
  <c r="L764" i="4"/>
  <c r="L763" i="4"/>
  <c r="L762" i="4"/>
  <c r="L761" i="4"/>
  <c r="L760" i="4"/>
  <c r="L759" i="4"/>
  <c r="L751" i="4"/>
  <c r="L750" i="4"/>
  <c r="L749" i="4"/>
  <c r="L748" i="4"/>
  <c r="L747" i="4"/>
  <c r="L739" i="4"/>
  <c r="L718" i="4"/>
  <c r="L717" i="4"/>
  <c r="L716" i="4"/>
  <c r="L715" i="4"/>
  <c r="L682" i="4"/>
  <c r="L681" i="4"/>
  <c r="L680" i="4"/>
  <c r="L679" i="4"/>
  <c r="L678" i="4"/>
  <c r="L677" i="4"/>
  <c r="L676" i="4"/>
  <c r="L675" i="4"/>
  <c r="L674" i="4"/>
  <c r="L673" i="4"/>
  <c r="L659" i="4"/>
  <c r="L658" i="4"/>
  <c r="L657" i="4"/>
  <c r="L656" i="4"/>
  <c r="L651" i="4"/>
  <c r="L650" i="4"/>
  <c r="L649" i="4"/>
  <c r="L648" i="4"/>
  <c r="L641" i="4"/>
  <c r="L640" i="4"/>
  <c r="L639" i="4"/>
  <c r="L638" i="4"/>
  <c r="L637" i="4"/>
  <c r="L636" i="4"/>
  <c r="L635" i="4"/>
  <c r="L634" i="4"/>
  <c r="L633" i="4"/>
  <c r="L632" i="4"/>
  <c r="L631" i="4"/>
  <c r="L614" i="4"/>
  <c r="L613" i="4"/>
  <c r="L604" i="4"/>
  <c r="L603" i="4"/>
  <c r="L584" i="4"/>
  <c r="L583" i="4"/>
  <c r="L582" i="4"/>
  <c r="L581" i="4"/>
  <c r="L580" i="4"/>
  <c r="L566" i="4"/>
  <c r="L554" i="4"/>
  <c r="L553" i="4"/>
  <c r="L544" i="4"/>
  <c r="L543" i="4"/>
  <c r="L542" i="4"/>
  <c r="L541" i="4"/>
  <c r="L540" i="4"/>
  <c r="L539" i="4"/>
  <c r="L538" i="4"/>
  <c r="L515" i="4"/>
  <c r="L511" i="4"/>
  <c r="L507" i="4"/>
  <c r="L485" i="4"/>
  <c r="L484" i="4"/>
  <c r="L483" i="4"/>
  <c r="L469" i="4"/>
  <c r="L468" i="4"/>
  <c r="L467" i="4"/>
  <c r="L466" i="4"/>
  <c r="L455" i="4"/>
  <c r="L454" i="4"/>
  <c r="L453" i="4"/>
  <c r="L452" i="4"/>
  <c r="L451" i="4"/>
  <c r="L450" i="4"/>
  <c r="L449" i="4"/>
  <c r="L448" i="4"/>
  <c r="L447" i="4"/>
  <c r="L443" i="4"/>
  <c r="L432" i="4"/>
  <c r="L431" i="4"/>
  <c r="L423" i="4"/>
  <c r="L412" i="4"/>
  <c r="L399" i="4"/>
  <c r="L398" i="4"/>
  <c r="L397" i="4"/>
  <c r="L396" i="4"/>
  <c r="L290" i="4"/>
  <c r="L228" i="4"/>
  <c r="L227" i="4"/>
  <c r="L226" i="4"/>
  <c r="L201" i="4"/>
  <c r="L197" i="4"/>
  <c r="L193" i="4"/>
  <c r="L175" i="4"/>
  <c r="L166" i="4"/>
  <c r="L125" i="4"/>
  <c r="L123" i="4"/>
  <c r="L116" i="4"/>
  <c r="L109" i="4"/>
  <c r="L108" i="4"/>
  <c r="L107" i="4"/>
  <c r="L106" i="4"/>
  <c r="L105" i="4"/>
  <c r="L104" i="4"/>
  <c r="L103" i="4"/>
  <c r="L102" i="4"/>
  <c r="L101" i="4"/>
  <c r="L87" i="4"/>
  <c r="L86" i="4"/>
  <c r="L83" i="4"/>
  <c r="L82" i="4"/>
  <c r="L81" i="4"/>
  <c r="L79" i="4"/>
  <c r="L73" i="4"/>
  <c r="L71" i="4"/>
  <c r="L65" i="4"/>
  <c r="L64" i="4"/>
  <c r="L63" i="4"/>
  <c r="L56" i="4"/>
  <c r="L39" i="4"/>
  <c r="L33" i="4"/>
  <c r="L163" i="5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L270" i="4"/>
  <c r="L269" i="4"/>
  <c r="L78" i="5"/>
  <c r="L70" i="5"/>
  <c r="L66" i="5"/>
  <c r="L65" i="5"/>
  <c r="L243" i="4"/>
  <c r="L251" i="4"/>
  <c r="L247" i="4"/>
  <c r="L242" i="4"/>
  <c r="L248" i="4"/>
  <c r="L244" i="4"/>
  <c r="L312" i="4"/>
  <c r="L184" i="5"/>
  <c r="L185" i="5"/>
  <c r="L177" i="5"/>
  <c r="L178" i="5"/>
  <c r="L429" i="4"/>
  <c r="L430" i="4"/>
  <c r="L436" i="4"/>
  <c r="L440" i="4"/>
  <c r="L441" i="4"/>
  <c r="L442" i="4"/>
  <c r="L1035" i="4"/>
  <c r="L1034" i="4"/>
  <c r="L1033" i="4"/>
  <c r="L1022" i="4"/>
  <c r="L1014" i="4"/>
  <c r="L1015" i="4"/>
  <c r="L1002" i="4"/>
  <c r="L983" i="4"/>
  <c r="L976" i="4"/>
  <c r="L971" i="4"/>
  <c r="L970" i="4"/>
  <c r="L969" i="4"/>
  <c r="L960" i="4"/>
  <c r="L959" i="4"/>
  <c r="L961" i="4"/>
  <c r="L950" i="4"/>
  <c r="L951" i="4"/>
  <c r="L943" i="4"/>
  <c r="L938" i="4"/>
  <c r="L937" i="4"/>
  <c r="L940" i="4"/>
  <c r="L939" i="4"/>
  <c r="L930" i="4"/>
  <c r="L928" i="4"/>
  <c r="L919" i="4"/>
  <c r="L920" i="4"/>
  <c r="L915" i="4"/>
  <c r="L911" i="4"/>
  <c r="L907" i="4"/>
  <c r="L899" i="4"/>
  <c r="L895" i="4"/>
  <c r="L887" i="4"/>
  <c r="L886" i="4"/>
  <c r="L879" i="4"/>
  <c r="L875" i="4"/>
  <c r="L874" i="4"/>
  <c r="L873" i="4"/>
  <c r="L872" i="4"/>
  <c r="L857" i="4" l="1"/>
  <c r="L858" i="4"/>
  <c r="L854" i="4"/>
  <c r="L853" i="4"/>
  <c r="L844" i="4"/>
  <c r="L837" i="4"/>
  <c r="L813" i="4"/>
  <c r="L793" i="4"/>
  <c r="L784" i="4"/>
  <c r="L783" i="4"/>
  <c r="L772" i="4"/>
  <c r="L771" i="4"/>
  <c r="L758" i="4"/>
  <c r="L746" i="4"/>
  <c r="L735" i="4"/>
  <c r="L737" i="4"/>
  <c r="L736" i="4"/>
  <c r="L738" i="4"/>
  <c r="L727" i="4"/>
  <c r="L726" i="4"/>
  <c r="L729" i="4"/>
  <c r="L728" i="4"/>
  <c r="L725" i="4"/>
  <c r="L719" i="4"/>
  <c r="L714" i="4"/>
  <c r="L705" i="4"/>
  <c r="L706" i="4"/>
  <c r="L707" i="4"/>
  <c r="L697" i="4"/>
  <c r="L698" i="4"/>
  <c r="L688" i="4"/>
  <c r="L689" i="4"/>
  <c r="L672" i="4"/>
  <c r="L671" i="4"/>
  <c r="L664" i="4"/>
  <c r="L665" i="4"/>
  <c r="L655" i="4"/>
  <c r="L647" i="4"/>
  <c r="L646" i="4"/>
  <c r="L630" i="4"/>
  <c r="L624" i="4"/>
  <c r="L625" i="4"/>
  <c r="L620" i="4"/>
  <c r="L615" i="4"/>
  <c r="L612" i="4"/>
  <c r="L611" i="4"/>
  <c r="L602" i="4"/>
  <c r="L588" i="4"/>
  <c r="L579" i="4"/>
  <c r="L578" i="4"/>
  <c r="L565" i="4"/>
  <c r="L561" i="4"/>
  <c r="L560" i="4"/>
  <c r="L559" i="4"/>
  <c r="L558" i="4"/>
  <c r="L563" i="4"/>
  <c r="L562" i="4"/>
  <c r="L564" i="4"/>
  <c r="L551" i="4"/>
  <c r="L550" i="4"/>
  <c r="L552" i="4"/>
  <c r="L593" i="4"/>
  <c r="L589" i="4"/>
  <c r="L574" i="4"/>
  <c r="L570" i="4"/>
  <c r="L545" i="4"/>
  <c r="L537" i="4"/>
  <c r="L536" i="4"/>
  <c r="L535" i="4"/>
  <c r="L1054" i="4"/>
  <c r="L1027" i="4"/>
  <c r="L996" i="4"/>
  <c r="L995" i="4"/>
  <c r="L989" i="4"/>
  <c r="L977" i="4"/>
  <c r="L963" i="4"/>
  <c r="L953" i="4"/>
  <c r="L944" i="4"/>
  <c r="L931" i="4"/>
  <c r="L922" i="4"/>
  <c r="L921" i="4"/>
  <c r="L890" i="4"/>
  <c r="L880" i="4"/>
  <c r="L847" i="4"/>
  <c r="L838" i="4"/>
  <c r="L819" i="4"/>
  <c r="L807" i="4"/>
  <c r="L806" i="4"/>
  <c r="L765" i="4"/>
  <c r="L752" i="4"/>
  <c r="L740" i="4"/>
  <c r="L720" i="4"/>
  <c r="L700" i="4"/>
  <c r="L699" i="4"/>
  <c r="L691" i="4"/>
  <c r="L690" i="4"/>
  <c r="L663" i="4"/>
  <c r="L526" i="4"/>
  <c r="L525" i="4"/>
  <c r="L527" i="4"/>
  <c r="L528" i="4"/>
  <c r="L519" i="4"/>
  <c r="L503" i="4"/>
  <c r="L499" i="4"/>
  <c r="L495" i="4"/>
  <c r="L491" i="4"/>
  <c r="L482" i="4"/>
  <c r="L481" i="4"/>
  <c r="L475" i="4"/>
  <c r="L476" i="4"/>
  <c r="L465" i="4"/>
  <c r="L464" i="4"/>
  <c r="L463" i="4"/>
  <c r="L424" i="4"/>
  <c r="L422" i="4"/>
  <c r="L420" i="4"/>
  <c r="L419" i="4"/>
  <c r="L421" i="4"/>
  <c r="L411" i="4"/>
  <c r="L410" i="4"/>
  <c r="L408" i="4"/>
  <c r="L407" i="4"/>
  <c r="L409" i="4"/>
  <c r="L395" i="4"/>
  <c r="L393" i="4"/>
  <c r="L394" i="4"/>
  <c r="L341" i="4"/>
  <c r="L340" i="4"/>
  <c r="L339" i="4"/>
  <c r="L338" i="4"/>
  <c r="L337" i="4"/>
  <c r="L336" i="4"/>
  <c r="L335" i="4"/>
  <c r="L318" i="4" l="1"/>
  <c r="L315" i="4"/>
  <c r="L309" i="4"/>
  <c r="L308" i="4"/>
  <c r="L307" i="4"/>
  <c r="L304" i="4"/>
  <c r="L303" i="4"/>
  <c r="L302" i="4"/>
  <c r="L295" i="4"/>
  <c r="L289" i="4"/>
  <c r="L296" i="4"/>
  <c r="L284" i="4"/>
  <c r="L279" i="4"/>
  <c r="L274" i="4"/>
  <c r="L266" i="4"/>
  <c r="L256" i="4"/>
  <c r="L259" i="4"/>
  <c r="L262" i="4"/>
  <c r="L239" i="4"/>
  <c r="L236" i="4"/>
  <c r="L252" i="4"/>
  <c r="L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L224" i="4"/>
  <c r="L223" i="4"/>
  <c r="L225" i="4"/>
  <c r="L217" i="4"/>
  <c r="L216" i="4"/>
  <c r="L220" i="4"/>
  <c r="L219" i="4"/>
  <c r="L218" i="4"/>
  <c r="L189" i="4"/>
  <c r="L185" i="4"/>
  <c r="L184" i="4"/>
  <c r="L183" i="4"/>
  <c r="L179" i="4"/>
  <c r="L174" i="4"/>
  <c r="L173" i="4"/>
  <c r="L172" i="4"/>
  <c r="L171" i="4"/>
  <c r="L170" i="4"/>
  <c r="L162" i="4"/>
  <c r="L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L157" i="4"/>
  <c r="L156" i="4"/>
  <c r="L155" i="4"/>
  <c r="L151" i="4"/>
  <c r="L147" i="4"/>
  <c r="L143" i="4"/>
  <c r="L142" i="4"/>
  <c r="L137" i="4"/>
  <c r="L138" i="4"/>
  <c r="L133" i="4"/>
  <c r="L129" i="4"/>
  <c r="L124" i="4"/>
  <c r="L122" i="4"/>
  <c r="L121" i="4"/>
  <c r="L120" i="4"/>
  <c r="L115" i="4"/>
  <c r="L114" i="4"/>
  <c r="L113" i="4"/>
  <c r="L112" i="4"/>
  <c r="L111" i="4"/>
  <c r="L110" i="4"/>
  <c r="L100" i="4"/>
  <c r="L94" i="4"/>
  <c r="L95" i="4"/>
  <c r="L93" i="4"/>
  <c r="L96" i="4"/>
  <c r="L92" i="4"/>
  <c r="L91" i="4"/>
  <c r="L85" i="4"/>
  <c r="L84" i="4"/>
  <c r="L80" i="4"/>
  <c r="L78" i="4"/>
  <c r="L74" i="4"/>
  <c r="L72" i="4"/>
  <c r="L62" i="4"/>
  <c r="L67" i="4"/>
  <c r="L66" i="4"/>
  <c r="L58" i="4"/>
  <c r="L57" i="4"/>
  <c r="L55" i="4"/>
  <c r="L49" i="4"/>
  <c r="L50" i="4"/>
  <c r="L51" i="4"/>
  <c r="L48" i="4"/>
  <c r="L47" i="4"/>
  <c r="L46" i="4"/>
  <c r="L40" i="4"/>
  <c r="L41" i="4"/>
  <c r="L38" i="4"/>
  <c r="L42" i="4"/>
  <c r="L34" i="4"/>
  <c r="L32" i="4"/>
  <c r="L31" i="4"/>
</calcChain>
</file>

<file path=xl/sharedStrings.xml><?xml version="1.0" encoding="utf-8"?>
<sst xmlns="http://schemas.openxmlformats.org/spreadsheetml/2006/main" count="5889" uniqueCount="1366">
  <si>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</si>
  <si>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</si>
  <si>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</si>
  <si>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</si>
  <si>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</si>
  <si>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</si>
  <si>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</si>
  <si>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</si>
  <si>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</si>
  <si>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</si>
  <si>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</si>
  <si>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</si>
  <si>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</si>
  <si>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</si>
  <si>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</si>
  <si>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</si>
  <si>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</si>
  <si>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</si>
  <si>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</si>
  <si>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</si>
  <si>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</si>
  <si>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</si>
  <si>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</si>
  <si>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</si>
  <si>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</si>
  <si>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</si>
  <si>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</si>
  <si>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</si>
  <si>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</si>
  <si>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</si>
  <si>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</si>
  <si>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</si>
  <si>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</si>
  <si>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</si>
  <si>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</si>
  <si>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</si>
  <si>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</si>
  <si>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</si>
  <si>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</si>
  <si>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</si>
  <si>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</si>
  <si>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</si>
  <si>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</si>
  <si>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</si>
  <si>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</si>
  <si>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</si>
  <si>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</si>
  <si>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</si>
  <si>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</si>
  <si>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</si>
  <si>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</si>
  <si>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</si>
  <si>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</si>
  <si>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</si>
  <si>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</si>
  <si>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</si>
  <si>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</si>
  <si>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</si>
  <si>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</si>
  <si>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</si>
  <si>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</si>
  <si>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</si>
  <si>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</si>
  <si>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</si>
  <si>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</si>
  <si>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</si>
  <si>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</si>
  <si>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</si>
  <si>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</si>
  <si>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</si>
  <si>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</si>
  <si>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</si>
  <si>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</si>
  <si>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</si>
  <si>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</si>
  <si>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</si>
  <si>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</si>
  <si>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</si>
  <si>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</si>
  <si>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</si>
  <si>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</si>
  <si>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</si>
  <si>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</si>
  <si>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</si>
  <si>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</si>
  <si>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</si>
  <si>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</si>
  <si>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</si>
  <si>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</si>
  <si>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</si>
  <si>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</si>
  <si>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</si>
  <si>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</si>
  <si>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</si>
  <si>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</si>
  <si>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</si>
  <si>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</si>
  <si>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</si>
  <si>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</si>
  <si>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</si>
  <si>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</si>
  <si>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</si>
  <si>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</si>
  <si>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</si>
  <si>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</si>
  <si>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</si>
  <si>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</si>
  <si>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</si>
  <si>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</si>
  <si>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</si>
  <si>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</si>
  <si>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</si>
  <si>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</si>
  <si>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</si>
  <si>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</si>
  <si>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</si>
  <si>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</si>
  <si>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</si>
  <si>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</si>
  <si>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</si>
  <si>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</si>
  <si>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</si>
  <si>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</si>
  <si>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</si>
  <si>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</si>
  <si>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>epitheta/01_m-jp.t/</t>
  </si>
  <si>
    <t>0001_m-jp.t_01</t>
  </si>
  <si>
    <t>0001_Jmn-Ra_01</t>
  </si>
  <si>
    <t>Amun-Re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</si>
  <si>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</si>
  <si>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</si>
  <si>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</si>
  <si>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</si>
  <si>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</si>
  <si>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</si>
  <si>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</si>
  <si>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</si>
  <si>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</si>
  <si>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</si>
  <si>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</si>
  <si>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</si>
  <si>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</si>
  <si>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</si>
  <si>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</si>
  <si>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</si>
  <si>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</si>
  <si>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</si>
  <si>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</si>
  <si>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</si>
  <si>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</si>
  <si>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</si>
  <si>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</si>
  <si>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</si>
  <si>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</si>
  <si>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</si>
  <si>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</si>
  <si>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</si>
  <si>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</si>
  <si>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</si>
  <si>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</si>
  <si>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</si>
  <si>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</si>
  <si>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</si>
  <si>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</si>
  <si>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</si>
  <si>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</si>
  <si>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</si>
  <si>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</si>
  <si>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</si>
  <si>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</si>
  <si>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</si>
  <si>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</si>
  <si>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</si>
  <si>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</si>
  <si>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</si>
  <si>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</si>
  <si>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</si>
  <si>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</si>
  <si>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</si>
  <si>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</si>
  <si>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</si>
  <si>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</si>
  <si>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</si>
  <si>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</si>
  <si>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</si>
  <si>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</si>
  <si>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</si>
  <si>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</si>
  <si>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</si>
  <si>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</si>
  <si>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</si>
  <si>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</si>
  <si>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</si>
  <si>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</si>
  <si>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</si>
  <si>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</si>
  <si>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</si>
  <si>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</si>
  <si>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</si>
  <si>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</si>
  <si>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</si>
  <si>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</si>
  <si>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</si>
  <si>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</si>
  <si>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</si>
  <si>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</si>
  <si>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</si>
  <si>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</si>
  <si>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</si>
  <si>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</si>
  <si>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</si>
  <si>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</si>
  <si>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</si>
  <si>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</si>
  <si>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</si>
  <si>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</si>
  <si>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</si>
  <si>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</si>
  <si>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</si>
  <si>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</si>
  <si>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</si>
  <si>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</si>
  <si>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</si>
  <si>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</si>
  <si>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</si>
  <si>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</si>
  <si>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</si>
  <si>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</si>
  <si>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</si>
  <si>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>*šs*</t>
  </si>
  <si>
    <t>Alabaster</t>
  </si>
  <si>
    <t>0010_Ss_Abk_01</t>
  </si>
  <si>
    <t>0020_Ss_Abk_MR_01</t>
  </si>
  <si>
    <t>0001_Ss_det_01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</si>
  <si>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</si>
  <si>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</si>
  <si>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</si>
  <si>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</si>
  <si>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</si>
  <si>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</si>
  <si>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</si>
  <si>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</si>
  <si>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</si>
  <si>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</si>
  <si>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</si>
  <si>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</si>
  <si>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</si>
  <si>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</si>
  <si>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</si>
  <si>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</si>
  <si>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</si>
  <si>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</si>
  <si>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</si>
  <si>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</si>
  <si>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</si>
  <si>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</si>
  <si>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</si>
  <si>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</si>
  <si>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</si>
  <si>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</si>
  <si>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</si>
  <si>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</si>
  <si>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</si>
  <si>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</si>
  <si>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</si>
  <si>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</si>
  <si>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</si>
  <si>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</si>
  <si>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</si>
  <si>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</si>
  <si>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</si>
  <si>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</si>
  <si>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</si>
  <si>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</si>
  <si>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</si>
  <si>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</si>
  <si>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</si>
  <si>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</si>
  <si>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</si>
  <si>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</si>
  <si>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</si>
  <si>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</si>
  <si>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</si>
  <si>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</si>
  <si>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</si>
  <si>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</si>
  <si>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</si>
  <si>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</si>
  <si>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</si>
  <si>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</si>
  <si>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</si>
  <si>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</si>
  <si>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</si>
  <si>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</si>
  <si>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</si>
  <si>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</si>
  <si>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</si>
  <si>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</si>
  <si>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</si>
  <si>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</si>
  <si>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</si>
  <si>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</si>
  <si>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</si>
  <si>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</si>
  <si>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</si>
  <si>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</si>
  <si>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</si>
  <si>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</si>
  <si>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</si>
  <si>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</si>
  <si>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</si>
  <si>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</si>
  <si>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</si>
  <si>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</si>
  <si>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</si>
  <si>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</si>
  <si>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</si>
  <si>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</si>
  <si>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</si>
  <si>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</si>
  <si>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</si>
  <si>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</si>
  <si>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</si>
  <si>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</si>
  <si>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</si>
  <si>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</si>
  <si>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</si>
  <si>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</si>
  <si>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</si>
  <si>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</si>
  <si>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</si>
  <si>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</si>
  <si>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</si>
  <si>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</si>
  <si>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</si>
  <si>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</si>
  <si>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</si>
  <si>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</si>
  <si>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</si>
  <si>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</si>
  <si>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</si>
  <si>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</si>
  <si>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</si>
  <si>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</si>
  <si>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</si>
  <si>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</si>
  <si>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</si>
  <si>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</si>
  <si>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</si>
  <si>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</si>
  <si>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</si>
  <si>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</si>
  <si>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</si>
  <si>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</si>
  <si>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</si>
  <si>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</si>
  <si>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</si>
  <si>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</si>
  <si>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</si>
  <si>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</si>
  <si>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</si>
  <si>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</si>
  <si>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</si>
  <si>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</si>
  <si>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</si>
  <si>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</si>
  <si>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</si>
  <si>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</si>
  <si>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</si>
  <si>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</si>
  <si>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</si>
  <si>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</si>
  <si>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</si>
  <si>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</si>
  <si>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</si>
  <si>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</si>
  <si>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</si>
  <si>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</si>
  <si>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</si>
  <si>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</si>
  <si>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</si>
  <si>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</si>
  <si>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</si>
  <si>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</si>
  <si>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</si>
  <si>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</si>
  <si>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</si>
  <si>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</si>
  <si>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</si>
  <si>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</si>
  <si>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</si>
  <si>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</si>
  <si>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</si>
  <si>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</si>
  <si>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</si>
  <si>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</si>
  <si>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</si>
  <si>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</si>
  <si>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</si>
  <si>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</si>
  <si>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</si>
  <si>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</si>
  <si>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</si>
  <si>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</si>
  <si>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</si>
  <si>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</si>
  <si>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</si>
  <si>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</si>
  <si>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</si>
  <si>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</si>
  <si>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</si>
  <si>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</si>
  <si>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</si>
  <si>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</si>
  <si>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</si>
  <si>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</si>
  <si>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</si>
  <si>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</si>
  <si>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>*ḥw.t-ḥr*</t>
  </si>
  <si>
    <t>03_Smay.t-jmn_NR-3.Zw.Zt._01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</si>
  <si>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</si>
  <si>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</si>
  <si>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</si>
  <si>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</si>
  <si>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</si>
  <si>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</si>
  <si>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</si>
  <si>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</si>
  <si>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</si>
  <si>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</si>
  <si>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</si>
  <si>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</si>
  <si>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</si>
  <si>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</si>
  <si>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</si>
  <si>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</si>
  <si>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</si>
  <si>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</si>
  <si>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</si>
  <si>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</si>
  <si>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</si>
  <si>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</si>
  <si>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</si>
  <si>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</si>
  <si>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</si>
  <si>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</si>
  <si>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</si>
  <si>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</si>
  <si>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</si>
  <si>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</si>
  <si>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</si>
  <si>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</si>
  <si>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</si>
  <si>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</si>
  <si>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</si>
  <si>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</si>
  <si>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</si>
  <si>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</si>
  <si>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</si>
  <si>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</si>
  <si>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</si>
  <si>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</si>
  <si>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</si>
  <si>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</si>
  <si>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</si>
  <si>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</si>
  <si>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</si>
  <si>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</si>
  <si>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</si>
  <si>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</si>
  <si>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</si>
  <si>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</si>
  <si>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</si>
  <si>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</si>
  <si>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</si>
  <si>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</si>
  <si>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</si>
  <si>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</si>
  <si>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</si>
  <si>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</si>
  <si>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</si>
  <si>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</si>
  <si>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</si>
  <si>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</si>
  <si>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</si>
  <si>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</si>
  <si>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</si>
  <si>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</si>
  <si>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</si>
  <si>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</si>
  <si>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</si>
  <si>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</si>
  <si>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</si>
  <si>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</si>
  <si>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</si>
  <si>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</si>
  <si>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</si>
  <si>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</si>
  <si>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</si>
  <si>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</si>
  <si>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</si>
  <si>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</si>
  <si>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</si>
  <si>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</si>
  <si>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</si>
  <si>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</si>
  <si>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</si>
  <si>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</si>
  <si>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</si>
  <si>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</si>
  <si>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</si>
  <si>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</si>
  <si>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</si>
  <si>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</si>
  <si>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</si>
  <si>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</si>
  <si>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</si>
  <si>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</si>
  <si>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</si>
  <si>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</si>
  <si>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</si>
  <si>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</si>
  <si>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</si>
  <si>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</si>
  <si>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</si>
  <si>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</si>
  <si>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</si>
  <si>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</si>
  <si>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</si>
  <si>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</si>
  <si>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</si>
  <si>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</si>
  <si>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</si>
  <si>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</si>
  <si>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</si>
  <si>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</si>
  <si>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</si>
  <si>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</si>
  <si>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</si>
  <si>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</si>
  <si>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</si>
  <si>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</si>
  <si>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</si>
  <si>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</si>
  <si>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</si>
  <si>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</si>
  <si>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</si>
  <si>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</si>
  <si>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</si>
  <si>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</si>
  <si>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</si>
  <si>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</si>
  <si>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</si>
  <si>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</si>
  <si>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</si>
  <si>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</si>
  <si>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</si>
  <si>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</si>
  <si>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</si>
  <si>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</si>
  <si>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</si>
  <si>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</si>
  <si>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</si>
  <si>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</si>
  <si>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</si>
  <si>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</si>
  <si>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</si>
  <si>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</si>
  <si>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</si>
  <si>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</si>
  <si>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</si>
  <si>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</si>
  <si>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</si>
  <si>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</si>
  <si>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</si>
  <si>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</si>
  <si>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</si>
  <si>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</si>
  <si>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</si>
  <si>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</si>
  <si>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</si>
  <si>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</si>
  <si>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</si>
  <si>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</si>
  <si>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</si>
  <si>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</si>
  <si>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</si>
  <si>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</si>
  <si>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</si>
  <si>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</si>
  <si>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</si>
  <si>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</si>
  <si>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</si>
  <si>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</si>
  <si>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</si>
  <si>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</si>
  <si>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</si>
  <si>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</si>
  <si>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</si>
  <si>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</si>
  <si>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</si>
  <si>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</si>
  <si>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</si>
  <si>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</si>
  <si>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</si>
  <si>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</si>
  <si>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</si>
  <si>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</si>
  <si>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</si>
  <si>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</si>
  <si>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</si>
  <si>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</si>
  <si>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</si>
  <si>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</si>
  <si>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</si>
  <si>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</si>
  <si>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</si>
  <si>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</si>
  <si>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</si>
  <si>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</si>
  <si>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</si>
  <si>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</si>
  <si>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</si>
  <si>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</si>
  <si>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</si>
  <si>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</si>
  <si>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</si>
  <si>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</si>
  <si>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</si>
  <si>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</si>
  <si>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</si>
  <si>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</si>
  <si>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</si>
  <si>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</si>
  <si>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</si>
  <si>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</si>
  <si>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</si>
  <si>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</si>
  <si>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</si>
  <si>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</si>
  <si>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</si>
  <si>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</si>
  <si>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>*itm*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</si>
  <si>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</si>
  <si>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</si>
  <si>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</si>
  <si>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</si>
  <si>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</si>
  <si>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</si>
  <si>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</si>
  <si>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>tb_epith_aton_001</t>
  </si>
  <si>
    <t>tb_epith_atum_001</t>
  </si>
  <si>
    <t>epitheta/01_jwnwy/</t>
  </si>
  <si>
    <t>0001_jwnwy_01</t>
  </si>
  <si>
    <t>*iwn.wy*</t>
  </si>
  <si>
    <t>0010_jwnwy_02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</si>
  <si>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</si>
  <si>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</si>
  <si>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</si>
  <si>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</si>
  <si>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</si>
  <si>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</si>
  <si>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</si>
  <si>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</si>
  <si>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</si>
  <si>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</si>
  <si>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</si>
  <si>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</si>
  <si>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</si>
  <si>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</si>
  <si>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</si>
  <si>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</si>
  <si>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</si>
  <si>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</si>
  <si>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</si>
  <si>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</si>
  <si>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</si>
  <si>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</si>
  <si>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</si>
  <si>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</si>
  <si>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</si>
  <si>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</si>
  <si>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</si>
  <si>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</si>
  <si>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</si>
  <si>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</si>
  <si>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</si>
  <si>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</si>
  <si>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0001_wpj-wA.wt_01</t>
  </si>
  <si>
    <t>0010_wpj-wA.wt_02</t>
  </si>
  <si>
    <t>0020_wpj-wA.wt_03</t>
  </si>
  <si>
    <t>0040_wpj-wA.wt_04</t>
  </si>
  <si>
    <t>*wpi-wꜣ.wt*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</si>
  <si>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</si>
  <si>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</si>
  <si>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</si>
  <si>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</si>
  <si>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</si>
  <si>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</si>
  <si>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</si>
  <si>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</si>
  <si>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</si>
  <si>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</si>
  <si>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</si>
  <si>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</si>
  <si>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</si>
  <si>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</si>
  <si>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</si>
  <si>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</si>
  <si>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</si>
  <si>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</si>
  <si>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</si>
  <si>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</si>
  <si>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</si>
  <si>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</si>
  <si>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</si>
  <si>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</si>
  <si>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</si>
  <si>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</si>
  <si>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</si>
  <si>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</si>
  <si>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</si>
  <si>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</si>
  <si>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</si>
  <si>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</si>
  <si>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</si>
  <si>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</si>
  <si>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</si>
  <si>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</si>
  <si>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</si>
  <si>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</si>
  <si>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</si>
  <si>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</si>
  <si>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</si>
  <si>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</si>
  <si>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</si>
  <si>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</si>
  <si>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</si>
  <si>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</si>
  <si>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</si>
  <si>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</si>
  <si>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</si>
  <si>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</si>
  <si>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</si>
  <si>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</si>
  <si>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</si>
  <si>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</si>
  <si>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</si>
  <si>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</si>
  <si>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</si>
  <si>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</si>
  <si>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</si>
  <si>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</si>
  <si>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</si>
  <si>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</si>
  <si>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</si>
  <si>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</si>
  <si>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</si>
  <si>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</si>
  <si>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</si>
  <si>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</si>
  <si>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</si>
  <si>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</si>
  <si>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</si>
  <si>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</si>
  <si>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</si>
  <si>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</si>
  <si>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</si>
  <si>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</si>
  <si>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</si>
  <si>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</si>
  <si>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</si>
  <si>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</si>
  <si>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</si>
  <si>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</si>
  <si>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</si>
  <si>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</si>
  <si>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</si>
  <si>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</si>
  <si>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</si>
  <si>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</si>
  <si>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</si>
  <si>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</si>
  <si>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</si>
  <si>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</si>
  <si>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</si>
  <si>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</si>
  <si>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</si>
  <si>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</si>
  <si>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</si>
  <si>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</si>
  <si>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</si>
  <si>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</si>
  <si>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</si>
  <si>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</si>
  <si>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</si>
  <si>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</si>
  <si>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</si>
  <si>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</si>
  <si>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</si>
  <si>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</si>
  <si>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</si>
  <si>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</si>
  <si>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</si>
  <si>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</si>
  <si>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</si>
  <si>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</si>
  <si>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</si>
  <si>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</si>
  <si>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</si>
  <si>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</si>
  <si>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</si>
  <si>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</si>
  <si>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</si>
  <si>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</si>
  <si>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</si>
  <si>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</si>
  <si>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</si>
  <si>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</si>
  <si>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</si>
  <si>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</si>
  <si>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</si>
  <si>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</si>
  <si>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</si>
  <si>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</si>
  <si>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</si>
  <si>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</si>
  <si>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</si>
  <si>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</si>
  <si>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</si>
  <si>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</si>
  <si>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</si>
  <si>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</si>
  <si>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</si>
  <si>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</si>
  <si>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</si>
  <si>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</si>
  <si>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</si>
  <si>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</si>
  <si>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</si>
  <si>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</si>
  <si>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</si>
  <si>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</si>
  <si>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</si>
  <si>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</si>
  <si>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</si>
  <si>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</si>
  <si>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</si>
  <si>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</si>
  <si>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</si>
  <si>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</si>
  <si>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</si>
  <si>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</si>
  <si>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</si>
  <si>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</si>
  <si>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</si>
  <si>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</si>
  <si>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</si>
  <si>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</si>
  <si>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</si>
  <si>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</si>
  <si>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</si>
  <si>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</si>
  <si>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</si>
  <si>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</si>
  <si>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</si>
  <si>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</si>
  <si>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</si>
  <si>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</si>
  <si>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</si>
  <si>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</si>
  <si>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</si>
  <si>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</si>
  <si>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</si>
  <si>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</si>
  <si>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</si>
  <si>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</si>
  <si>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</si>
  <si>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</si>
  <si>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</si>
  <si>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</si>
  <si>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</si>
  <si>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</si>
  <si>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</si>
  <si>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</si>
  <si>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</si>
  <si>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</si>
  <si>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</si>
  <si>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</si>
  <si>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</si>
  <si>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</si>
  <si>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</si>
  <si>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</si>
  <si>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</si>
  <si>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</si>
  <si>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</si>
  <si>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</si>
  <si>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</si>
  <si>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</si>
  <si>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</si>
  <si>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</si>
  <si>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</si>
  <si>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</si>
  <si>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</si>
  <si>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</si>
  <si>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</si>
  <si>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</si>
  <si>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</si>
  <si>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</si>
  <si>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</si>
  <si>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</si>
  <si>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</si>
  <si>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</si>
  <si>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</si>
  <si>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</si>
  <si>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</si>
  <si>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</si>
  <si>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</si>
  <si>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</si>
  <si>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</si>
  <si>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</si>
  <si>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</si>
  <si>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</si>
  <si>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</si>
  <si>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</si>
  <si>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</si>
  <si>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</si>
  <si>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</si>
  <si>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</si>
  <si>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</si>
  <si>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</si>
  <si>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</si>
  <si>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</si>
  <si>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</si>
  <si>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</si>
  <si>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</si>
  <si>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</si>
  <si>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</si>
  <si>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</si>
  <si>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</si>
  <si>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</si>
  <si>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</si>
  <si>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</si>
  <si>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</si>
  <si>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</si>
  <si>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</si>
  <si>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</si>
  <si>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</si>
  <si>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</si>
  <si>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>tb_epith_apis_001</t>
  </si>
  <si>
    <t>epitheta/01_anx/</t>
  </si>
  <si>
    <t>0001_anx_seit-NR_01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</si>
  <si>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</si>
  <si>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</si>
  <si>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</si>
  <si>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</si>
  <si>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</si>
  <si>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</si>
  <si>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</si>
  <si>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</si>
  <si>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</si>
  <si>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</si>
  <si>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</si>
  <si>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</si>
  <si>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</si>
  <si>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</si>
  <si>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</si>
  <si>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</si>
  <si>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</si>
  <si>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</si>
  <si>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</si>
  <si>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</si>
  <si>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</si>
  <si>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</si>
  <si>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</si>
  <si>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</si>
  <si>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</si>
  <si>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</si>
  <si>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</si>
  <si>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</si>
  <si>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</si>
  <si>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</si>
  <si>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</si>
  <si>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</si>
  <si>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</si>
  <si>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</si>
  <si>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</si>
  <si>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</si>
  <si>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</si>
  <si>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</si>
  <si>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</si>
  <si>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</si>
  <si>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</si>
  <si>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</si>
  <si>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</si>
  <si>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</si>
  <si>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</si>
  <si>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</si>
  <si>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</si>
  <si>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</si>
  <si>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</si>
  <si>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</si>
  <si>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</si>
  <si>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</si>
  <si>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</si>
  <si>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</si>
  <si>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</si>
  <si>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</si>
  <si>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</si>
  <si>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</si>
  <si>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</si>
  <si>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</si>
  <si>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</si>
  <si>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</si>
  <si>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</si>
  <si>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</si>
  <si>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</si>
  <si>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</si>
  <si>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</si>
  <si>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</si>
  <si>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</si>
  <si>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</si>
  <si>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</si>
  <si>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</si>
  <si>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</si>
  <si>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</si>
  <si>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</si>
  <si>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</si>
  <si>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</si>
  <si>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</si>
  <si>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</si>
  <si>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</si>
  <si>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</si>
  <si>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</si>
  <si>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</si>
  <si>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</si>
  <si>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</si>
  <si>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</si>
  <si>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</si>
  <si>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</si>
  <si>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</si>
  <si>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</si>
  <si>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</si>
  <si>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</si>
  <si>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</si>
  <si>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</si>
  <si>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</si>
  <si>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</si>
  <si>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</si>
  <si>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</si>
  <si>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</si>
  <si>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</si>
  <si>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</si>
  <si>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</si>
  <si>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</si>
  <si>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</si>
  <si>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</si>
  <si>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</si>
  <si>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</si>
  <si>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</si>
  <si>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</si>
  <si>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</si>
  <si>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</si>
  <si>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</si>
  <si>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</si>
  <si>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</si>
  <si>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</si>
  <si>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</si>
  <si>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</si>
  <si>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</si>
  <si>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</si>
  <si>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</si>
  <si>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</si>
  <si>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</si>
  <si>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</si>
  <si>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</si>
  <si>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</si>
  <si>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</si>
  <si>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</si>
  <si>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</si>
  <si>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</si>
  <si>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</si>
  <si>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</si>
  <si>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</si>
  <si>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</si>
  <si>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</si>
  <si>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</si>
  <si>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</si>
  <si>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</si>
  <si>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</si>
  <si>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</si>
  <si>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</si>
  <si>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</si>
  <si>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</si>
  <si>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</si>
  <si>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</si>
  <si>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</si>
  <si>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</si>
  <si>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</si>
  <si>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</si>
  <si>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</si>
  <si>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</si>
  <si>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</si>
  <si>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</si>
  <si>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</si>
  <si>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</si>
  <si>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</si>
  <si>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</si>
  <si>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</si>
  <si>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</si>
  <si>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</si>
  <si>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</si>
  <si>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</si>
  <si>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</si>
  <si>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</si>
  <si>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</si>
  <si>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</si>
  <si>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</si>
  <si>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</si>
  <si>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</si>
  <si>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</si>
  <si>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</si>
  <si>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</si>
  <si>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</si>
  <si>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</si>
  <si>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</si>
  <si>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</si>
  <si>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</si>
  <si>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</si>
  <si>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</si>
  <si>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</si>
  <si>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</si>
  <si>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</si>
  <si>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</si>
  <si>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</si>
  <si>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</si>
  <si>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</si>
  <si>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</si>
  <si>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</si>
  <si>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</si>
  <si>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</si>
  <si>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</si>
  <si>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</si>
  <si>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</si>
  <si>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</si>
  <si>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</si>
  <si>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</si>
  <si>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</si>
  <si>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</si>
  <si>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</si>
  <si>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</si>
  <si>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</si>
  <si>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</si>
  <si>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(NR)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</si>
  <si>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</si>
  <si>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</si>
  <si>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</si>
  <si>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</si>
  <si>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</si>
  <si>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</si>
  <si>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</si>
  <si>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</si>
  <si>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</si>
  <si>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</si>
  <si>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</si>
  <si>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</si>
  <si>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</si>
  <si>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</si>
  <si>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</si>
  <si>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</si>
  <si>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</si>
  <si>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</si>
  <si>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</si>
  <si>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</si>
  <si>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</si>
  <si>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</si>
  <si>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</si>
  <si>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</si>
  <si>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</si>
  <si>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</si>
  <si>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</si>
  <si>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</si>
  <si>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</si>
  <si>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</si>
  <si>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</si>
  <si>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</si>
  <si>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</si>
  <si>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</si>
  <si>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</si>
  <si>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(AR; MR)</t>
  </si>
  <si>
    <t>(Spät.)</t>
  </si>
  <si>
    <t xml:space="preserve"> &lt;sup&gt;(AR; MR)&lt;/sup&gt;</t>
  </si>
  <si>
    <t xml:space="preserve"> &lt;sup&gt;(Ende NR)&lt;/sup&gt;</t>
  </si>
  <si>
    <t xml:space="preserve"> &lt;sup&gt;(Spät.)&lt;/sup&gt;</t>
  </si>
  <si>
    <t xml:space="preserve"> &lt;sup&gt;(seit MR)&lt;/sup&gt;</t>
  </si>
  <si>
    <t xml:space="preserve"> &lt;sup&gt;(NR)&lt;/sup&gt;</t>
  </si>
  <si>
    <t xml:space="preserve"> &lt;sup&gt;(AR)&lt;/sup&gt;</t>
  </si>
  <si>
    <t xml:space="preserve"> &lt;sup&gt;(Gr.)&lt;/sup&gt;</t>
  </si>
  <si>
    <t xml:space="preserve"> &lt;sup&gt;</t>
  </si>
  <si>
    <t>(AR)</t>
  </si>
  <si>
    <t>&lt;/sup&gt;</t>
  </si>
  <si>
    <t>(Gr.)</t>
  </si>
  <si>
    <t>(MR)</t>
  </si>
  <si>
    <t>(Dyn.18)</t>
  </si>
  <si>
    <t>(Dyn.19)</t>
  </si>
  <si>
    <t>(röm.)</t>
  </si>
  <si>
    <t>(D.18)</t>
  </si>
  <si>
    <t>(Sp.)</t>
  </si>
  <si>
    <t>(Pyr.)</t>
  </si>
  <si>
    <t>(Saït.)</t>
  </si>
  <si>
    <t>(Sp.–Gr.)</t>
  </si>
  <si>
    <t>(D.19)</t>
  </si>
  <si>
    <t>(Ende AR)</t>
  </si>
  <si>
    <t>(NR; 3.Zw.Zt.)</t>
  </si>
  <si>
    <t>(MR; NR; Gr.)</t>
  </si>
  <si>
    <t>(Pyr.; NR)</t>
  </si>
  <si>
    <t>(MR; Sp.)</t>
  </si>
  <si>
    <t>(Sp.; Gr.)</t>
  </si>
  <si>
    <t>(ab NR)</t>
  </si>
  <si>
    <t>(seit NR)</t>
  </si>
  <si>
    <t>(AR; Sp.)</t>
  </si>
  <si>
    <t>*di(⸗i) n⸗k*</t>
  </si>
  <si>
    <t>*ꜣs.t*</t>
  </si>
  <si>
    <t>02_Slots/Gottheit/Goetter-mit-Epitheta/0010_Isis/</t>
  </si>
  <si>
    <t>02_Slots/Gottheit/Goetter-mit-Epitheta/0020_Amun/</t>
  </si>
  <si>
    <t>02_Slots/Gottheit/Goetter-mit-Epitheta/0030_Amun-Re/</t>
  </si>
  <si>
    <t>02_Slots/Gottheit/Goetter-mit-Epitheta/0040_Amun-Re-Harachte/</t>
  </si>
  <si>
    <t>0001_jmn-ra-Hr-Axtj_01</t>
  </si>
  <si>
    <t>*imn-rꜥ-ḥr-ꜣḫ.ti*</t>
  </si>
  <si>
    <t>02_Slots/Gottheit/Goetter-mit-Epitheta/0050_Amset/</t>
  </si>
  <si>
    <t>02_Slots/Gottheit/Goetter-mit-Epitheta/0060_Onuris/</t>
  </si>
  <si>
    <t>02_Slots/Gottheit/Goetter-mit-Epitheta/0070_Anubis/</t>
  </si>
  <si>
    <t>02_Slots/Gottheit/Goetter-mit-Epitheta/0080_Atum/</t>
  </si>
  <si>
    <t>02_Slots/Gottheit/Goetter-mit-Epitheta/0090_Aton/</t>
  </si>
  <si>
    <t>02_Slots/Gottheit/Goetter-mit-Epitheta/0100_Wepwaut/</t>
  </si>
  <si>
    <t>02_Slots/Gottheit/Goetter-mit-Epitheta/0110_Osiris/</t>
  </si>
  <si>
    <t>02_Slots/Gottheit/Goetter-mit-Epitheta/0120_Bastet/</t>
  </si>
  <si>
    <t>02_Slots/Gottheit/Goetter-mit-Epitheta/0130_Behedeti/</t>
  </si>
  <si>
    <t>02_Slots/Gottheit/Goetter-mit-Epitheta/0140_Goetterneunheit/</t>
  </si>
  <si>
    <t>02_Slots/Gottheit/Goetter-mit-Epitheta/0150_Ptah/</t>
  </si>
  <si>
    <t>02_Slots/Gottheit/Goetter-mit-Epitheta/0160_Maat/</t>
  </si>
  <si>
    <t>02_Slots/Gottheit/Goetter-mit-Epitheta/0170_Min/</t>
  </si>
  <si>
    <t>02_Slots/Gottheit/Goetter-mit-Epitheta/0180_Mut/</t>
  </si>
  <si>
    <t>02_Slots/Gottheit/Goetter-mit-Epitheta/0190_Month/</t>
  </si>
  <si>
    <t>02_Slots/Gottheit/Goetter-mit-Epitheta/0200_Neith/</t>
  </si>
  <si>
    <t>02_Slots/Gottheit/Goetter-mit-Epitheta/0210_Nut/</t>
  </si>
  <si>
    <t>02_Slots/Gottheit/Goetter-mit-Epitheta/0220_Nephthys/</t>
  </si>
  <si>
    <t>02_Slots/Gottheit/Goetter-mit-Epitheta/0230_Nefertem/</t>
  </si>
  <si>
    <t>02_Slots/Gottheit/Goetter-mit-Epitheta/0240_Nechbet/</t>
  </si>
  <si>
    <t>02_Slots/Gottheit/Goetter-mit-Epitheta/0250_Re/</t>
  </si>
  <si>
    <t>02_Slots/Gottheit/Goetter-mit-Epitheta/0260_Re-Harachte/</t>
  </si>
  <si>
    <t>02_Slots/Gottheit/Goetter-mit-Epitheta/0270_Renenutet/</t>
  </si>
  <si>
    <t>02_Slots/Gottheit/Goetter-mit-Epitheta/0280_Hapi-Nilgott/</t>
  </si>
  <si>
    <t>02_Slots/Gottheit/Goetter-mit-Epitheta/0290_Hathor/</t>
  </si>
  <si>
    <t>02_Slots/Gottheit/Goetter-mit-Epitheta/0300_Apis/</t>
  </si>
  <si>
    <t>02_Slots/Gottheit/Goetter-mit-Epitheta/0310_Hapi-Horussohn/</t>
  </si>
  <si>
    <t>02_Slots/Gottheit/Goetter-mit-Epitheta/0320_Horus/</t>
  </si>
  <si>
    <t>02_Slots/Gottheit/Goetter-mit-Epitheta/0330_Harachte/</t>
  </si>
  <si>
    <t>02_Slots/Gottheit/Goetter-mit-Epitheta/0340_Heqet/</t>
  </si>
  <si>
    <t>02_Slots/Gottheit/Goetter-mit-Epitheta/0350_Chnum/</t>
  </si>
  <si>
    <t>02_Slots/Gottheit/Goetter-mit-Epitheta/0360_Chons/</t>
  </si>
  <si>
    <t>02_Slots/Gottheit/Goetter-mit-Epitheta/0370_Sobek/</t>
  </si>
  <si>
    <t>02_Slots/Gottheit/Goetter-mit-Epitheta/0380_Selkis/</t>
  </si>
  <si>
    <t>02_Slots/Gottheit/Goetter-mit-Epitheta/0390_Sachmet/</t>
  </si>
  <si>
    <t>02_Slots/Gottheit/Goetter-mit-Epitheta/0400_Sokar/</t>
  </si>
  <si>
    <t>02_Slots/Gottheit/Goetter-mit-Epitheta/0410_Seth/</t>
  </si>
  <si>
    <t>02_Slots/Gottheit/Goetter-mit-Epitheta/0420_Schu/</t>
  </si>
  <si>
    <t>02_Slots/Gottheit/Goetter-mit-Epitheta/0430_Qebehsenuef/</t>
  </si>
  <si>
    <t>02_Slots/Gottheit/Goetter-mit-Epitheta/0440_Duamutef/</t>
  </si>
  <si>
    <t>02_Slots/Gottheit/Goetter-mit-Epitheta/0450_Thot/</t>
  </si>
  <si>
    <t>Filiationsangabe</t>
  </si>
  <si>
    <t>AR:</t>
  </si>
  <si>
    <t>MR:</t>
  </si>
  <si>
    <t>ab NR:</t>
  </si>
  <si>
    <t>gl_person_filiation_AR</t>
  </si>
  <si>
    <t>gl_person_filiation_MR</t>
  </si>
  <si>
    <t>gl_person_filiation_NR</t>
  </si>
  <si>
    <t>(= Vater)</t>
  </si>
  <si>
    <t>*sꜣ⸗f*</t>
  </si>
  <si>
    <t>(= Sohn)</t>
  </si>
  <si>
    <t>*sꜣ*</t>
  </si>
  <si>
    <t>bei Töchtern: *sꜣ.t* „Tochter“( statt *sꜣ*)</t>
  </si>
  <si>
    <t>bei Müttern im AR: *sꜣ⸗s*</t>
  </si>
  <si>
    <t>seltenHierogl</t>
  </si>
  <si>
    <t>Seltene Hieroglphen</t>
  </si>
  <si>
    <t>pages/seltenHierogl</t>
  </si>
  <si>
    <t>Hieroglyphe</t>
  </si>
  <si>
    <t>tb_seltenHierogl_GardF</t>
  </si>
  <si>
    <t>A – Der Mann und seine Tätigkeiten</t>
  </si>
  <si>
    <t>B – Die Frau und ihre Tätigkeiten</t>
  </si>
  <si>
    <t>C – Gottheiten in Menschengestalt</t>
  </si>
  <si>
    <t>D – Teile des menschlichen Körpers</t>
  </si>
  <si>
    <t>E – Säugetiere</t>
  </si>
  <si>
    <t>F – Teile von Säugetieren</t>
  </si>
  <si>
    <t>G – Vögel</t>
  </si>
  <si>
    <t>H – Teile von Vögeln</t>
  </si>
  <si>
    <t>I – Amphibien und Reptilien</t>
  </si>
  <si>
    <t>K – Fische und Teile von Fischen</t>
  </si>
  <si>
    <t>L – Wirbellose und andere Tiere</t>
  </si>
  <si>
    <t>M – Bäume und andere Pflanzen</t>
  </si>
  <si>
    <t>N – Himmel, Erde und Wasser</t>
  </si>
  <si>
    <t>O – Gebäude und Teile von Gebäuden</t>
  </si>
  <si>
    <t>P – Schiffe und Teile von Schiffen</t>
  </si>
  <si>
    <t>Q – Möbel</t>
  </si>
  <si>
    <t>R – Tempel</t>
  </si>
  <si>
    <t>S – Kronen</t>
  </si>
  <si>
    <t>T – Krieg, Jagd und Schlachterei</t>
  </si>
  <si>
    <t>U – Landwirtschaft und Handwerk</t>
  </si>
  <si>
    <t>V – Seil, Faser, Korb usw.</t>
  </si>
  <si>
    <t>W – Stein- und Tongefäße</t>
  </si>
  <si>
    <t>X – Laibe und Kuchen</t>
  </si>
  <si>
    <t>Y – Schreiben, Spiele und Musik</t>
  </si>
  <si>
    <t>Z – Geometrische Figuren</t>
  </si>
  <si>
    <t>Aa – unklassifizierte Hieroglyphen</t>
  </si>
  <si>
    <t>tb_seltenHierogl_GardA</t>
  </si>
  <si>
    <t>tb_seltenHierogl_GardB</t>
  </si>
  <si>
    <t>tb_seltenHierogl_GardC</t>
  </si>
  <si>
    <t>tb_seltenHierogl_GardD</t>
  </si>
  <si>
    <t>tb_seltenHierogl_GardE</t>
  </si>
  <si>
    <t>tb_seltenHierogl_GardG</t>
  </si>
  <si>
    <t>tb_seltenHierogl_GardH</t>
  </si>
  <si>
    <t>tb_seltenHierogl_GardI</t>
  </si>
  <si>
    <t>tb_seltenHierogl_GardK</t>
  </si>
  <si>
    <t>tb_seltenHierogl_GardL</t>
  </si>
  <si>
    <t>tb_seltenHierogl_GardM</t>
  </si>
  <si>
    <t>tb_seltenHierogl_GardN</t>
  </si>
  <si>
    <t>tb_seltenHierogl_GardO</t>
  </si>
  <si>
    <t>tb_seltenHierogl_GardP</t>
  </si>
  <si>
    <t>tb_seltenHierogl_GardQ</t>
  </si>
  <si>
    <t>tb_seltenHierogl_GardR</t>
  </si>
  <si>
    <t>tb_seltenHierogl_GardS</t>
  </si>
  <si>
    <t>tb_seltenHierogl_GardT</t>
  </si>
  <si>
    <t>tb_seltenHierogl_GardU</t>
  </si>
  <si>
    <t>tb_seltenHierogl_GardV</t>
  </si>
  <si>
    <t>tb_seltenHierogl_GardW</t>
  </si>
  <si>
    <t>tb_seltenHierogl_GardX</t>
  </si>
  <si>
    <t>tb_seltenHierogl_GardY</t>
  </si>
  <si>
    <t>tb_seltenHierogl_GardZ</t>
  </si>
  <si>
    <t>tb_seltenHierogl_GardAa</t>
  </si>
  <si>
    <t>F63_xnty_01</t>
  </si>
  <si>
    <t>03_Hieroglyphen-selten/</t>
  </si>
  <si>
    <t>*ḫnty*</t>
  </si>
  <si>
    <t>vorn befindlich</t>
  </si>
  <si>
    <t>Gardiner-Nr.</t>
  </si>
  <si>
    <t>F63</t>
  </si>
  <si>
    <t>N6B</t>
  </si>
  <si>
    <t>N6B_nsw-bjt_01</t>
  </si>
  <si>
    <t>König von Ober- und Unterägypten</t>
  </si>
  <si>
    <t>N102_jmn_01</t>
  </si>
  <si>
    <t>N102</t>
  </si>
  <si>
    <t>projekt</t>
  </si>
  <si>
    <t>Projekt</t>
  </si>
  <si>
    <t>pages/projekt</t>
  </si>
  <si>
    <t>Version:</t>
  </si>
  <si>
    <t>RStudio 2025.09.1+401 "Cucumberleaf Sunflower" Release (20de356561bd58a6d88927cce948bd076d06e4ca, 2025-09-23) for macOS</t>
  </si>
  <si>
    <t>Mozilla/5.0 (Macintosh; Intel Mac OS X 10_15_7)</t>
  </si>
  <si>
    <t>AppleWebKit/537.36 (KHTML, like Gecko)</t>
  </si>
  <si>
    <t>RStudio/2025.09.1+401</t>
  </si>
  <si>
    <t>Chrome/138.0.7204.185</t>
  </si>
  <si>
    <t>Github:</t>
  </si>
  <si>
    <t>&lt;https://github.com/MarkusKut/Inschriftenschluessel.git&gt;</t>
  </si>
  <si>
    <t>Mitarbeiter:</t>
  </si>
  <si>
    <t>- **Recherche, Datengrundlage:** Iulia Comșa</t>
  </si>
  <si>
    <t>- **Programmierung, Hieroglyphensetzung:** Markus Kutschka</t>
  </si>
  <si>
    <t>Diese Website wurde mit Quarto unter R erstellt:</t>
  </si>
  <si>
    <t>- **Projektleitung:** Prof. Dr. Friedhelm Hoffmann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</si>
</sst>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0" fillId="9" borderId="0" xfId="0" applyFill="1"/>
    <xf numFmtId="0" fontId="3" fillId="0" borderId="0" xfId="1" applyFill="1"/>
    <xf numFmtId="0" fontId="0" fillId="0" borderId="0" xfId="0" quotePrefix="1" applyAlignment="1">
      <alignment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rkusKut/Inschriftenschluessel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8"/>
  <sheetViews>
    <sheetView zoomScaleNormal="150" workbookViewId="0">
      <selection activeCell="D18" sqref="D1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323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363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450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463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561</v>
      </c>
      <c r="D8" s="21" t="s">
        <v>73</v>
      </c>
      <c r="F8" s="21">
        <v>60</v>
      </c>
    </row>
    <row r="9" spans="1:6" s="31" customFormat="1" x14ac:dyDescent="0.2">
      <c r="A9" s="31" t="s">
        <v>67</v>
      </c>
      <c r="B9" s="31" t="s">
        <v>11</v>
      </c>
      <c r="C9" s="31" t="s">
        <v>1137</v>
      </c>
      <c r="D9" s="31" t="s">
        <v>74</v>
      </c>
      <c r="F9" s="31">
        <v>70</v>
      </c>
    </row>
    <row r="10" spans="1:6" x14ac:dyDescent="0.2">
      <c r="A10" t="s">
        <v>68</v>
      </c>
      <c r="B10" t="s">
        <v>11</v>
      </c>
      <c r="C10" t="s">
        <v>1138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326</v>
      </c>
      <c r="D14" t="s">
        <v>81</v>
      </c>
      <c r="F14">
        <v>130</v>
      </c>
    </row>
    <row r="15" spans="1:6" x14ac:dyDescent="0.2">
      <c r="A15" t="s">
        <v>468</v>
      </c>
      <c r="B15" t="s">
        <v>14</v>
      </c>
      <c r="C15" t="s">
        <v>483</v>
      </c>
      <c r="D15" t="s">
        <v>469</v>
      </c>
      <c r="F15">
        <v>140</v>
      </c>
    </row>
    <row r="16" spans="1:6" x14ac:dyDescent="0.2">
      <c r="A16" t="s">
        <v>565</v>
      </c>
      <c r="B16" t="s">
        <v>14</v>
      </c>
      <c r="C16" t="s">
        <v>564</v>
      </c>
      <c r="D16" t="s">
        <v>566</v>
      </c>
      <c r="F16">
        <v>150</v>
      </c>
    </row>
    <row r="17" spans="1:6" x14ac:dyDescent="0.2">
      <c r="A17" t="s">
        <v>1283</v>
      </c>
      <c r="B17" t="s">
        <v>14</v>
      </c>
      <c r="C17" t="s">
        <v>1284</v>
      </c>
      <c r="D17" t="s">
        <v>1285</v>
      </c>
      <c r="F17">
        <v>160</v>
      </c>
    </row>
    <row r="18" spans="1:6" x14ac:dyDescent="0.2">
      <c r="A18" t="s">
        <v>1350</v>
      </c>
      <c r="B18" t="s">
        <v>14</v>
      </c>
      <c r="C18" t="s">
        <v>1351</v>
      </c>
      <c r="D18" t="s">
        <v>1352</v>
      </c>
      <c r="F18">
        <v>170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A8" sqref="A8:XFD8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324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323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363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450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463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561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17" zoomScale="108" zoomScaleNormal="90" workbookViewId="0">
      <selection activeCell="C31" sqref="C3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324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183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186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325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349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350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354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356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355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364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365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383</v>
      </c>
      <c r="E18" s="13" t="s">
        <v>1121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552</v>
      </c>
      <c r="E19" s="13" t="s">
        <v>1123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556</v>
      </c>
      <c r="E20" s="13" t="s">
        <v>1122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451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1106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456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464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466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465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563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1" t="s">
        <v>562</v>
      </c>
      <c r="D31" s="22" t="s">
        <v>569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570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587</v>
      </c>
      <c r="D33" s="22" t="s">
        <v>573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564</v>
      </c>
      <c r="D34" s="22" t="s">
        <v>574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568</v>
      </c>
      <c r="D35" s="22" t="s">
        <v>575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98"/>
  <sheetViews>
    <sheetView tabSelected="1" topLeftCell="A85" zoomScale="125" workbookViewId="0">
      <selection activeCell="E89" sqref="E89"/>
    </sheetView>
  </sheetViews>
  <sheetFormatPr baseColWidth="10" defaultColWidth="7.6640625" defaultRowHeight="16" x14ac:dyDescent="0.2"/>
  <cols>
    <col min="1" max="1" width="12" style="4" bestFit="1" customWidth="1"/>
    <col min="2" max="2" width="11.1640625" style="4" customWidth="1"/>
    <col min="3" max="3" width="7.33203125" style="4" bestFit="1" customWidth="1"/>
    <col min="4" max="4" width="30.1640625" style="4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172</v>
      </c>
      <c r="I1" s="30" t="s">
        <v>1089</v>
      </c>
      <c r="J1" s="30" t="s">
        <v>1096</v>
      </c>
      <c r="K1" s="3" t="s">
        <v>324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1097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173</v>
      </c>
      <c r="J5" s="2" t="s">
        <v>1098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187</v>
      </c>
      <c r="E7" s="2" t="s">
        <v>1184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188</v>
      </c>
      <c r="F8" s="4" t="s">
        <v>199</v>
      </c>
      <c r="G8" s="4" t="s">
        <v>54</v>
      </c>
      <c r="J8" s="2" t="s">
        <v>1098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1159</v>
      </c>
      <c r="F9" s="4" t="s">
        <v>196</v>
      </c>
      <c r="G9" s="4" t="s">
        <v>54</v>
      </c>
      <c r="J9" s="2" t="s">
        <v>1098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1160</v>
      </c>
      <c r="F10" s="4" t="s">
        <v>197</v>
      </c>
      <c r="G10" s="4" t="s">
        <v>54</v>
      </c>
      <c r="J10" s="2" t="s">
        <v>1099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1161</v>
      </c>
      <c r="F11" s="4" t="s">
        <v>198</v>
      </c>
      <c r="G11" s="4" t="s">
        <v>54</v>
      </c>
      <c r="J11" s="2" t="s">
        <v>1098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1182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1162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407</v>
      </c>
      <c r="F15" s="4" t="s">
        <v>384</v>
      </c>
      <c r="G15" s="4" t="s">
        <v>54</v>
      </c>
      <c r="J15" s="2" t="s">
        <v>1099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408</v>
      </c>
      <c r="F16" s="4" t="s">
        <v>409</v>
      </c>
      <c r="G16" s="4" t="s">
        <v>54</v>
      </c>
      <c r="J16" s="2" t="s">
        <v>1099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1163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26</v>
      </c>
      <c r="C18" s="4" t="s">
        <v>55</v>
      </c>
      <c r="E18" s="2" t="s">
        <v>422</v>
      </c>
      <c r="G18" s="4" t="s">
        <v>54</v>
      </c>
      <c r="I18" s="5"/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G19" s="4" t="s">
        <v>54</v>
      </c>
      <c r="I19" s="5" t="s">
        <v>1090</v>
      </c>
      <c r="J19" s="5"/>
      <c r="K19" s="4">
        <v>7</v>
      </c>
    </row>
    <row r="20" spans="1:11" ht="34" x14ac:dyDescent="0.2">
      <c r="A20" s="4" t="s">
        <v>77</v>
      </c>
      <c r="B20" s="4" t="s">
        <v>26</v>
      </c>
      <c r="C20" s="4" t="s">
        <v>55</v>
      </c>
      <c r="E20" s="2" t="s">
        <v>427</v>
      </c>
      <c r="G20" s="4" t="s">
        <v>54</v>
      </c>
      <c r="I20" s="5"/>
      <c r="J20" s="5"/>
      <c r="K20" s="4">
        <v>8</v>
      </c>
    </row>
    <row r="21" spans="1:11" ht="34" x14ac:dyDescent="0.2">
      <c r="A21" s="4" t="s">
        <v>77</v>
      </c>
      <c r="B21" s="4" t="s">
        <v>24</v>
      </c>
      <c r="C21" s="4" t="s">
        <v>55</v>
      </c>
      <c r="G21" s="4" t="s">
        <v>54</v>
      </c>
      <c r="I21" s="5" t="s">
        <v>1091</v>
      </c>
      <c r="J21" s="5"/>
      <c r="K21" s="4">
        <v>9</v>
      </c>
    </row>
    <row r="22" spans="1:11" ht="34" x14ac:dyDescent="0.2">
      <c r="A22" s="4" t="s">
        <v>77</v>
      </c>
      <c r="B22" s="4" t="s">
        <v>28</v>
      </c>
      <c r="C22" s="4" t="s">
        <v>55</v>
      </c>
      <c r="D22" s="4" t="s">
        <v>1164</v>
      </c>
      <c r="F22" s="4" t="s">
        <v>431</v>
      </c>
      <c r="G22" s="4" t="s">
        <v>54</v>
      </c>
      <c r="J22" s="2" t="s">
        <v>1097</v>
      </c>
      <c r="K22" s="4">
        <v>10</v>
      </c>
    </row>
    <row r="23" spans="1:11" ht="51" x14ac:dyDescent="0.2">
      <c r="A23" s="4" t="s">
        <v>77</v>
      </c>
      <c r="B23" s="4" t="s">
        <v>28</v>
      </c>
      <c r="C23" s="4" t="s">
        <v>55</v>
      </c>
      <c r="D23" s="4" t="s">
        <v>1165</v>
      </c>
      <c r="F23" s="4" t="s">
        <v>439</v>
      </c>
      <c r="G23" s="4" t="s">
        <v>54</v>
      </c>
      <c r="J23" s="2" t="s">
        <v>1099</v>
      </c>
      <c r="K23" s="4">
        <v>11</v>
      </c>
    </row>
    <row r="24" spans="1:11" x14ac:dyDescent="0.2">
      <c r="A24" s="4" t="s">
        <v>77</v>
      </c>
      <c r="B24" s="4" t="s">
        <v>26</v>
      </c>
      <c r="C24" s="4" t="s">
        <v>55</v>
      </c>
      <c r="D24" s="4" t="s">
        <v>1270</v>
      </c>
      <c r="G24" s="4" t="s">
        <v>54</v>
      </c>
      <c r="K24" s="4">
        <v>12</v>
      </c>
    </row>
    <row r="25" spans="1:11" x14ac:dyDescent="0.2">
      <c r="A25" s="4" t="s">
        <v>77</v>
      </c>
      <c r="B25" s="4" t="s">
        <v>26</v>
      </c>
      <c r="C25" s="4" t="s">
        <v>55</v>
      </c>
      <c r="E25" s="4" t="s">
        <v>1271</v>
      </c>
      <c r="G25" s="4" t="s">
        <v>54</v>
      </c>
      <c r="K25" s="4">
        <v>13</v>
      </c>
    </row>
    <row r="26" spans="1:11" ht="34" x14ac:dyDescent="0.2">
      <c r="A26" s="4" t="s">
        <v>77</v>
      </c>
      <c r="B26" s="4" t="s">
        <v>24</v>
      </c>
      <c r="C26" s="4" t="s">
        <v>55</v>
      </c>
      <c r="G26" s="4" t="s">
        <v>54</v>
      </c>
      <c r="I26" s="5" t="s">
        <v>1274</v>
      </c>
      <c r="K26" s="4">
        <v>14</v>
      </c>
    </row>
    <row r="27" spans="1:11" x14ac:dyDescent="0.2">
      <c r="A27" s="4" t="s">
        <v>77</v>
      </c>
      <c r="B27" s="4" t="s">
        <v>26</v>
      </c>
      <c r="C27" s="4" t="s">
        <v>55</v>
      </c>
      <c r="E27" s="4" t="s">
        <v>1272</v>
      </c>
      <c r="G27" s="4" t="s">
        <v>54</v>
      </c>
      <c r="K27" s="4">
        <v>15</v>
      </c>
    </row>
    <row r="28" spans="1:11" ht="34" x14ac:dyDescent="0.2">
      <c r="A28" s="4" t="s">
        <v>77</v>
      </c>
      <c r="B28" s="4" t="s">
        <v>24</v>
      </c>
      <c r="C28" s="4" t="s">
        <v>55</v>
      </c>
      <c r="G28" s="4" t="s">
        <v>54</v>
      </c>
      <c r="I28" s="5" t="s">
        <v>1275</v>
      </c>
      <c r="K28" s="4">
        <v>16</v>
      </c>
    </row>
    <row r="29" spans="1:11" x14ac:dyDescent="0.2">
      <c r="A29" s="4" t="s">
        <v>77</v>
      </c>
      <c r="B29" s="4" t="s">
        <v>26</v>
      </c>
      <c r="C29" s="4" t="s">
        <v>55</v>
      </c>
      <c r="E29" s="4" t="s">
        <v>1273</v>
      </c>
      <c r="G29" s="4" t="s">
        <v>54</v>
      </c>
      <c r="K29" s="4">
        <v>17</v>
      </c>
    </row>
    <row r="30" spans="1:11" ht="34" x14ac:dyDescent="0.2">
      <c r="A30" s="4" t="s">
        <v>77</v>
      </c>
      <c r="B30" s="4" t="s">
        <v>24</v>
      </c>
      <c r="C30" s="4" t="s">
        <v>55</v>
      </c>
      <c r="G30" s="4" t="s">
        <v>54</v>
      </c>
      <c r="I30" s="5" t="s">
        <v>1276</v>
      </c>
      <c r="K30" s="4">
        <v>18</v>
      </c>
    </row>
    <row r="31" spans="1:11" ht="17" x14ac:dyDescent="0.2">
      <c r="A31" s="4" t="s">
        <v>77</v>
      </c>
      <c r="B31" s="4" t="s">
        <v>26</v>
      </c>
      <c r="C31" s="4" t="s">
        <v>55</v>
      </c>
      <c r="E31" s="2" t="s">
        <v>1281</v>
      </c>
      <c r="G31" s="4" t="s">
        <v>54</v>
      </c>
      <c r="K31" s="4">
        <v>19</v>
      </c>
    </row>
    <row r="32" spans="1:11" ht="17" x14ac:dyDescent="0.2">
      <c r="A32" s="4" t="s">
        <v>77</v>
      </c>
      <c r="B32" s="4" t="s">
        <v>26</v>
      </c>
      <c r="C32" s="4" t="s">
        <v>55</v>
      </c>
      <c r="E32" s="2" t="s">
        <v>1282</v>
      </c>
      <c r="G32" s="4" t="s">
        <v>54</v>
      </c>
      <c r="K32" s="4">
        <v>20</v>
      </c>
    </row>
    <row r="42" spans="1:11" ht="51" x14ac:dyDescent="0.2">
      <c r="A42" s="4" t="s">
        <v>468</v>
      </c>
      <c r="B42" s="4" t="s">
        <v>28</v>
      </c>
      <c r="C42" s="4" t="s">
        <v>55</v>
      </c>
      <c r="D42" s="4" t="s">
        <v>1166</v>
      </c>
      <c r="F42" s="4" t="s">
        <v>484</v>
      </c>
      <c r="G42" s="4" t="s">
        <v>54</v>
      </c>
      <c r="J42" s="2" t="s">
        <v>1099</v>
      </c>
      <c r="K42" s="4">
        <v>1</v>
      </c>
    </row>
    <row r="43" spans="1:11" ht="51" x14ac:dyDescent="0.2">
      <c r="A43" s="4" t="s">
        <v>468</v>
      </c>
      <c r="B43" s="4" t="s">
        <v>28</v>
      </c>
      <c r="C43" s="4" t="s">
        <v>55</v>
      </c>
      <c r="D43" s="4" t="s">
        <v>1167</v>
      </c>
      <c r="F43" s="4" t="s">
        <v>486</v>
      </c>
      <c r="G43" s="4" t="s">
        <v>54</v>
      </c>
      <c r="J43" s="2" t="s">
        <v>1099</v>
      </c>
      <c r="K43" s="4">
        <v>2</v>
      </c>
    </row>
    <row r="44" spans="1:11" ht="51" x14ac:dyDescent="0.2">
      <c r="A44" s="4" t="s">
        <v>468</v>
      </c>
      <c r="B44" s="4" t="s">
        <v>28</v>
      </c>
      <c r="C44" s="4" t="s">
        <v>55</v>
      </c>
      <c r="D44" s="4" t="s">
        <v>1168</v>
      </c>
      <c r="F44" s="4" t="s">
        <v>487</v>
      </c>
      <c r="G44" s="4" t="s">
        <v>54</v>
      </c>
      <c r="J44" s="2" t="s">
        <v>1099</v>
      </c>
      <c r="K44" s="4">
        <v>3</v>
      </c>
    </row>
    <row r="45" spans="1:11" ht="51" x14ac:dyDescent="0.2">
      <c r="A45" s="4" t="s">
        <v>468</v>
      </c>
      <c r="B45" s="4" t="s">
        <v>28</v>
      </c>
      <c r="C45" s="4" t="s">
        <v>55</v>
      </c>
      <c r="D45" s="4" t="s">
        <v>485</v>
      </c>
      <c r="F45" s="4" t="s">
        <v>488</v>
      </c>
      <c r="G45" s="4" t="s">
        <v>54</v>
      </c>
      <c r="J45" s="2" t="s">
        <v>1099</v>
      </c>
      <c r="K45" s="4">
        <v>4</v>
      </c>
    </row>
    <row r="47" spans="1:11" ht="17" x14ac:dyDescent="0.2">
      <c r="A47" s="4" t="s">
        <v>78</v>
      </c>
      <c r="B47" s="4" t="s">
        <v>26</v>
      </c>
      <c r="C47" s="4" t="s">
        <v>53</v>
      </c>
      <c r="D47" s="4" t="s">
        <v>187</v>
      </c>
      <c r="E47" s="2" t="s">
        <v>1183</v>
      </c>
      <c r="G47" s="4" t="s">
        <v>54</v>
      </c>
      <c r="K47" s="4">
        <v>1</v>
      </c>
    </row>
    <row r="48" spans="1:11" ht="34" x14ac:dyDescent="0.2">
      <c r="A48" s="4" t="s">
        <v>78</v>
      </c>
      <c r="B48" s="4" t="s">
        <v>28</v>
      </c>
      <c r="C48" s="4" t="s">
        <v>55</v>
      </c>
      <c r="D48" s="4" t="s">
        <v>1169</v>
      </c>
      <c r="F48" s="4" t="s">
        <v>512</v>
      </c>
      <c r="G48" s="4" t="s">
        <v>54</v>
      </c>
      <c r="J48" s="2" t="s">
        <v>1098</v>
      </c>
      <c r="K48" s="4">
        <v>2</v>
      </c>
    </row>
    <row r="49" spans="1:11" ht="119" x14ac:dyDescent="0.2">
      <c r="A49" s="4" t="s">
        <v>78</v>
      </c>
      <c r="B49" s="4" t="s">
        <v>26</v>
      </c>
      <c r="C49" s="4" t="s">
        <v>55</v>
      </c>
      <c r="D49" s="4" t="s">
        <v>107</v>
      </c>
      <c r="E49" s="2" t="s">
        <v>535</v>
      </c>
      <c r="G49" s="4" t="s">
        <v>54</v>
      </c>
      <c r="K49" s="4">
        <v>3</v>
      </c>
    </row>
    <row r="50" spans="1:11" ht="51" x14ac:dyDescent="0.2">
      <c r="A50" s="4" t="s">
        <v>78</v>
      </c>
      <c r="B50" s="4" t="s">
        <v>28</v>
      </c>
      <c r="C50" s="4" t="s">
        <v>55</v>
      </c>
      <c r="D50" s="4" t="s">
        <v>1165</v>
      </c>
      <c r="F50" s="4" t="s">
        <v>536</v>
      </c>
      <c r="G50" s="4" t="s">
        <v>54</v>
      </c>
      <c r="J50" s="2" t="s">
        <v>1099</v>
      </c>
      <c r="K50" s="4">
        <v>4</v>
      </c>
    </row>
    <row r="52" spans="1:11" ht="17" x14ac:dyDescent="0.2">
      <c r="A52" s="4" t="s">
        <v>565</v>
      </c>
      <c r="B52" s="4" t="s">
        <v>24</v>
      </c>
      <c r="C52" s="4" t="s">
        <v>53</v>
      </c>
      <c r="D52" s="4" t="s">
        <v>187</v>
      </c>
      <c r="G52" s="4" t="s">
        <v>54</v>
      </c>
      <c r="I52" s="5" t="s">
        <v>1139</v>
      </c>
      <c r="K52" s="4">
        <v>1</v>
      </c>
    </row>
    <row r="53" spans="1:11" ht="51" x14ac:dyDescent="0.2">
      <c r="A53" s="4" t="s">
        <v>565</v>
      </c>
      <c r="B53" s="4" t="s">
        <v>26</v>
      </c>
      <c r="C53" s="4" t="s">
        <v>55</v>
      </c>
      <c r="D53" s="4" t="s">
        <v>27</v>
      </c>
      <c r="E53" s="2" t="s">
        <v>1188</v>
      </c>
      <c r="G53" s="4" t="s">
        <v>54</v>
      </c>
      <c r="K53" s="4">
        <v>2</v>
      </c>
    </row>
    <row r="54" spans="1:11" ht="34" x14ac:dyDescent="0.2">
      <c r="A54" s="4" t="s">
        <v>565</v>
      </c>
      <c r="B54" s="4" t="s">
        <v>28</v>
      </c>
      <c r="C54" s="4" t="s">
        <v>55</v>
      </c>
      <c r="D54" s="4" t="s">
        <v>29</v>
      </c>
      <c r="F54" s="4" t="s">
        <v>576</v>
      </c>
      <c r="G54" s="4" t="s">
        <v>54</v>
      </c>
      <c r="J54" s="2" t="s">
        <v>1098</v>
      </c>
      <c r="K54" s="4">
        <v>3</v>
      </c>
    </row>
    <row r="55" spans="1:11" ht="34" x14ac:dyDescent="0.2">
      <c r="A55" s="4" t="s">
        <v>565</v>
      </c>
      <c r="B55" s="4" t="s">
        <v>32</v>
      </c>
      <c r="C55" s="4" t="s">
        <v>55</v>
      </c>
      <c r="D55" s="4" t="s">
        <v>33</v>
      </c>
      <c r="I55" s="5" t="s">
        <v>1146</v>
      </c>
      <c r="K55" s="4">
        <v>4</v>
      </c>
    </row>
    <row r="59" spans="1:11" ht="51" x14ac:dyDescent="0.2">
      <c r="A59" s="4" t="s">
        <v>1283</v>
      </c>
      <c r="B59" s="4" t="s">
        <v>28</v>
      </c>
      <c r="C59" s="4" t="s">
        <v>55</v>
      </c>
      <c r="D59" s="2" t="s">
        <v>1288</v>
      </c>
      <c r="F59" s="4" t="s">
        <v>1314</v>
      </c>
      <c r="G59" s="4" t="s">
        <v>54</v>
      </c>
      <c r="J59" s="2" t="s">
        <v>1099</v>
      </c>
      <c r="K59" s="4">
        <v>1</v>
      </c>
    </row>
    <row r="60" spans="1:11" ht="51" x14ac:dyDescent="0.2">
      <c r="A60" s="4" t="s">
        <v>1283</v>
      </c>
      <c r="B60" s="4" t="s">
        <v>28</v>
      </c>
      <c r="C60" s="4" t="s">
        <v>55</v>
      </c>
      <c r="D60" s="4" t="s">
        <v>1289</v>
      </c>
      <c r="F60" s="4" t="s">
        <v>1315</v>
      </c>
      <c r="G60" s="4" t="s">
        <v>54</v>
      </c>
      <c r="J60" s="2" t="s">
        <v>1099</v>
      </c>
      <c r="K60" s="4">
        <v>2</v>
      </c>
    </row>
    <row r="61" spans="1:11" ht="51" x14ac:dyDescent="0.2">
      <c r="A61" s="4" t="s">
        <v>1283</v>
      </c>
      <c r="B61" s="4" t="s">
        <v>28</v>
      </c>
      <c r="C61" s="4" t="s">
        <v>55</v>
      </c>
      <c r="D61" s="4" t="s">
        <v>1290</v>
      </c>
      <c r="F61" s="4" t="s">
        <v>1316</v>
      </c>
      <c r="G61" s="4" t="s">
        <v>54</v>
      </c>
      <c r="J61" s="2" t="s">
        <v>1099</v>
      </c>
      <c r="K61" s="4">
        <v>3</v>
      </c>
    </row>
    <row r="62" spans="1:11" ht="51" x14ac:dyDescent="0.2">
      <c r="A62" s="4" t="s">
        <v>1283</v>
      </c>
      <c r="B62" s="4" t="s">
        <v>28</v>
      </c>
      <c r="C62" s="4" t="s">
        <v>55</v>
      </c>
      <c r="D62" s="4" t="s">
        <v>1291</v>
      </c>
      <c r="F62" s="4" t="s">
        <v>1317</v>
      </c>
      <c r="G62" s="4" t="s">
        <v>54</v>
      </c>
      <c r="J62" s="2" t="s">
        <v>1099</v>
      </c>
      <c r="K62" s="4">
        <v>4</v>
      </c>
    </row>
    <row r="63" spans="1:11" ht="51" x14ac:dyDescent="0.2">
      <c r="A63" s="4" t="s">
        <v>1283</v>
      </c>
      <c r="B63" s="4" t="s">
        <v>28</v>
      </c>
      <c r="C63" s="4" t="s">
        <v>55</v>
      </c>
      <c r="D63" s="4" t="s">
        <v>1292</v>
      </c>
      <c r="F63" s="4" t="s">
        <v>1318</v>
      </c>
      <c r="G63" s="4" t="s">
        <v>54</v>
      </c>
      <c r="J63" s="2" t="s">
        <v>1099</v>
      </c>
      <c r="K63" s="4">
        <v>5</v>
      </c>
    </row>
    <row r="64" spans="1:11" ht="51" x14ac:dyDescent="0.2">
      <c r="A64" s="4" t="s">
        <v>1283</v>
      </c>
      <c r="B64" s="4" t="s">
        <v>28</v>
      </c>
      <c r="C64" s="4" t="s">
        <v>55</v>
      </c>
      <c r="D64" s="4" t="s">
        <v>1293</v>
      </c>
      <c r="F64" s="4" t="s">
        <v>1287</v>
      </c>
      <c r="G64" s="4" t="s">
        <v>54</v>
      </c>
      <c r="J64" s="2" t="s">
        <v>1099</v>
      </c>
      <c r="K64" s="4">
        <v>6</v>
      </c>
    </row>
    <row r="65" spans="1:11" ht="51" x14ac:dyDescent="0.2">
      <c r="A65" s="4" t="s">
        <v>1283</v>
      </c>
      <c r="B65" s="4" t="s">
        <v>28</v>
      </c>
      <c r="C65" s="4" t="s">
        <v>55</v>
      </c>
      <c r="D65" s="4" t="s">
        <v>1294</v>
      </c>
      <c r="F65" s="4" t="s">
        <v>1319</v>
      </c>
      <c r="G65" s="4" t="s">
        <v>54</v>
      </c>
      <c r="J65" s="2" t="s">
        <v>1099</v>
      </c>
      <c r="K65" s="4">
        <v>7</v>
      </c>
    </row>
    <row r="66" spans="1:11" ht="51" x14ac:dyDescent="0.2">
      <c r="A66" s="4" t="s">
        <v>1283</v>
      </c>
      <c r="B66" s="4" t="s">
        <v>28</v>
      </c>
      <c r="C66" s="4" t="s">
        <v>55</v>
      </c>
      <c r="D66" s="4" t="s">
        <v>1295</v>
      </c>
      <c r="F66" s="4" t="s">
        <v>1320</v>
      </c>
      <c r="G66" s="4" t="s">
        <v>54</v>
      </c>
      <c r="J66" s="2" t="s">
        <v>1099</v>
      </c>
      <c r="K66" s="4">
        <v>8</v>
      </c>
    </row>
    <row r="67" spans="1:11" ht="51" x14ac:dyDescent="0.2">
      <c r="A67" s="4" t="s">
        <v>1283</v>
      </c>
      <c r="B67" s="4" t="s">
        <v>28</v>
      </c>
      <c r="C67" s="4" t="s">
        <v>55</v>
      </c>
      <c r="D67" s="4" t="s">
        <v>1296</v>
      </c>
      <c r="F67" s="4" t="s">
        <v>1321</v>
      </c>
      <c r="G67" s="4" t="s">
        <v>54</v>
      </c>
      <c r="J67" s="2" t="s">
        <v>1099</v>
      </c>
      <c r="K67" s="4">
        <v>9</v>
      </c>
    </row>
    <row r="68" spans="1:11" ht="51" x14ac:dyDescent="0.2">
      <c r="A68" s="4" t="s">
        <v>1283</v>
      </c>
      <c r="B68" s="4" t="s">
        <v>28</v>
      </c>
      <c r="C68" s="4" t="s">
        <v>55</v>
      </c>
      <c r="D68" s="4" t="s">
        <v>1297</v>
      </c>
      <c r="F68" s="4" t="s">
        <v>1322</v>
      </c>
      <c r="G68" s="4" t="s">
        <v>54</v>
      </c>
      <c r="J68" s="2" t="s">
        <v>1099</v>
      </c>
      <c r="K68" s="4">
        <v>10</v>
      </c>
    </row>
    <row r="69" spans="1:11" ht="51" x14ac:dyDescent="0.2">
      <c r="A69" s="4" t="s">
        <v>1283</v>
      </c>
      <c r="B69" s="4" t="s">
        <v>28</v>
      </c>
      <c r="C69" s="4" t="s">
        <v>55</v>
      </c>
      <c r="D69" s="4" t="s">
        <v>1298</v>
      </c>
      <c r="F69" s="4" t="s">
        <v>1323</v>
      </c>
      <c r="G69" s="4" t="s">
        <v>54</v>
      </c>
      <c r="J69" s="2" t="s">
        <v>1099</v>
      </c>
      <c r="K69" s="4">
        <v>11</v>
      </c>
    </row>
    <row r="70" spans="1:11" ht="51" x14ac:dyDescent="0.2">
      <c r="A70" s="4" t="s">
        <v>1283</v>
      </c>
      <c r="B70" s="4" t="s">
        <v>28</v>
      </c>
      <c r="C70" s="4" t="s">
        <v>55</v>
      </c>
      <c r="D70" s="4" t="s">
        <v>1299</v>
      </c>
      <c r="F70" s="4" t="s">
        <v>1324</v>
      </c>
      <c r="G70" s="4" t="s">
        <v>54</v>
      </c>
      <c r="J70" s="2" t="s">
        <v>1099</v>
      </c>
      <c r="K70" s="4">
        <v>12</v>
      </c>
    </row>
    <row r="71" spans="1:11" ht="51" x14ac:dyDescent="0.2">
      <c r="A71" s="4" t="s">
        <v>1283</v>
      </c>
      <c r="B71" s="4" t="s">
        <v>28</v>
      </c>
      <c r="C71" s="4" t="s">
        <v>55</v>
      </c>
      <c r="D71" s="4" t="s">
        <v>1300</v>
      </c>
      <c r="F71" s="4" t="s">
        <v>1325</v>
      </c>
      <c r="G71" s="4" t="s">
        <v>54</v>
      </c>
      <c r="J71" s="2" t="s">
        <v>1099</v>
      </c>
      <c r="K71" s="4">
        <v>13</v>
      </c>
    </row>
    <row r="72" spans="1:11" ht="51" x14ac:dyDescent="0.2">
      <c r="A72" s="4" t="s">
        <v>1283</v>
      </c>
      <c r="B72" s="4" t="s">
        <v>28</v>
      </c>
      <c r="C72" s="4" t="s">
        <v>55</v>
      </c>
      <c r="D72" s="4" t="s">
        <v>1301</v>
      </c>
      <c r="F72" s="4" t="s">
        <v>1326</v>
      </c>
      <c r="G72" s="4" t="s">
        <v>54</v>
      </c>
      <c r="J72" s="2" t="s">
        <v>1099</v>
      </c>
      <c r="K72" s="4">
        <v>14</v>
      </c>
    </row>
    <row r="73" spans="1:11" ht="51" x14ac:dyDescent="0.2">
      <c r="A73" s="4" t="s">
        <v>1283</v>
      </c>
      <c r="B73" s="4" t="s">
        <v>28</v>
      </c>
      <c r="C73" s="4" t="s">
        <v>55</v>
      </c>
      <c r="D73" s="4" t="s">
        <v>1302</v>
      </c>
      <c r="F73" s="4" t="s">
        <v>1327</v>
      </c>
      <c r="G73" s="4" t="s">
        <v>54</v>
      </c>
      <c r="J73" s="2" t="s">
        <v>1099</v>
      </c>
      <c r="K73" s="4">
        <v>15</v>
      </c>
    </row>
    <row r="74" spans="1:11" ht="51" x14ac:dyDescent="0.2">
      <c r="A74" s="4" t="s">
        <v>1283</v>
      </c>
      <c r="B74" s="4" t="s">
        <v>28</v>
      </c>
      <c r="C74" s="4" t="s">
        <v>55</v>
      </c>
      <c r="D74" s="4" t="s">
        <v>1303</v>
      </c>
      <c r="F74" s="4" t="s">
        <v>1328</v>
      </c>
      <c r="G74" s="4" t="s">
        <v>54</v>
      </c>
      <c r="J74" s="2" t="s">
        <v>1099</v>
      </c>
      <c r="K74" s="4">
        <v>16</v>
      </c>
    </row>
    <row r="75" spans="1:11" ht="51" x14ac:dyDescent="0.2">
      <c r="A75" s="4" t="s">
        <v>1283</v>
      </c>
      <c r="B75" s="4" t="s">
        <v>28</v>
      </c>
      <c r="C75" s="4" t="s">
        <v>55</v>
      </c>
      <c r="D75" s="4" t="s">
        <v>1304</v>
      </c>
      <c r="F75" s="4" t="s">
        <v>1329</v>
      </c>
      <c r="G75" s="4" t="s">
        <v>54</v>
      </c>
      <c r="J75" s="2" t="s">
        <v>1099</v>
      </c>
      <c r="K75" s="4">
        <v>17</v>
      </c>
    </row>
    <row r="76" spans="1:11" ht="51" x14ac:dyDescent="0.2">
      <c r="A76" s="4" t="s">
        <v>1283</v>
      </c>
      <c r="B76" s="4" t="s">
        <v>28</v>
      </c>
      <c r="C76" s="4" t="s">
        <v>55</v>
      </c>
      <c r="D76" s="4" t="s">
        <v>1305</v>
      </c>
      <c r="F76" s="4" t="s">
        <v>1330</v>
      </c>
      <c r="G76" s="4" t="s">
        <v>54</v>
      </c>
      <c r="J76" s="2" t="s">
        <v>1099</v>
      </c>
      <c r="K76" s="4">
        <v>18</v>
      </c>
    </row>
    <row r="77" spans="1:11" ht="51" x14ac:dyDescent="0.2">
      <c r="A77" s="4" t="s">
        <v>1283</v>
      </c>
      <c r="B77" s="4" t="s">
        <v>28</v>
      </c>
      <c r="C77" s="4" t="s">
        <v>55</v>
      </c>
      <c r="D77" s="4" t="s">
        <v>1306</v>
      </c>
      <c r="F77" s="4" t="s">
        <v>1331</v>
      </c>
      <c r="G77" s="4" t="s">
        <v>54</v>
      </c>
      <c r="J77" s="2" t="s">
        <v>1099</v>
      </c>
      <c r="K77" s="4">
        <v>19</v>
      </c>
    </row>
    <row r="78" spans="1:11" ht="51" x14ac:dyDescent="0.2">
      <c r="A78" s="4" t="s">
        <v>1283</v>
      </c>
      <c r="B78" s="4" t="s">
        <v>28</v>
      </c>
      <c r="C78" s="4" t="s">
        <v>55</v>
      </c>
      <c r="D78" s="4" t="s">
        <v>1307</v>
      </c>
      <c r="F78" s="4" t="s">
        <v>1332</v>
      </c>
      <c r="G78" s="4" t="s">
        <v>54</v>
      </c>
      <c r="J78" s="2" t="s">
        <v>1099</v>
      </c>
      <c r="K78" s="4">
        <v>20</v>
      </c>
    </row>
    <row r="79" spans="1:11" ht="51" x14ac:dyDescent="0.2">
      <c r="A79" s="4" t="s">
        <v>1283</v>
      </c>
      <c r="B79" s="4" t="s">
        <v>28</v>
      </c>
      <c r="C79" s="4" t="s">
        <v>55</v>
      </c>
      <c r="D79" s="4" t="s">
        <v>1308</v>
      </c>
      <c r="F79" s="4" t="s">
        <v>1333</v>
      </c>
      <c r="G79" s="4" t="s">
        <v>54</v>
      </c>
      <c r="J79" s="2" t="s">
        <v>1099</v>
      </c>
      <c r="K79" s="4">
        <v>21</v>
      </c>
    </row>
    <row r="80" spans="1:11" ht="51" x14ac:dyDescent="0.2">
      <c r="A80" s="4" t="s">
        <v>1283</v>
      </c>
      <c r="B80" s="4" t="s">
        <v>28</v>
      </c>
      <c r="C80" s="4" t="s">
        <v>55</v>
      </c>
      <c r="D80" s="4" t="s">
        <v>1309</v>
      </c>
      <c r="F80" s="4" t="s">
        <v>1334</v>
      </c>
      <c r="G80" s="4" t="s">
        <v>54</v>
      </c>
      <c r="J80" s="2" t="s">
        <v>1099</v>
      </c>
      <c r="K80" s="4">
        <v>22</v>
      </c>
    </row>
    <row r="81" spans="1:11" ht="51" x14ac:dyDescent="0.2">
      <c r="A81" s="4" t="s">
        <v>1283</v>
      </c>
      <c r="B81" s="4" t="s">
        <v>28</v>
      </c>
      <c r="C81" s="4" t="s">
        <v>55</v>
      </c>
      <c r="D81" s="4" t="s">
        <v>1310</v>
      </c>
      <c r="F81" s="4" t="s">
        <v>1335</v>
      </c>
      <c r="G81" s="4" t="s">
        <v>54</v>
      </c>
      <c r="J81" s="2" t="s">
        <v>1099</v>
      </c>
      <c r="K81" s="4">
        <v>23</v>
      </c>
    </row>
    <row r="82" spans="1:11" ht="51" x14ac:dyDescent="0.2">
      <c r="A82" s="4" t="s">
        <v>1283</v>
      </c>
      <c r="B82" s="4" t="s">
        <v>28</v>
      </c>
      <c r="C82" s="4" t="s">
        <v>55</v>
      </c>
      <c r="D82" s="4" t="s">
        <v>1311</v>
      </c>
      <c r="F82" s="4" t="s">
        <v>1336</v>
      </c>
      <c r="G82" s="4" t="s">
        <v>54</v>
      </c>
      <c r="J82" s="2" t="s">
        <v>1099</v>
      </c>
      <c r="K82" s="4">
        <v>24</v>
      </c>
    </row>
    <row r="83" spans="1:11" ht="51" x14ac:dyDescent="0.2">
      <c r="A83" s="4" t="s">
        <v>1283</v>
      </c>
      <c r="B83" s="4" t="s">
        <v>28</v>
      </c>
      <c r="C83" s="4" t="s">
        <v>55</v>
      </c>
      <c r="D83" s="4" t="s">
        <v>1312</v>
      </c>
      <c r="F83" s="4" t="s">
        <v>1337</v>
      </c>
      <c r="G83" s="4" t="s">
        <v>54</v>
      </c>
      <c r="J83" s="2" t="s">
        <v>1099</v>
      </c>
      <c r="K83" s="4">
        <v>25</v>
      </c>
    </row>
    <row r="84" spans="1:11" ht="51" x14ac:dyDescent="0.2">
      <c r="A84" s="4" t="s">
        <v>1283</v>
      </c>
      <c r="B84" s="4" t="s">
        <v>28</v>
      </c>
      <c r="C84" s="4" t="s">
        <v>55</v>
      </c>
      <c r="D84" s="4" t="s">
        <v>1313</v>
      </c>
      <c r="F84" s="4" t="s">
        <v>1338</v>
      </c>
      <c r="G84" s="4" t="s">
        <v>54</v>
      </c>
      <c r="J84" s="2" t="s">
        <v>1099</v>
      </c>
      <c r="K84" s="4">
        <v>26</v>
      </c>
    </row>
    <row r="88" spans="1:11" x14ac:dyDescent="0.2">
      <c r="A88" t="s">
        <v>1350</v>
      </c>
      <c r="B88" s="4" t="s">
        <v>26</v>
      </c>
      <c r="C88" s="4" t="s">
        <v>53</v>
      </c>
      <c r="D88" s="4" t="s">
        <v>1361</v>
      </c>
      <c r="G88" s="4" t="s">
        <v>54</v>
      </c>
      <c r="K88" s="4">
        <v>1</v>
      </c>
    </row>
    <row r="89" spans="1:11" ht="34" x14ac:dyDescent="0.2">
      <c r="A89" t="s">
        <v>1350</v>
      </c>
      <c r="B89" s="4" t="s">
        <v>26</v>
      </c>
      <c r="C89" s="4" t="s">
        <v>53</v>
      </c>
      <c r="E89" s="33" t="s">
        <v>1365</v>
      </c>
      <c r="G89" s="4" t="s">
        <v>54</v>
      </c>
      <c r="K89" s="4">
        <v>1</v>
      </c>
    </row>
    <row r="90" spans="1:11" ht="34" x14ac:dyDescent="0.2">
      <c r="A90" t="s">
        <v>1350</v>
      </c>
      <c r="B90" s="4" t="s">
        <v>26</v>
      </c>
      <c r="C90" s="4" t="s">
        <v>53</v>
      </c>
      <c r="E90" s="33" t="s">
        <v>1362</v>
      </c>
      <c r="G90" s="4" t="s">
        <v>54</v>
      </c>
      <c r="K90" s="4">
        <v>2</v>
      </c>
    </row>
    <row r="91" spans="1:11" ht="34" x14ac:dyDescent="0.2">
      <c r="A91" t="s">
        <v>1350</v>
      </c>
      <c r="B91" s="4" t="s">
        <v>26</v>
      </c>
      <c r="C91" s="4" t="s">
        <v>53</v>
      </c>
      <c r="E91" s="33" t="s">
        <v>1363</v>
      </c>
      <c r="G91" s="4" t="s">
        <v>54</v>
      </c>
      <c r="K91" s="4">
        <v>3</v>
      </c>
    </row>
    <row r="92" spans="1:11" ht="34" x14ac:dyDescent="0.2">
      <c r="A92" t="s">
        <v>1350</v>
      </c>
      <c r="B92" s="4" t="s">
        <v>26</v>
      </c>
      <c r="C92" s="4" t="s">
        <v>55</v>
      </c>
      <c r="D92" s="4" t="s">
        <v>1353</v>
      </c>
      <c r="E92" s="2" t="s">
        <v>1364</v>
      </c>
      <c r="G92" s="4" t="s">
        <v>54</v>
      </c>
      <c r="K92" s="4">
        <v>4</v>
      </c>
    </row>
    <row r="93" spans="1:11" ht="68" x14ac:dyDescent="0.2">
      <c r="A93" t="s">
        <v>1350</v>
      </c>
      <c r="B93" s="4" t="s">
        <v>26</v>
      </c>
      <c r="C93" s="4" t="s">
        <v>55</v>
      </c>
      <c r="E93" s="2" t="s">
        <v>1354</v>
      </c>
      <c r="G93" s="4" t="s">
        <v>54</v>
      </c>
      <c r="K93" s="4">
        <v>5</v>
      </c>
    </row>
    <row r="94" spans="1:11" ht="34" x14ac:dyDescent="0.2">
      <c r="A94" t="s">
        <v>1350</v>
      </c>
      <c r="B94" s="4" t="s">
        <v>26</v>
      </c>
      <c r="C94" s="4" t="s">
        <v>55</v>
      </c>
      <c r="E94" s="2" t="s">
        <v>1355</v>
      </c>
      <c r="G94" s="4" t="s">
        <v>54</v>
      </c>
      <c r="K94" s="4">
        <v>6</v>
      </c>
    </row>
    <row r="95" spans="1:11" ht="17" x14ac:dyDescent="0.2">
      <c r="A95" t="s">
        <v>1350</v>
      </c>
      <c r="B95" s="4" t="s">
        <v>26</v>
      </c>
      <c r="C95" s="4" t="s">
        <v>55</v>
      </c>
      <c r="E95" s="2" t="s">
        <v>1356</v>
      </c>
      <c r="G95" s="4" t="s">
        <v>54</v>
      </c>
      <c r="K95" s="4">
        <v>7</v>
      </c>
    </row>
    <row r="96" spans="1:11" ht="17" x14ac:dyDescent="0.2">
      <c r="A96" t="s">
        <v>1350</v>
      </c>
      <c r="B96" s="4" t="s">
        <v>26</v>
      </c>
      <c r="C96" s="4" t="s">
        <v>55</v>
      </c>
      <c r="E96" s="2" t="s">
        <v>1357</v>
      </c>
      <c r="G96" s="4" t="s">
        <v>54</v>
      </c>
      <c r="K96" s="4">
        <v>8</v>
      </c>
    </row>
    <row r="97" spans="1:11" ht="17" x14ac:dyDescent="0.2">
      <c r="A97" t="s">
        <v>1350</v>
      </c>
      <c r="B97" s="4" t="s">
        <v>26</v>
      </c>
      <c r="C97" s="4" t="s">
        <v>55</v>
      </c>
      <c r="E97" s="2" t="s">
        <v>1358</v>
      </c>
      <c r="G97" s="4" t="s">
        <v>54</v>
      </c>
      <c r="K97" s="4">
        <v>9</v>
      </c>
    </row>
    <row r="98" spans="1:11" x14ac:dyDescent="0.2">
      <c r="A98" t="s">
        <v>1350</v>
      </c>
      <c r="B98" s="4" t="s">
        <v>26</v>
      </c>
      <c r="C98" s="4" t="s">
        <v>55</v>
      </c>
      <c r="D98" s="4" t="s">
        <v>1359</v>
      </c>
      <c r="E98" s="32" t="s">
        <v>1360</v>
      </c>
      <c r="G98" s="4" t="s">
        <v>54</v>
      </c>
      <c r="K98" s="4">
        <v>10</v>
      </c>
    </row>
  </sheetData>
  <hyperlinks>
    <hyperlink ref="E98" r:id="rId1" xr:uid="{0ACED111-27C4-D24A-8D2D-292F7EF8BCCB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210"/>
  <sheetViews>
    <sheetView topLeftCell="A188" zoomScale="109" workbookViewId="0">
      <selection activeCell="D194" sqref="D194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27.8320312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330</v>
      </c>
      <c r="G2" s="9" t="s">
        <v>332</v>
      </c>
      <c r="H2" s="9" t="s">
        <v>335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180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330</v>
      </c>
      <c r="G5" s="9" t="s">
        <v>333</v>
      </c>
      <c r="H5" s="9" t="s">
        <v>336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181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330</v>
      </c>
      <c r="G8" s="9" t="s">
        <v>334</v>
      </c>
      <c r="H8" s="9" t="s">
        <v>337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180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330</v>
      </c>
      <c r="G13" s="9" t="s">
        <v>332</v>
      </c>
      <c r="H13" s="9" t="s">
        <v>335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1191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330</v>
      </c>
      <c r="G15" s="9" t="s">
        <v>332</v>
      </c>
      <c r="H15" s="9" t="s">
        <v>338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1192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330</v>
      </c>
      <c r="G17" s="9" t="s">
        <v>332</v>
      </c>
      <c r="H17" s="9" t="s">
        <v>339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1193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330</v>
      </c>
      <c r="G19" s="9" t="s">
        <v>332</v>
      </c>
      <c r="H19" s="9" t="s">
        <v>340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1191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330</v>
      </c>
      <c r="G21" s="9" t="s">
        <v>332</v>
      </c>
      <c r="H21" s="9" t="s">
        <v>341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1191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330</v>
      </c>
      <c r="G23" s="9" t="s">
        <v>332</v>
      </c>
      <c r="H23" s="9" t="s">
        <v>342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1191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182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330</v>
      </c>
      <c r="G26" s="9" t="s">
        <v>333</v>
      </c>
      <c r="H26" s="9" t="s">
        <v>343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330</v>
      </c>
      <c r="G27" s="9" t="s">
        <v>333</v>
      </c>
      <c r="H27" s="9" t="s">
        <v>344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330</v>
      </c>
      <c r="G28" s="9" t="s">
        <v>333</v>
      </c>
      <c r="H28" s="9" t="s">
        <v>345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330</v>
      </c>
      <c r="G30" s="9" t="s">
        <v>334</v>
      </c>
      <c r="H30" s="9" t="s">
        <v>337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330</v>
      </c>
      <c r="G31" s="9" t="s">
        <v>334</v>
      </c>
      <c r="H31" s="9" t="s">
        <v>346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325</v>
      </c>
      <c r="B33" s="6">
        <v>1</v>
      </c>
      <c r="C33" s="6" t="s">
        <v>46</v>
      </c>
      <c r="D33" s="6" t="s">
        <v>326</v>
      </c>
      <c r="M33" s="6" t="s">
        <v>327</v>
      </c>
      <c r="N33" s="6" t="s">
        <v>90</v>
      </c>
    </row>
    <row r="34" spans="1:14" s="6" customFormat="1" x14ac:dyDescent="0.2">
      <c r="A34" s="7" t="s">
        <v>325</v>
      </c>
      <c r="B34" s="6">
        <v>2</v>
      </c>
      <c r="C34" s="6" t="s">
        <v>45</v>
      </c>
      <c r="D34" s="6" t="s">
        <v>328</v>
      </c>
      <c r="N34" s="6" t="s">
        <v>90</v>
      </c>
    </row>
    <row r="35" spans="1:14" s="6" customFormat="1" x14ac:dyDescent="0.2">
      <c r="A35" s="7" t="s">
        <v>325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325</v>
      </c>
      <c r="B36" s="6">
        <v>4</v>
      </c>
      <c r="C36" s="6" t="s">
        <v>47</v>
      </c>
      <c r="F36" s="6" t="s">
        <v>331</v>
      </c>
      <c r="G36" s="6" t="s">
        <v>347</v>
      </c>
      <c r="H36" s="6" t="s">
        <v>348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325</v>
      </c>
      <c r="B37" s="6">
        <v>5</v>
      </c>
      <c r="C37" s="6" t="s">
        <v>45</v>
      </c>
      <c r="D37" s="6" t="s">
        <v>329</v>
      </c>
      <c r="N37" s="6" t="s">
        <v>90</v>
      </c>
    </row>
    <row r="38" spans="1:14" s="6" customFormat="1" x14ac:dyDescent="0.2">
      <c r="A38" s="7" t="s">
        <v>325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325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356</v>
      </c>
      <c r="B40" s="6">
        <v>8</v>
      </c>
      <c r="C40" s="6" t="s">
        <v>17</v>
      </c>
      <c r="D40" s="6" t="s">
        <v>329</v>
      </c>
      <c r="N40" s="6" t="s">
        <v>92</v>
      </c>
    </row>
    <row r="41" spans="1:14" s="6" customFormat="1" x14ac:dyDescent="0.2">
      <c r="A41" s="7" t="s">
        <v>356</v>
      </c>
      <c r="B41" s="6">
        <v>9</v>
      </c>
      <c r="C41" s="6" t="s">
        <v>47</v>
      </c>
      <c r="F41" s="6" t="s">
        <v>331</v>
      </c>
      <c r="G41" s="6" t="s">
        <v>347</v>
      </c>
      <c r="H41" s="6" t="s">
        <v>348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356</v>
      </c>
      <c r="B42" s="6">
        <v>10</v>
      </c>
      <c r="C42" s="6" t="s">
        <v>47</v>
      </c>
      <c r="F42" s="6" t="s">
        <v>331</v>
      </c>
      <c r="G42" s="6" t="s">
        <v>347</v>
      </c>
      <c r="H42" s="6" t="s">
        <v>357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356</v>
      </c>
      <c r="B43" s="6">
        <v>11</v>
      </c>
      <c r="C43" s="6" t="s">
        <v>47</v>
      </c>
      <c r="F43" s="6" t="s">
        <v>331</v>
      </c>
      <c r="G43" s="6" t="s">
        <v>347</v>
      </c>
      <c r="H43" s="6" t="s">
        <v>358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356</v>
      </c>
      <c r="B44" s="6">
        <v>12</v>
      </c>
      <c r="C44" s="6" t="s">
        <v>47</v>
      </c>
      <c r="F44" s="6" t="s">
        <v>331</v>
      </c>
      <c r="G44" s="6" t="s">
        <v>347</v>
      </c>
      <c r="H44" s="6" t="s">
        <v>359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356</v>
      </c>
      <c r="B45" s="6">
        <v>13</v>
      </c>
      <c r="C45" s="6" t="s">
        <v>47</v>
      </c>
      <c r="F45" s="6" t="s">
        <v>331</v>
      </c>
      <c r="G45" s="6" t="s">
        <v>347</v>
      </c>
      <c r="H45" s="6" t="s">
        <v>360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356</v>
      </c>
      <c r="B46" s="6">
        <v>14</v>
      </c>
      <c r="C46" s="6" t="s">
        <v>47</v>
      </c>
      <c r="F46" s="6" t="s">
        <v>331</v>
      </c>
      <c r="G46" s="6" t="s">
        <v>347</v>
      </c>
      <c r="H46" s="6" t="s">
        <v>361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356</v>
      </c>
      <c r="B47" s="6">
        <v>15</v>
      </c>
      <c r="C47" s="6" t="s">
        <v>47</v>
      </c>
      <c r="F47" s="6" t="s">
        <v>331</v>
      </c>
      <c r="G47" s="6" t="s">
        <v>347</v>
      </c>
      <c r="H47" s="6" t="s">
        <v>362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364</v>
      </c>
      <c r="B49" s="12">
        <v>1</v>
      </c>
      <c r="C49" s="12" t="s">
        <v>47</v>
      </c>
      <c r="F49" s="12" t="s">
        <v>453</v>
      </c>
      <c r="G49" s="12" t="s">
        <v>368</v>
      </c>
      <c r="H49" s="12" t="s">
        <v>367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364</v>
      </c>
      <c r="B50" s="12">
        <v>2</v>
      </c>
      <c r="C50" s="12" t="s">
        <v>45</v>
      </c>
      <c r="D50" s="12" t="s">
        <v>366</v>
      </c>
      <c r="N50" s="12" t="s">
        <v>90</v>
      </c>
    </row>
    <row r="51" spans="1:14" s="12" customFormat="1" x14ac:dyDescent="0.2">
      <c r="A51" s="13" t="s">
        <v>364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364</v>
      </c>
      <c r="B52" s="12">
        <v>4</v>
      </c>
      <c r="C52" s="12" t="s">
        <v>47</v>
      </c>
      <c r="F52" s="12" t="s">
        <v>453</v>
      </c>
      <c r="G52" s="12" t="s">
        <v>369</v>
      </c>
      <c r="H52" s="12" t="s">
        <v>370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364</v>
      </c>
      <c r="B53" s="12">
        <v>5</v>
      </c>
      <c r="C53" s="12" t="s">
        <v>45</v>
      </c>
      <c r="D53" s="12" t="s">
        <v>371</v>
      </c>
      <c r="N53" s="12" t="s">
        <v>90</v>
      </c>
    </row>
    <row r="54" spans="1:14" s="12" customFormat="1" x14ac:dyDescent="0.2">
      <c r="A54" s="13" t="s">
        <v>364</v>
      </c>
      <c r="B54" s="12">
        <v>6</v>
      </c>
      <c r="C54" s="12" t="s">
        <v>47</v>
      </c>
      <c r="F54" s="12" t="s">
        <v>453</v>
      </c>
      <c r="G54" s="12" t="s">
        <v>372</v>
      </c>
      <c r="H54" s="12" t="s">
        <v>373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364</v>
      </c>
      <c r="B55" s="12">
        <v>7</v>
      </c>
      <c r="C55" s="12" t="s">
        <v>45</v>
      </c>
      <c r="D55" s="12" t="s">
        <v>374</v>
      </c>
      <c r="N55" s="12" t="s">
        <v>90</v>
      </c>
    </row>
    <row r="56" spans="1:14" s="12" customFormat="1" x14ac:dyDescent="0.2">
      <c r="A56" s="13" t="s">
        <v>364</v>
      </c>
      <c r="B56" s="12">
        <v>8</v>
      </c>
      <c r="C56" s="12" t="s">
        <v>47</v>
      </c>
      <c r="F56" s="12" t="s">
        <v>453</v>
      </c>
      <c r="G56" s="12" t="s">
        <v>376</v>
      </c>
      <c r="H56" s="12" t="s">
        <v>377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364</v>
      </c>
      <c r="B57" s="12">
        <v>9</v>
      </c>
      <c r="C57" s="12" t="s">
        <v>45</v>
      </c>
      <c r="D57" s="12" t="s">
        <v>375</v>
      </c>
      <c r="N57" s="12" t="s">
        <v>90</v>
      </c>
    </row>
    <row r="58" spans="1:14" s="12" customFormat="1" x14ac:dyDescent="0.2">
      <c r="A58" s="13" t="s">
        <v>364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364</v>
      </c>
      <c r="B59" s="12">
        <v>11</v>
      </c>
      <c r="C59" s="12" t="s">
        <v>47</v>
      </c>
      <c r="F59" s="12" t="s">
        <v>453</v>
      </c>
      <c r="G59" s="12" t="s">
        <v>379</v>
      </c>
      <c r="H59" s="12" t="s">
        <v>380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364</v>
      </c>
      <c r="B60" s="12">
        <v>12</v>
      </c>
      <c r="C60" s="12" t="s">
        <v>45</v>
      </c>
      <c r="D60" s="12" t="s">
        <v>378</v>
      </c>
      <c r="N60" s="12" t="s">
        <v>90</v>
      </c>
    </row>
    <row r="61" spans="1:14" s="12" customFormat="1" x14ac:dyDescent="0.2">
      <c r="A61" s="13" t="s">
        <v>364</v>
      </c>
      <c r="B61" s="12">
        <v>13</v>
      </c>
      <c r="C61" s="12" t="s">
        <v>47</v>
      </c>
      <c r="F61" s="12" t="s">
        <v>453</v>
      </c>
      <c r="G61" s="12" t="s">
        <v>381</v>
      </c>
      <c r="H61" s="12" t="s">
        <v>382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364</v>
      </c>
      <c r="B62" s="12">
        <v>14</v>
      </c>
      <c r="C62" s="12" t="s">
        <v>45</v>
      </c>
      <c r="D62" s="12" t="s">
        <v>559</v>
      </c>
      <c r="N62" s="12" t="s">
        <v>90</v>
      </c>
    </row>
    <row r="63" spans="1:14" s="12" customFormat="1" x14ac:dyDescent="0.2">
      <c r="A63" s="13" t="s">
        <v>364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1121</v>
      </c>
      <c r="B64" s="12">
        <v>16</v>
      </c>
      <c r="C64" s="12" t="s">
        <v>17</v>
      </c>
      <c r="D64" s="12" t="s">
        <v>366</v>
      </c>
      <c r="N64" s="12" t="s">
        <v>92</v>
      </c>
    </row>
    <row r="65" spans="1:14" s="12" customFormat="1" x14ac:dyDescent="0.2">
      <c r="A65" s="13" t="s">
        <v>1121</v>
      </c>
      <c r="B65" s="12">
        <v>17</v>
      </c>
      <c r="C65" s="12" t="s">
        <v>47</v>
      </c>
      <c r="F65" s="12" t="s">
        <v>453</v>
      </c>
      <c r="G65" s="12" t="s">
        <v>368</v>
      </c>
      <c r="H65" s="12" t="s">
        <v>1128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1121</v>
      </c>
      <c r="B66" s="12">
        <v>18</v>
      </c>
      <c r="C66" s="12" t="s">
        <v>47</v>
      </c>
      <c r="F66" s="12" t="s">
        <v>453</v>
      </c>
      <c r="G66" s="12" t="s">
        <v>368</v>
      </c>
      <c r="H66" s="12" t="s">
        <v>1129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1121</v>
      </c>
      <c r="B67" s="12">
        <v>19</v>
      </c>
      <c r="C67" s="12" t="s">
        <v>47</v>
      </c>
      <c r="F67" s="12" t="s">
        <v>453</v>
      </c>
      <c r="G67" s="12" t="s">
        <v>368</v>
      </c>
      <c r="H67" s="12" t="s">
        <v>1132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1121</v>
      </c>
      <c r="B68" s="12">
        <v>20</v>
      </c>
      <c r="C68" s="12" t="s">
        <v>45</v>
      </c>
      <c r="D68" s="12" t="s">
        <v>1194</v>
      </c>
      <c r="N68" s="12" t="s">
        <v>92</v>
      </c>
    </row>
    <row r="69" spans="1:14" s="12" customFormat="1" x14ac:dyDescent="0.2">
      <c r="A69" s="13" t="s">
        <v>1121</v>
      </c>
      <c r="B69" s="12">
        <v>21</v>
      </c>
      <c r="C69" s="12" t="s">
        <v>17</v>
      </c>
      <c r="D69" s="12" t="s">
        <v>560</v>
      </c>
      <c r="N69" s="12" t="s">
        <v>93</v>
      </c>
    </row>
    <row r="70" spans="1:14" s="12" customFormat="1" x14ac:dyDescent="0.2">
      <c r="A70" s="13" t="s">
        <v>1121</v>
      </c>
      <c r="B70" s="12">
        <v>22</v>
      </c>
      <c r="C70" s="12" t="s">
        <v>47</v>
      </c>
      <c r="F70" s="12" t="s">
        <v>453</v>
      </c>
      <c r="G70" s="12" t="s">
        <v>369</v>
      </c>
      <c r="H70" s="12" t="s">
        <v>1124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1121</v>
      </c>
      <c r="B71" s="12">
        <v>23</v>
      </c>
      <c r="C71" s="12" t="s">
        <v>47</v>
      </c>
      <c r="F71" s="12" t="s">
        <v>453</v>
      </c>
      <c r="G71" s="12" t="s">
        <v>369</v>
      </c>
      <c r="H71" s="12" t="s">
        <v>1126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1121</v>
      </c>
      <c r="B72" s="12">
        <v>24</v>
      </c>
      <c r="C72" s="12" t="s">
        <v>45</v>
      </c>
      <c r="D72" s="12" t="s">
        <v>1195</v>
      </c>
      <c r="N72" s="12" t="s">
        <v>93</v>
      </c>
    </row>
    <row r="73" spans="1:14" s="12" customFormat="1" x14ac:dyDescent="0.2">
      <c r="A73" s="13" t="s">
        <v>1121</v>
      </c>
      <c r="B73" s="12">
        <v>25</v>
      </c>
      <c r="C73" s="12" t="s">
        <v>47</v>
      </c>
      <c r="F73" s="12" t="s">
        <v>453</v>
      </c>
      <c r="G73" s="12" t="s">
        <v>369</v>
      </c>
      <c r="H73" s="12" t="s">
        <v>1127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1121</v>
      </c>
      <c r="B74" s="12">
        <v>26</v>
      </c>
      <c r="C74" s="12" t="s">
        <v>45</v>
      </c>
      <c r="D74" s="12" t="s">
        <v>1195</v>
      </c>
      <c r="N74" s="12" t="s">
        <v>93</v>
      </c>
    </row>
    <row r="75" spans="1:14" s="12" customFormat="1" x14ac:dyDescent="0.2">
      <c r="A75" s="13" t="s">
        <v>1121</v>
      </c>
      <c r="B75" s="12">
        <v>27</v>
      </c>
      <c r="C75" s="12" t="s">
        <v>47</v>
      </c>
      <c r="F75" s="12" t="s">
        <v>453</v>
      </c>
      <c r="G75" s="12" t="s">
        <v>369</v>
      </c>
      <c r="H75" s="12" t="s">
        <v>1125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1121</v>
      </c>
      <c r="B76" s="12">
        <v>28</v>
      </c>
      <c r="C76" s="12" t="s">
        <v>45</v>
      </c>
      <c r="D76" s="12" t="s">
        <v>1195</v>
      </c>
      <c r="N76" s="12" t="s">
        <v>93</v>
      </c>
    </row>
    <row r="77" spans="1:14" s="12" customFormat="1" x14ac:dyDescent="0.2">
      <c r="A77" s="13" t="s">
        <v>1121</v>
      </c>
      <c r="B77" s="12">
        <v>29</v>
      </c>
      <c r="C77" s="12" t="s">
        <v>17</v>
      </c>
      <c r="D77" s="12" t="s">
        <v>374</v>
      </c>
      <c r="N77" s="12" t="s">
        <v>95</v>
      </c>
    </row>
    <row r="78" spans="1:14" s="12" customFormat="1" x14ac:dyDescent="0.2">
      <c r="A78" s="13" t="s">
        <v>1121</v>
      </c>
      <c r="B78" s="12">
        <v>30</v>
      </c>
      <c r="C78" s="12" t="s">
        <v>47</v>
      </c>
      <c r="F78" s="12" t="s">
        <v>453</v>
      </c>
      <c r="G78" s="12" t="s">
        <v>372</v>
      </c>
      <c r="H78" s="12" t="s">
        <v>1130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1121</v>
      </c>
      <c r="B79" s="12">
        <v>31</v>
      </c>
      <c r="C79" s="12" t="s">
        <v>47</v>
      </c>
      <c r="F79" s="12" t="s">
        <v>453</v>
      </c>
      <c r="G79" s="12" t="s">
        <v>372</v>
      </c>
      <c r="H79" s="12" t="s">
        <v>1131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1121</v>
      </c>
      <c r="B80" s="12">
        <v>32</v>
      </c>
      <c r="C80" s="12" t="s">
        <v>45</v>
      </c>
      <c r="D80" s="12" t="s">
        <v>1195</v>
      </c>
      <c r="N80" s="12" t="s">
        <v>95</v>
      </c>
    </row>
    <row r="81" spans="1:14" s="12" customFormat="1" x14ac:dyDescent="0.2">
      <c r="A81" s="13" t="s">
        <v>1123</v>
      </c>
      <c r="B81" s="12">
        <v>1</v>
      </c>
      <c r="C81" s="12" t="s">
        <v>17</v>
      </c>
      <c r="D81" s="12" t="s">
        <v>375</v>
      </c>
      <c r="N81" s="12" t="s">
        <v>92</v>
      </c>
    </row>
    <row r="82" spans="1:14" s="12" customFormat="1" x14ac:dyDescent="0.2">
      <c r="A82" s="13" t="s">
        <v>1123</v>
      </c>
      <c r="B82" s="12">
        <v>2</v>
      </c>
      <c r="C82" s="12" t="s">
        <v>47</v>
      </c>
      <c r="F82" s="12" t="s">
        <v>453</v>
      </c>
      <c r="G82" s="12" t="s">
        <v>376</v>
      </c>
      <c r="H82" s="12" t="s">
        <v>1133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1123</v>
      </c>
      <c r="B83" s="12">
        <v>3</v>
      </c>
      <c r="C83" s="12" t="s">
        <v>47</v>
      </c>
      <c r="F83" s="12" t="s">
        <v>453</v>
      </c>
      <c r="G83" s="12" t="s">
        <v>376</v>
      </c>
      <c r="H83" s="12" t="s">
        <v>1134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1123</v>
      </c>
      <c r="B84" s="12">
        <v>4</v>
      </c>
      <c r="C84" s="12" t="s">
        <v>17</v>
      </c>
      <c r="D84" s="12" t="s">
        <v>378</v>
      </c>
      <c r="N84" s="12" t="s">
        <v>93</v>
      </c>
    </row>
    <row r="85" spans="1:14" s="12" customFormat="1" x14ac:dyDescent="0.2">
      <c r="A85" s="13" t="s">
        <v>1123</v>
      </c>
      <c r="B85" s="12">
        <v>5</v>
      </c>
      <c r="C85" s="12" t="s">
        <v>47</v>
      </c>
      <c r="F85" s="12" t="s">
        <v>453</v>
      </c>
      <c r="G85" s="12" t="s">
        <v>379</v>
      </c>
      <c r="H85" s="12" t="s">
        <v>380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1122</v>
      </c>
      <c r="B86" s="12">
        <v>1</v>
      </c>
      <c r="C86" s="12" t="s">
        <v>17</v>
      </c>
      <c r="D86" s="12" t="s">
        <v>1135</v>
      </c>
      <c r="N86" s="12" t="s">
        <v>92</v>
      </c>
    </row>
    <row r="87" spans="1:14" s="12" customFormat="1" x14ac:dyDescent="0.2">
      <c r="A87" s="13" t="s">
        <v>1122</v>
      </c>
      <c r="B87" s="12">
        <v>2</v>
      </c>
      <c r="C87" s="12" t="s">
        <v>47</v>
      </c>
      <c r="F87" s="12" t="s">
        <v>453</v>
      </c>
      <c r="G87" s="12" t="s">
        <v>381</v>
      </c>
      <c r="H87" s="12" t="s">
        <v>382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451</v>
      </c>
      <c r="B97" s="16">
        <v>1</v>
      </c>
      <c r="C97" s="16" t="s">
        <v>46</v>
      </c>
      <c r="D97" s="16" t="s">
        <v>326</v>
      </c>
      <c r="M97" s="16" t="s">
        <v>327</v>
      </c>
      <c r="N97" s="16" t="s">
        <v>90</v>
      </c>
    </row>
    <row r="98" spans="1:14" s="16" customFormat="1" x14ac:dyDescent="0.2">
      <c r="A98" s="17" t="s">
        <v>451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451</v>
      </c>
      <c r="B99" s="16">
        <v>3</v>
      </c>
      <c r="C99" s="16" t="s">
        <v>47</v>
      </c>
      <c r="F99" s="16" t="s">
        <v>462</v>
      </c>
      <c r="G99" s="16" t="s">
        <v>455</v>
      </c>
      <c r="H99" s="16" t="s">
        <v>454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451</v>
      </c>
      <c r="B100" s="16">
        <v>4</v>
      </c>
      <c r="C100" s="16" t="s">
        <v>45</v>
      </c>
      <c r="D100" s="16" t="s">
        <v>452</v>
      </c>
      <c r="N100" s="16" t="s">
        <v>90</v>
      </c>
    </row>
    <row r="101" spans="1:14" s="16" customFormat="1" x14ac:dyDescent="0.2">
      <c r="A101" s="17" t="s">
        <v>456</v>
      </c>
      <c r="B101" s="16">
        <v>5</v>
      </c>
      <c r="C101" s="16" t="s">
        <v>17</v>
      </c>
      <c r="D101" s="16" t="s">
        <v>452</v>
      </c>
      <c r="N101" s="16" t="s">
        <v>92</v>
      </c>
    </row>
    <row r="102" spans="1:14" s="16" customFormat="1" x14ac:dyDescent="0.2">
      <c r="A102" s="17" t="s">
        <v>456</v>
      </c>
      <c r="B102" s="16">
        <v>6</v>
      </c>
      <c r="C102" s="16" t="s">
        <v>47</v>
      </c>
      <c r="F102" s="16" t="s">
        <v>462</v>
      </c>
      <c r="G102" s="16" t="s">
        <v>455</v>
      </c>
      <c r="H102" s="16" t="s">
        <v>454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456</v>
      </c>
      <c r="B103" s="16">
        <v>7</v>
      </c>
      <c r="C103" s="16" t="s">
        <v>47</v>
      </c>
      <c r="F103" s="16" t="s">
        <v>462</v>
      </c>
      <c r="G103" s="16" t="s">
        <v>455</v>
      </c>
      <c r="H103" s="16" t="s">
        <v>457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456</v>
      </c>
      <c r="B104" s="16">
        <v>8</v>
      </c>
      <c r="C104" s="16" t="s">
        <v>47</v>
      </c>
      <c r="F104" s="16" t="s">
        <v>462</v>
      </c>
      <c r="G104" s="16" t="s">
        <v>455</v>
      </c>
      <c r="H104" s="16" t="s">
        <v>458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456</v>
      </c>
      <c r="B105" s="16">
        <v>9</v>
      </c>
      <c r="C105" s="16" t="s">
        <v>47</v>
      </c>
      <c r="F105" s="16" t="s">
        <v>462</v>
      </c>
      <c r="G105" s="16" t="s">
        <v>455</v>
      </c>
      <c r="H105" s="16" t="s">
        <v>459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456</v>
      </c>
      <c r="B106" s="16">
        <v>10</v>
      </c>
      <c r="C106" s="16" t="s">
        <v>47</v>
      </c>
      <c r="F106" s="16" t="s">
        <v>462</v>
      </c>
      <c r="G106" s="16" t="s">
        <v>455</v>
      </c>
      <c r="H106" s="16" t="s">
        <v>460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456</v>
      </c>
      <c r="B107" s="16">
        <v>11</v>
      </c>
      <c r="C107" s="16" t="s">
        <v>47</v>
      </c>
      <c r="F107" s="16" t="s">
        <v>462</v>
      </c>
      <c r="G107" s="16" t="s">
        <v>455</v>
      </c>
      <c r="H107" s="16" t="s">
        <v>461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456</v>
      </c>
      <c r="B108" s="16">
        <v>12</v>
      </c>
      <c r="C108" s="16" t="s">
        <v>45</v>
      </c>
      <c r="D108" s="16" t="s">
        <v>1196</v>
      </c>
      <c r="N108" s="16" t="s">
        <v>92</v>
      </c>
    </row>
    <row r="110" spans="1:14" s="18" customFormat="1" x14ac:dyDescent="0.2">
      <c r="A110" s="18" t="s">
        <v>464</v>
      </c>
      <c r="B110" s="18">
        <v>1</v>
      </c>
      <c r="C110" s="18" t="s">
        <v>46</v>
      </c>
      <c r="D110" s="18" t="s">
        <v>483</v>
      </c>
      <c r="M110" s="18" t="s">
        <v>467</v>
      </c>
      <c r="N110" s="18" t="s">
        <v>90</v>
      </c>
    </row>
    <row r="111" spans="1:14" s="18" customFormat="1" x14ac:dyDescent="0.2">
      <c r="A111" s="18" t="s">
        <v>464</v>
      </c>
      <c r="B111" s="18">
        <v>2</v>
      </c>
      <c r="C111" s="18" t="s">
        <v>47</v>
      </c>
      <c r="F111" s="18" t="s">
        <v>470</v>
      </c>
      <c r="G111" s="18" t="s">
        <v>471</v>
      </c>
      <c r="H111" s="18" t="s">
        <v>473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464</v>
      </c>
      <c r="B112" s="18">
        <v>3</v>
      </c>
      <c r="C112" s="18" t="s">
        <v>45</v>
      </c>
      <c r="D112" s="18" t="s">
        <v>472</v>
      </c>
      <c r="N112" s="18" t="s">
        <v>90</v>
      </c>
    </row>
    <row r="113" spans="1:14" s="18" customFormat="1" x14ac:dyDescent="0.2">
      <c r="A113" s="18" t="s">
        <v>464</v>
      </c>
      <c r="B113" s="18">
        <v>4</v>
      </c>
      <c r="C113" s="18" t="s">
        <v>46</v>
      </c>
      <c r="D113" s="18" t="s">
        <v>326</v>
      </c>
      <c r="M113" s="18" t="s">
        <v>327</v>
      </c>
      <c r="N113" s="18" t="s">
        <v>90</v>
      </c>
    </row>
    <row r="114" spans="1:14" s="18" customFormat="1" x14ac:dyDescent="0.2">
      <c r="A114" s="18" t="s">
        <v>464</v>
      </c>
      <c r="B114" s="18">
        <v>5</v>
      </c>
      <c r="C114" s="18" t="s">
        <v>45</v>
      </c>
      <c r="D114" s="18" t="s">
        <v>477</v>
      </c>
      <c r="N114" s="18" t="s">
        <v>90</v>
      </c>
    </row>
    <row r="115" spans="1:14" s="18" customFormat="1" x14ac:dyDescent="0.2">
      <c r="A115" s="18" t="s">
        <v>465</v>
      </c>
      <c r="B115" s="18">
        <v>6</v>
      </c>
      <c r="C115" s="18" t="s">
        <v>17</v>
      </c>
      <c r="D115" s="18" t="s">
        <v>478</v>
      </c>
      <c r="N115" s="18" t="s">
        <v>92</v>
      </c>
    </row>
    <row r="116" spans="1:14" s="18" customFormat="1" x14ac:dyDescent="0.2">
      <c r="A116" s="18" t="s">
        <v>465</v>
      </c>
      <c r="B116" s="18">
        <v>7</v>
      </c>
      <c r="C116" s="18" t="s">
        <v>47</v>
      </c>
      <c r="F116" s="18" t="s">
        <v>470</v>
      </c>
      <c r="G116" s="18" t="s">
        <v>471</v>
      </c>
      <c r="H116" s="18" t="s">
        <v>473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465</v>
      </c>
      <c r="B117" s="18">
        <v>8</v>
      </c>
      <c r="C117" s="18" t="s">
        <v>47</v>
      </c>
      <c r="F117" s="18" t="s">
        <v>470</v>
      </c>
      <c r="G117" s="18" t="s">
        <v>471</v>
      </c>
      <c r="H117" s="18" t="s">
        <v>480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465</v>
      </c>
      <c r="B118" s="18">
        <v>9</v>
      </c>
      <c r="C118" s="18" t="s">
        <v>47</v>
      </c>
      <c r="F118" s="18" t="s">
        <v>470</v>
      </c>
      <c r="G118" s="18" t="s">
        <v>471</v>
      </c>
      <c r="H118" s="18" t="s">
        <v>481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465</v>
      </c>
      <c r="B119" s="18">
        <v>10</v>
      </c>
      <c r="C119" s="18" t="s">
        <v>47</v>
      </c>
      <c r="F119" s="18" t="s">
        <v>470</v>
      </c>
      <c r="G119" s="18" t="s">
        <v>471</v>
      </c>
      <c r="H119" s="18" t="s">
        <v>482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465</v>
      </c>
      <c r="B120" s="18">
        <v>11</v>
      </c>
      <c r="C120" s="18" t="s">
        <v>17</v>
      </c>
      <c r="D120" s="18" t="s">
        <v>476</v>
      </c>
      <c r="N120" s="18" t="s">
        <v>93</v>
      </c>
    </row>
    <row r="121" spans="1:14" s="18" customFormat="1" x14ac:dyDescent="0.2">
      <c r="A121" s="18" t="s">
        <v>465</v>
      </c>
      <c r="B121" s="18">
        <v>12</v>
      </c>
      <c r="C121" s="18" t="s">
        <v>47</v>
      </c>
      <c r="F121" s="18" t="s">
        <v>474</v>
      </c>
      <c r="H121" s="18" t="s">
        <v>475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465</v>
      </c>
      <c r="B122" s="18">
        <v>13</v>
      </c>
      <c r="C122" s="18" t="s">
        <v>47</v>
      </c>
      <c r="F122" s="18" t="s">
        <v>474</v>
      </c>
      <c r="H122" s="18" t="s">
        <v>479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465</v>
      </c>
      <c r="B123" s="18">
        <v>14</v>
      </c>
      <c r="C123" s="18" t="s">
        <v>45</v>
      </c>
      <c r="D123" s="18" t="s">
        <v>1197</v>
      </c>
      <c r="N123" s="18" t="s">
        <v>93</v>
      </c>
    </row>
    <row r="125" spans="1:14" s="21" customFormat="1" x14ac:dyDescent="0.2">
      <c r="A125" s="21" t="s">
        <v>563</v>
      </c>
      <c r="B125" s="21">
        <v>1</v>
      </c>
      <c r="C125" s="21" t="s">
        <v>45</v>
      </c>
      <c r="D125" s="21" t="s">
        <v>562</v>
      </c>
      <c r="N125" s="21" t="s">
        <v>90</v>
      </c>
    </row>
    <row r="126" spans="1:14" s="21" customFormat="1" x14ac:dyDescent="0.2">
      <c r="A126" s="21" t="s">
        <v>563</v>
      </c>
      <c r="B126" s="21">
        <v>2</v>
      </c>
      <c r="C126" s="21" t="s">
        <v>45</v>
      </c>
      <c r="D126" s="21" t="s">
        <v>587</v>
      </c>
      <c r="N126" s="21" t="s">
        <v>90</v>
      </c>
    </row>
    <row r="127" spans="1:14" s="21" customFormat="1" x14ac:dyDescent="0.2">
      <c r="A127" s="21" t="s">
        <v>563</v>
      </c>
      <c r="B127" s="21">
        <v>3</v>
      </c>
      <c r="C127" s="21" t="s">
        <v>46</v>
      </c>
      <c r="D127" s="21" t="s">
        <v>564</v>
      </c>
      <c r="M127" s="21" t="s">
        <v>567</v>
      </c>
      <c r="N127" s="21" t="s">
        <v>90</v>
      </c>
    </row>
    <row r="128" spans="1:14" s="21" customFormat="1" x14ac:dyDescent="0.2">
      <c r="A128" s="21" t="s">
        <v>563</v>
      </c>
      <c r="B128" s="21">
        <v>4</v>
      </c>
      <c r="C128" s="21" t="s">
        <v>45</v>
      </c>
      <c r="D128" s="21" t="s">
        <v>568</v>
      </c>
      <c r="N128" s="21" t="s">
        <v>90</v>
      </c>
    </row>
    <row r="130" spans="1:14" s="21" customFormat="1" x14ac:dyDescent="0.2">
      <c r="A130" s="22" t="s">
        <v>570</v>
      </c>
      <c r="B130" s="21">
        <v>1</v>
      </c>
      <c r="C130" s="21" t="s">
        <v>45</v>
      </c>
      <c r="D130" s="21" t="s">
        <v>571</v>
      </c>
      <c r="N130" s="21" t="s">
        <v>90</v>
      </c>
    </row>
    <row r="131" spans="1:14" s="21" customFormat="1" x14ac:dyDescent="0.2">
      <c r="A131" s="22" t="s">
        <v>570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570</v>
      </c>
      <c r="B132" s="21">
        <v>3</v>
      </c>
      <c r="C132" s="21" t="s">
        <v>45</v>
      </c>
      <c r="D132" s="21" t="s">
        <v>328</v>
      </c>
      <c r="N132" s="21" t="s">
        <v>90</v>
      </c>
    </row>
    <row r="133" spans="1:14" s="21" customFormat="1" x14ac:dyDescent="0.2">
      <c r="A133" s="22" t="s">
        <v>570</v>
      </c>
      <c r="B133" s="21">
        <v>4</v>
      </c>
      <c r="C133" s="21" t="s">
        <v>46</v>
      </c>
      <c r="D133" s="21" t="s">
        <v>326</v>
      </c>
      <c r="M133" s="21" t="s">
        <v>327</v>
      </c>
      <c r="N133" s="21" t="s">
        <v>90</v>
      </c>
    </row>
    <row r="134" spans="1:14" s="21" customFormat="1" x14ac:dyDescent="0.2">
      <c r="A134" s="22" t="s">
        <v>570</v>
      </c>
      <c r="B134" s="21">
        <v>5</v>
      </c>
      <c r="C134" s="21" t="s">
        <v>45</v>
      </c>
      <c r="D134" s="21" t="s">
        <v>328</v>
      </c>
      <c r="N134" s="21" t="s">
        <v>90</v>
      </c>
    </row>
    <row r="135" spans="1:14" s="21" customFormat="1" x14ac:dyDescent="0.2">
      <c r="A135" s="22" t="s">
        <v>570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570</v>
      </c>
      <c r="B136" s="21">
        <v>7</v>
      </c>
      <c r="C136" s="21" t="s">
        <v>45</v>
      </c>
      <c r="D136" s="21" t="s">
        <v>328</v>
      </c>
      <c r="N136" s="21" t="s">
        <v>90</v>
      </c>
    </row>
    <row r="137" spans="1:14" s="21" customFormat="1" x14ac:dyDescent="0.2">
      <c r="A137" s="22" t="s">
        <v>570</v>
      </c>
      <c r="B137" s="21">
        <v>8</v>
      </c>
      <c r="C137" s="21" t="s">
        <v>45</v>
      </c>
      <c r="D137" s="21" t="s">
        <v>572</v>
      </c>
      <c r="N137" s="21" t="s">
        <v>90</v>
      </c>
    </row>
    <row r="139" spans="1:14" ht="17" x14ac:dyDescent="0.2">
      <c r="A139" s="5" t="s">
        <v>1139</v>
      </c>
      <c r="B139">
        <v>1</v>
      </c>
      <c r="C139" t="s">
        <v>47</v>
      </c>
      <c r="F139" t="s">
        <v>1140</v>
      </c>
      <c r="H139" t="s">
        <v>1141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1139</v>
      </c>
      <c r="B140">
        <v>2</v>
      </c>
      <c r="C140" t="s">
        <v>45</v>
      </c>
      <c r="D140" t="s">
        <v>1142</v>
      </c>
      <c r="N140" t="s">
        <v>90</v>
      </c>
    </row>
    <row r="141" spans="1:14" ht="17" x14ac:dyDescent="0.2">
      <c r="A141" s="5" t="s">
        <v>1139</v>
      </c>
      <c r="B141">
        <v>3</v>
      </c>
      <c r="C141" t="s">
        <v>47</v>
      </c>
      <c r="F141" t="s">
        <v>1143</v>
      </c>
      <c r="H141" t="s">
        <v>377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1139</v>
      </c>
      <c r="B142">
        <v>4</v>
      </c>
      <c r="C142" t="s">
        <v>45</v>
      </c>
      <c r="D142" t="s">
        <v>375</v>
      </c>
      <c r="N142" t="s">
        <v>90</v>
      </c>
    </row>
    <row r="143" spans="1:14" ht="17" x14ac:dyDescent="0.2">
      <c r="A143" s="5" t="s">
        <v>1139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1139</v>
      </c>
      <c r="B144">
        <v>6</v>
      </c>
      <c r="C144" t="s">
        <v>45</v>
      </c>
      <c r="D144" t="s">
        <v>328</v>
      </c>
      <c r="N144" t="s">
        <v>90</v>
      </c>
    </row>
    <row r="145" spans="1:14" ht="17" x14ac:dyDescent="0.2">
      <c r="A145" s="5" t="s">
        <v>1139</v>
      </c>
      <c r="B145">
        <v>7</v>
      </c>
      <c r="C145" t="s">
        <v>46</v>
      </c>
      <c r="D145" t="s">
        <v>326</v>
      </c>
      <c r="M145" t="s">
        <v>327</v>
      </c>
      <c r="N145" t="s">
        <v>90</v>
      </c>
    </row>
    <row r="146" spans="1:14" ht="17" x14ac:dyDescent="0.2">
      <c r="A146" s="5" t="s">
        <v>1139</v>
      </c>
      <c r="B146">
        <v>8</v>
      </c>
      <c r="C146" t="s">
        <v>45</v>
      </c>
      <c r="D146" t="s">
        <v>328</v>
      </c>
      <c r="N146" t="s">
        <v>90</v>
      </c>
    </row>
    <row r="147" spans="1:14" ht="17" x14ac:dyDescent="0.2">
      <c r="A147" s="5" t="s">
        <v>1139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1139</v>
      </c>
      <c r="B148">
        <v>10</v>
      </c>
      <c r="C148" t="s">
        <v>47</v>
      </c>
      <c r="F148" t="s">
        <v>1148</v>
      </c>
      <c r="H148" t="s">
        <v>1149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1139</v>
      </c>
      <c r="B149">
        <v>11</v>
      </c>
      <c r="C149" t="s">
        <v>45</v>
      </c>
      <c r="D149" t="s">
        <v>1147</v>
      </c>
      <c r="N149" t="s">
        <v>90</v>
      </c>
    </row>
    <row r="150" spans="1:14" ht="17" x14ac:dyDescent="0.2">
      <c r="A150" s="5" t="s">
        <v>1139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1139</v>
      </c>
      <c r="B151">
        <v>13</v>
      </c>
      <c r="C151" t="s">
        <v>47</v>
      </c>
      <c r="F151" t="s">
        <v>1144</v>
      </c>
      <c r="H151" t="s">
        <v>1145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1139</v>
      </c>
      <c r="B152">
        <v>14</v>
      </c>
      <c r="C152" t="s">
        <v>45</v>
      </c>
      <c r="D152" t="s">
        <v>1187</v>
      </c>
      <c r="N152" t="s">
        <v>90</v>
      </c>
    </row>
    <row r="153" spans="1:14" ht="17" x14ac:dyDescent="0.2">
      <c r="A153" s="5" t="s">
        <v>1146</v>
      </c>
      <c r="B153">
        <v>1</v>
      </c>
      <c r="C153" t="s">
        <v>17</v>
      </c>
      <c r="D153" t="s">
        <v>1142</v>
      </c>
      <c r="N153" t="s">
        <v>92</v>
      </c>
    </row>
    <row r="154" spans="1:14" ht="17" x14ac:dyDescent="0.2">
      <c r="A154" s="5" t="s">
        <v>1146</v>
      </c>
      <c r="B154">
        <v>2</v>
      </c>
      <c r="C154" t="s">
        <v>47</v>
      </c>
      <c r="F154" t="s">
        <v>1140</v>
      </c>
      <c r="H154" t="s">
        <v>1150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1146</v>
      </c>
      <c r="B155">
        <v>3</v>
      </c>
      <c r="C155" t="s">
        <v>47</v>
      </c>
      <c r="F155" t="s">
        <v>1140</v>
      </c>
      <c r="H155" t="s">
        <v>1151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1146</v>
      </c>
      <c r="B156">
        <v>4</v>
      </c>
      <c r="C156" t="s">
        <v>47</v>
      </c>
      <c r="F156" t="s">
        <v>1140</v>
      </c>
      <c r="H156" t="s">
        <v>1152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1146</v>
      </c>
      <c r="B157">
        <v>5</v>
      </c>
      <c r="C157" t="s">
        <v>45</v>
      </c>
      <c r="D157" t="s">
        <v>1195</v>
      </c>
      <c r="N157" t="s">
        <v>92</v>
      </c>
    </row>
    <row r="158" spans="1:14" ht="17" x14ac:dyDescent="0.2">
      <c r="A158" s="5" t="s">
        <v>1146</v>
      </c>
      <c r="B158">
        <v>6</v>
      </c>
      <c r="C158" t="s">
        <v>17</v>
      </c>
      <c r="D158" t="s">
        <v>1147</v>
      </c>
      <c r="N158" t="s">
        <v>93</v>
      </c>
    </row>
    <row r="159" spans="1:14" ht="17" x14ac:dyDescent="0.2">
      <c r="A159" s="5" t="s">
        <v>1146</v>
      </c>
      <c r="B159">
        <v>7</v>
      </c>
      <c r="C159" t="s">
        <v>47</v>
      </c>
      <c r="F159" t="s">
        <v>1148</v>
      </c>
      <c r="H159" t="s">
        <v>1154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1146</v>
      </c>
      <c r="B160">
        <v>8</v>
      </c>
      <c r="C160" t="s">
        <v>47</v>
      </c>
      <c r="F160" t="s">
        <v>1148</v>
      </c>
      <c r="H160" t="s">
        <v>1155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1146</v>
      </c>
      <c r="B161">
        <v>9</v>
      </c>
      <c r="C161" t="s">
        <v>47</v>
      </c>
      <c r="F161" t="s">
        <v>1148</v>
      </c>
      <c r="H161" t="s">
        <v>1156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1146</v>
      </c>
      <c r="B162">
        <v>10</v>
      </c>
      <c r="C162" t="s">
        <v>47</v>
      </c>
      <c r="F162" t="s">
        <v>1148</v>
      </c>
      <c r="H162" t="s">
        <v>1157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1146</v>
      </c>
      <c r="B163">
        <v>11</v>
      </c>
      <c r="C163" t="s">
        <v>47</v>
      </c>
      <c r="F163" t="s">
        <v>1148</v>
      </c>
      <c r="H163" t="s">
        <v>1158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1090</v>
      </c>
      <c r="B175">
        <v>1</v>
      </c>
      <c r="C175" t="s">
        <v>45</v>
      </c>
      <c r="D175" t="s">
        <v>1095</v>
      </c>
      <c r="N175" t="s">
        <v>90</v>
      </c>
    </row>
    <row r="176" spans="1:14" x14ac:dyDescent="0.2">
      <c r="A176" t="s">
        <v>1090</v>
      </c>
      <c r="B176" s="27">
        <v>2</v>
      </c>
      <c r="C176" t="s">
        <v>45</v>
      </c>
      <c r="D176" t="s">
        <v>1101</v>
      </c>
      <c r="N176" t="s">
        <v>90</v>
      </c>
    </row>
    <row r="177" spans="1:14" x14ac:dyDescent="0.2">
      <c r="A177" t="s">
        <v>1090</v>
      </c>
      <c r="B177">
        <v>3</v>
      </c>
      <c r="C177" t="s">
        <v>47</v>
      </c>
      <c r="F177" t="s">
        <v>423</v>
      </c>
      <c r="G177" t="s">
        <v>424</v>
      </c>
      <c r="H177" t="s">
        <v>425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1090</v>
      </c>
      <c r="B178" s="27">
        <v>4</v>
      </c>
      <c r="C178" t="s">
        <v>47</v>
      </c>
      <c r="F178" t="s">
        <v>423</v>
      </c>
      <c r="G178" t="s">
        <v>424</v>
      </c>
      <c r="H178" t="s">
        <v>426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1090</v>
      </c>
      <c r="B179">
        <v>5</v>
      </c>
      <c r="C179" t="s">
        <v>45</v>
      </c>
      <c r="D179" t="s">
        <v>1092</v>
      </c>
      <c r="N179" t="s">
        <v>90</v>
      </c>
    </row>
    <row r="180" spans="1:14" x14ac:dyDescent="0.2">
      <c r="A180" t="s">
        <v>1090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1091</v>
      </c>
      <c r="B182">
        <v>1</v>
      </c>
      <c r="C182" t="s">
        <v>45</v>
      </c>
      <c r="D182" t="s">
        <v>1095</v>
      </c>
      <c r="N182" t="s">
        <v>90</v>
      </c>
    </row>
    <row r="183" spans="1:14" x14ac:dyDescent="0.2">
      <c r="A183" t="s">
        <v>1091</v>
      </c>
      <c r="B183" s="27">
        <v>2</v>
      </c>
      <c r="C183" t="s">
        <v>45</v>
      </c>
      <c r="D183" t="s">
        <v>1102</v>
      </c>
      <c r="N183" t="s">
        <v>90</v>
      </c>
    </row>
    <row r="184" spans="1:14" x14ac:dyDescent="0.2">
      <c r="A184" t="s">
        <v>1091</v>
      </c>
      <c r="B184">
        <v>3</v>
      </c>
      <c r="C184" t="s">
        <v>47</v>
      </c>
      <c r="F184" t="s">
        <v>428</v>
      </c>
      <c r="G184" t="s">
        <v>449</v>
      </c>
      <c r="H184" t="s">
        <v>429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1091</v>
      </c>
      <c r="B185" s="27">
        <v>4</v>
      </c>
      <c r="C185" t="s">
        <v>47</v>
      </c>
      <c r="F185" t="s">
        <v>428</v>
      </c>
      <c r="G185" t="s">
        <v>449</v>
      </c>
      <c r="H185" t="s">
        <v>430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1091</v>
      </c>
      <c r="B186">
        <v>5</v>
      </c>
      <c r="C186" t="s">
        <v>45</v>
      </c>
      <c r="D186" t="s">
        <v>1092</v>
      </c>
      <c r="N186" t="s">
        <v>90</v>
      </c>
    </row>
    <row r="187" spans="1:14" x14ac:dyDescent="0.2">
      <c r="A187" t="s">
        <v>1091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  <row r="191" spans="1:14" x14ac:dyDescent="0.2">
      <c r="A191" t="s">
        <v>1274</v>
      </c>
      <c r="B191">
        <v>1</v>
      </c>
      <c r="C191" t="s">
        <v>45</v>
      </c>
      <c r="D191" t="s">
        <v>1095</v>
      </c>
      <c r="N191" t="s">
        <v>90</v>
      </c>
    </row>
    <row r="192" spans="1:14" x14ac:dyDescent="0.2">
      <c r="A192" t="s">
        <v>1274</v>
      </c>
      <c r="B192">
        <v>2</v>
      </c>
      <c r="C192" t="s">
        <v>46</v>
      </c>
      <c r="D192" t="s">
        <v>50</v>
      </c>
      <c r="M192" t="s">
        <v>99</v>
      </c>
      <c r="N192" t="s">
        <v>90</v>
      </c>
    </row>
    <row r="193" spans="1:14" x14ac:dyDescent="0.2">
      <c r="A193" t="s">
        <v>1274</v>
      </c>
      <c r="B193">
        <v>3</v>
      </c>
      <c r="C193" t="s">
        <v>45</v>
      </c>
      <c r="D193" t="s">
        <v>1277</v>
      </c>
      <c r="N193" t="s">
        <v>90</v>
      </c>
    </row>
    <row r="194" spans="1:14" x14ac:dyDescent="0.2">
      <c r="A194" t="s">
        <v>1274</v>
      </c>
      <c r="B194">
        <v>4</v>
      </c>
      <c r="C194" t="s">
        <v>45</v>
      </c>
      <c r="D194" t="s">
        <v>1278</v>
      </c>
      <c r="N194" t="s">
        <v>90</v>
      </c>
    </row>
    <row r="195" spans="1:14" x14ac:dyDescent="0.2">
      <c r="A195" t="s">
        <v>1274</v>
      </c>
      <c r="B195">
        <v>5</v>
      </c>
      <c r="C195" t="s">
        <v>46</v>
      </c>
      <c r="D195" t="s">
        <v>50</v>
      </c>
      <c r="M195" t="s">
        <v>99</v>
      </c>
      <c r="N195" t="s">
        <v>90</v>
      </c>
    </row>
    <row r="196" spans="1:14" x14ac:dyDescent="0.2">
      <c r="A196" t="s">
        <v>1274</v>
      </c>
      <c r="B196">
        <v>6</v>
      </c>
      <c r="C196" t="s">
        <v>45</v>
      </c>
      <c r="D196" t="s">
        <v>1279</v>
      </c>
      <c r="N196" t="s">
        <v>90</v>
      </c>
    </row>
    <row r="198" spans="1:14" x14ac:dyDescent="0.2">
      <c r="A198" t="s">
        <v>1275</v>
      </c>
      <c r="B198">
        <v>1</v>
      </c>
      <c r="C198" t="s">
        <v>45</v>
      </c>
      <c r="D198" t="s">
        <v>1095</v>
      </c>
      <c r="N198" t="s">
        <v>90</v>
      </c>
    </row>
    <row r="199" spans="1:14" x14ac:dyDescent="0.2">
      <c r="A199" t="s">
        <v>1275</v>
      </c>
      <c r="B199">
        <v>2</v>
      </c>
      <c r="C199" t="s">
        <v>46</v>
      </c>
      <c r="D199" t="s">
        <v>50</v>
      </c>
      <c r="M199" t="s">
        <v>99</v>
      </c>
      <c r="N199" t="s">
        <v>90</v>
      </c>
    </row>
    <row r="200" spans="1:14" x14ac:dyDescent="0.2">
      <c r="A200" t="s">
        <v>1275</v>
      </c>
      <c r="B200">
        <v>3</v>
      </c>
      <c r="C200" t="s">
        <v>45</v>
      </c>
      <c r="D200" t="s">
        <v>1277</v>
      </c>
      <c r="N200" t="s">
        <v>90</v>
      </c>
    </row>
    <row r="201" spans="1:14" x14ac:dyDescent="0.2">
      <c r="A201" t="s">
        <v>1275</v>
      </c>
      <c r="B201">
        <v>4</v>
      </c>
      <c r="C201" t="s">
        <v>45</v>
      </c>
      <c r="D201" t="s">
        <v>1280</v>
      </c>
      <c r="N201" t="s">
        <v>90</v>
      </c>
    </row>
    <row r="202" spans="1:14" x14ac:dyDescent="0.2">
      <c r="A202" t="s">
        <v>1275</v>
      </c>
      <c r="B202">
        <v>5</v>
      </c>
      <c r="C202" t="s">
        <v>46</v>
      </c>
      <c r="D202" t="s">
        <v>50</v>
      </c>
      <c r="M202" t="s">
        <v>99</v>
      </c>
      <c r="N202" t="s">
        <v>90</v>
      </c>
    </row>
    <row r="203" spans="1:14" x14ac:dyDescent="0.2">
      <c r="A203" t="s">
        <v>1275</v>
      </c>
      <c r="B203">
        <v>6</v>
      </c>
      <c r="C203" t="s">
        <v>45</v>
      </c>
      <c r="D203" t="s">
        <v>1279</v>
      </c>
      <c r="N203" t="s">
        <v>90</v>
      </c>
    </row>
    <row r="205" spans="1:14" ht="17" x14ac:dyDescent="0.2">
      <c r="A205" s="5" t="s">
        <v>1276</v>
      </c>
      <c r="B205">
        <v>1</v>
      </c>
      <c r="C205" t="s">
        <v>45</v>
      </c>
      <c r="D205" t="s">
        <v>1095</v>
      </c>
      <c r="N205" t="s">
        <v>90</v>
      </c>
    </row>
    <row r="206" spans="1:14" ht="17" x14ac:dyDescent="0.2">
      <c r="A206" s="5" t="s">
        <v>1276</v>
      </c>
      <c r="B206">
        <v>2</v>
      </c>
      <c r="C206" t="s">
        <v>46</v>
      </c>
      <c r="D206" t="s">
        <v>50</v>
      </c>
      <c r="M206" t="s">
        <v>99</v>
      </c>
      <c r="N206" t="s">
        <v>90</v>
      </c>
    </row>
    <row r="207" spans="1:14" ht="17" x14ac:dyDescent="0.2">
      <c r="A207" s="5" t="s">
        <v>1276</v>
      </c>
      <c r="B207">
        <v>3</v>
      </c>
      <c r="C207" t="s">
        <v>45</v>
      </c>
      <c r="D207" t="s">
        <v>1279</v>
      </c>
      <c r="N207" t="s">
        <v>90</v>
      </c>
    </row>
    <row r="208" spans="1:14" ht="17" x14ac:dyDescent="0.2">
      <c r="A208" s="5" t="s">
        <v>1276</v>
      </c>
      <c r="B208">
        <v>4</v>
      </c>
      <c r="C208" t="s">
        <v>45</v>
      </c>
      <c r="D208" t="s">
        <v>1280</v>
      </c>
      <c r="N208" t="s">
        <v>90</v>
      </c>
    </row>
    <row r="209" spans="1:14" ht="17" x14ac:dyDescent="0.2">
      <c r="A209" s="5" t="s">
        <v>1276</v>
      </c>
      <c r="B209">
        <v>5</v>
      </c>
      <c r="C209" t="s">
        <v>46</v>
      </c>
      <c r="D209" t="s">
        <v>50</v>
      </c>
      <c r="M209" t="s">
        <v>99</v>
      </c>
      <c r="N209" t="s">
        <v>90</v>
      </c>
    </row>
    <row r="210" spans="1:14" ht="17" x14ac:dyDescent="0.2">
      <c r="A210" s="5" t="s">
        <v>1276</v>
      </c>
      <c r="B210">
        <v>6</v>
      </c>
      <c r="C210" t="s">
        <v>45</v>
      </c>
      <c r="D210" t="s">
        <v>1277</v>
      </c>
      <c r="N210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L1093"/>
  <sheetViews>
    <sheetView zoomScale="116" zoomScaleNormal="100" workbookViewId="0">
      <pane ySplit="1" topLeftCell="A1070" activePane="bottomLeft" state="frozen"/>
      <selection pane="bottomLeft" activeCell="A1082" sqref="A1082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24.33203125" customWidth="1"/>
    <col min="6" max="6" width="7.6640625" customWidth="1"/>
    <col min="7" max="7" width="32.5" bestFit="1" customWidth="1"/>
    <col min="8" max="8" width="4.5" bestFit="1" customWidth="1"/>
    <col min="9" max="9" width="6.33203125" bestFit="1" customWidth="1"/>
    <col min="10" max="10" width="12.33203125" bestFit="1" customWidth="1"/>
    <col min="11" max="11" width="6.6640625" bestFit="1" customWidth="1"/>
    <col min="12" max="12" width="59.6640625" bestFit="1" customWidth="1"/>
  </cols>
  <sheetData>
    <row r="1" spans="1:12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/>
      <c r="L1" s="1" t="s">
        <v>38</v>
      </c>
    </row>
    <row r="2" spans="1:12" s="9" customFormat="1" x14ac:dyDescent="0.2">
      <c r="A2" s="9" t="s">
        <v>30</v>
      </c>
      <c r="B2" s="24">
        <v>1</v>
      </c>
      <c r="C2" s="9" t="s">
        <v>39</v>
      </c>
      <c r="L2" s="9" t="s">
        <v>178</v>
      </c>
    </row>
    <row r="3" spans="1:12" s="9" customFormat="1" x14ac:dyDescent="0.2">
      <c r="A3" s="9" t="s">
        <v>30</v>
      </c>
      <c r="B3" s="24">
        <v>1</v>
      </c>
      <c r="C3" s="9" t="s">
        <v>27</v>
      </c>
      <c r="L3" s="9" t="s">
        <v>83</v>
      </c>
    </row>
    <row r="4" spans="1:12" s="9" customFormat="1" x14ac:dyDescent="0.2">
      <c r="A4" s="9" t="s">
        <v>30</v>
      </c>
      <c r="B4" s="24">
        <v>1</v>
      </c>
      <c r="C4" s="9" t="s">
        <v>40</v>
      </c>
      <c r="L4" s="9" t="s">
        <v>184</v>
      </c>
    </row>
    <row r="5" spans="1:12" s="9" customFormat="1" x14ac:dyDescent="0.2">
      <c r="A5" s="9" t="s">
        <v>30</v>
      </c>
      <c r="B5" s="24">
        <v>1</v>
      </c>
      <c r="C5" s="9" t="s">
        <v>41</v>
      </c>
      <c r="L5" s="9" t="s">
        <v>84</v>
      </c>
    </row>
    <row r="6" spans="1:12" s="9" customFormat="1" x14ac:dyDescent="0.2">
      <c r="A6" s="9" t="s">
        <v>30</v>
      </c>
      <c r="B6" s="24">
        <v>2</v>
      </c>
      <c r="C6" s="9" t="s">
        <v>39</v>
      </c>
      <c r="L6" s="9" t="s">
        <v>179</v>
      </c>
    </row>
    <row r="7" spans="1:12" s="9" customFormat="1" x14ac:dyDescent="0.2">
      <c r="A7" s="9" t="s">
        <v>30</v>
      </c>
      <c r="B7" s="24">
        <v>2</v>
      </c>
      <c r="C7" s="9" t="s">
        <v>27</v>
      </c>
      <c r="L7" s="9" t="s">
        <v>85</v>
      </c>
    </row>
    <row r="8" spans="1:12" s="9" customFormat="1" x14ac:dyDescent="0.2">
      <c r="A8" s="9" t="s">
        <v>30</v>
      </c>
      <c r="B8" s="24">
        <v>2</v>
      </c>
      <c r="C8" s="9" t="s">
        <v>40</v>
      </c>
      <c r="L8" s="9" t="s">
        <v>184</v>
      </c>
    </row>
    <row r="9" spans="1:12" s="9" customFormat="1" x14ac:dyDescent="0.2">
      <c r="A9" s="9" t="s">
        <v>30</v>
      </c>
      <c r="B9" s="24">
        <v>2</v>
      </c>
      <c r="C9" s="9" t="s">
        <v>41</v>
      </c>
    </row>
    <row r="10" spans="1:12" s="9" customFormat="1" x14ac:dyDescent="0.2">
      <c r="A10" s="9" t="s">
        <v>30</v>
      </c>
      <c r="B10" s="24">
        <v>3</v>
      </c>
      <c r="C10" s="9" t="s">
        <v>39</v>
      </c>
      <c r="L10" s="9" t="s">
        <v>86</v>
      </c>
    </row>
    <row r="11" spans="1:12" s="9" customFormat="1" x14ac:dyDescent="0.2">
      <c r="A11" s="9" t="s">
        <v>30</v>
      </c>
      <c r="B11" s="24">
        <v>3</v>
      </c>
      <c r="C11" s="9" t="s">
        <v>27</v>
      </c>
      <c r="L11" s="9" t="s">
        <v>87</v>
      </c>
    </row>
    <row r="12" spans="1:12" s="9" customFormat="1" x14ac:dyDescent="0.2">
      <c r="A12" s="9" t="s">
        <v>30</v>
      </c>
      <c r="B12" s="24">
        <v>3</v>
      </c>
      <c r="C12" s="9" t="s">
        <v>40</v>
      </c>
      <c r="L12" s="9" t="s">
        <v>185</v>
      </c>
    </row>
    <row r="13" spans="1:12" s="9" customFormat="1" x14ac:dyDescent="0.2">
      <c r="A13" s="9" t="s">
        <v>30</v>
      </c>
      <c r="B13" s="24">
        <v>3</v>
      </c>
      <c r="C13" s="9" t="s">
        <v>41</v>
      </c>
    </row>
    <row r="15" spans="1:12" s="6" customFormat="1" x14ac:dyDescent="0.2">
      <c r="A15" s="7" t="s">
        <v>350</v>
      </c>
      <c r="B15" s="25">
        <v>1</v>
      </c>
      <c r="C15" s="6" t="s">
        <v>39</v>
      </c>
      <c r="L15" s="6" t="s">
        <v>329</v>
      </c>
    </row>
    <row r="16" spans="1:12" s="6" customFormat="1" x14ac:dyDescent="0.2">
      <c r="A16" s="7" t="s">
        <v>350</v>
      </c>
      <c r="B16" s="25">
        <v>1</v>
      </c>
      <c r="C16" s="6" t="s">
        <v>27</v>
      </c>
      <c r="L16" s="6" t="s">
        <v>351</v>
      </c>
    </row>
    <row r="17" spans="1:12" s="6" customFormat="1" x14ac:dyDescent="0.2">
      <c r="A17" s="7" t="s">
        <v>350</v>
      </c>
      <c r="B17" s="25">
        <v>1</v>
      </c>
      <c r="C17" s="6" t="s">
        <v>40</v>
      </c>
      <c r="L17" s="6" t="s">
        <v>352</v>
      </c>
    </row>
    <row r="18" spans="1:12" s="6" customFormat="1" x14ac:dyDescent="0.2">
      <c r="A18" s="7" t="s">
        <v>350</v>
      </c>
      <c r="B18" s="25">
        <v>1</v>
      </c>
      <c r="C18" s="6" t="s">
        <v>41</v>
      </c>
      <c r="L18" s="6" t="s">
        <v>353</v>
      </c>
    </row>
    <row r="20" spans="1:12" s="15" customFormat="1" x14ac:dyDescent="0.2">
      <c r="A20" s="13" t="s">
        <v>553</v>
      </c>
      <c r="B20" s="26">
        <v>1</v>
      </c>
      <c r="C20" s="15" t="s">
        <v>39</v>
      </c>
      <c r="L20" s="15" t="s">
        <v>375</v>
      </c>
    </row>
    <row r="21" spans="1:12" s="15" customFormat="1" x14ac:dyDescent="0.2">
      <c r="A21" s="13" t="s">
        <v>553</v>
      </c>
      <c r="B21" s="26">
        <v>1</v>
      </c>
      <c r="C21" s="15" t="s">
        <v>27</v>
      </c>
      <c r="L21" s="15" t="s">
        <v>554</v>
      </c>
    </row>
    <row r="22" spans="1:12" s="15" customFormat="1" x14ac:dyDescent="0.2">
      <c r="A22" s="13" t="s">
        <v>553</v>
      </c>
      <c r="B22" s="26">
        <v>2</v>
      </c>
      <c r="C22" s="15" t="s">
        <v>39</v>
      </c>
      <c r="L22" s="15" t="s">
        <v>378</v>
      </c>
    </row>
    <row r="23" spans="1:12" s="15" customFormat="1" x14ac:dyDescent="0.2">
      <c r="A23" s="13" t="s">
        <v>553</v>
      </c>
      <c r="B23" s="26">
        <v>2</v>
      </c>
      <c r="C23" s="15" t="s">
        <v>27</v>
      </c>
      <c r="L23" s="15" t="s">
        <v>555</v>
      </c>
    </row>
    <row r="24" spans="1:12" x14ac:dyDescent="0.2">
      <c r="A24" s="4"/>
    </row>
    <row r="25" spans="1:12" s="15" customFormat="1" x14ac:dyDescent="0.2">
      <c r="A25" s="13" t="s">
        <v>557</v>
      </c>
      <c r="B25" s="26">
        <v>1</v>
      </c>
      <c r="C25" s="15" t="s">
        <v>39</v>
      </c>
      <c r="L25" s="12" t="s">
        <v>559</v>
      </c>
    </row>
    <row r="26" spans="1:12" s="15" customFormat="1" x14ac:dyDescent="0.2">
      <c r="A26" s="13" t="s">
        <v>557</v>
      </c>
      <c r="B26" s="26">
        <v>1</v>
      </c>
      <c r="C26" s="15" t="s">
        <v>27</v>
      </c>
      <c r="L26" s="15" t="s">
        <v>558</v>
      </c>
    </row>
    <row r="30" spans="1:12" x14ac:dyDescent="0.2">
      <c r="A30" t="s">
        <v>199</v>
      </c>
      <c r="B30" s="27">
        <v>1</v>
      </c>
      <c r="C30" t="s">
        <v>39</v>
      </c>
      <c r="L30" t="s">
        <v>189</v>
      </c>
    </row>
    <row r="31" spans="1:12" x14ac:dyDescent="0.2">
      <c r="A31" t="s">
        <v>199</v>
      </c>
      <c r="B31" s="27">
        <v>1</v>
      </c>
      <c r="C31" t="s">
        <v>105</v>
      </c>
      <c r="E31" t="s">
        <v>255</v>
      </c>
      <c r="G31" t="s">
        <v>191</v>
      </c>
      <c r="H31" t="s">
        <v>113</v>
      </c>
      <c r="L31" t="str">
        <f t="shared" ref="L31:L32" si="0">_xlfn.TEXTJOIN("", TRUE, D31:J31)</f>
        <v>02_Slots/Gaben/0001_Anrufungsopfer-Totenopfer/0001_pr.t-xrw_01.png</v>
      </c>
    </row>
    <row r="32" spans="1:12" x14ac:dyDescent="0.2">
      <c r="A32" t="s">
        <v>199</v>
      </c>
      <c r="B32" s="27">
        <v>1</v>
      </c>
      <c r="C32" t="s">
        <v>105</v>
      </c>
      <c r="E32" t="s">
        <v>255</v>
      </c>
      <c r="G32" t="s">
        <v>193</v>
      </c>
      <c r="H32" t="s">
        <v>113</v>
      </c>
      <c r="L32" t="str">
        <f t="shared" si="0"/>
        <v>02_Slots/Gaben/0001_Anrufungsopfer-Totenopfer/0010_pr.t-xrw_02.png</v>
      </c>
    </row>
    <row r="33" spans="1:12" x14ac:dyDescent="0.2">
      <c r="A33" t="s">
        <v>199</v>
      </c>
      <c r="B33" s="27">
        <v>1</v>
      </c>
      <c r="C33" t="s">
        <v>105</v>
      </c>
      <c r="E33" t="s">
        <v>255</v>
      </c>
      <c r="G33" t="s">
        <v>194</v>
      </c>
      <c r="H33" t="s">
        <v>113</v>
      </c>
      <c r="I33" t="s">
        <v>1198</v>
      </c>
      <c r="J33" t="s">
        <v>1199</v>
      </c>
      <c r="K33" t="s">
        <v>1200</v>
      </c>
      <c r="L33" t="str">
        <f>_xlfn.TEXTJOIN("", TRUE, D33:K33)</f>
        <v>02_Slots/Gaben/0001_Anrufungsopfer-Totenopfer/0020_pr.t-xrw_AR_01.png &lt;sup&gt;(AR)&lt;/sup&gt;</v>
      </c>
    </row>
    <row r="34" spans="1:12" x14ac:dyDescent="0.2">
      <c r="A34" t="s">
        <v>199</v>
      </c>
      <c r="B34" s="27">
        <v>1</v>
      </c>
      <c r="C34" t="s">
        <v>192</v>
      </c>
      <c r="E34" t="s">
        <v>255</v>
      </c>
      <c r="F34" t="s">
        <v>111</v>
      </c>
      <c r="G34" t="s">
        <v>195</v>
      </c>
      <c r="H34" t="s">
        <v>113</v>
      </c>
      <c r="L34" t="str">
        <f t="shared" ref="L34" si="1">_xlfn.TEXTJOIN("", TRUE, D34:J34)</f>
        <v>02_Slots/Gaben/0001_Anrufungsopfer-Totenopfer/det/0001_pr.t-xrw_det_01.png</v>
      </c>
    </row>
    <row r="35" spans="1:12" x14ac:dyDescent="0.2">
      <c r="A35" t="s">
        <v>199</v>
      </c>
      <c r="B35" s="27">
        <v>1</v>
      </c>
      <c r="C35" t="s">
        <v>27</v>
      </c>
      <c r="L35" t="s">
        <v>190</v>
      </c>
    </row>
    <row r="37" spans="1:12" x14ac:dyDescent="0.2">
      <c r="A37" t="s">
        <v>196</v>
      </c>
      <c r="B37" s="27">
        <v>1</v>
      </c>
      <c r="C37" t="s">
        <v>39</v>
      </c>
      <c r="L37" t="s">
        <v>200</v>
      </c>
    </row>
    <row r="38" spans="1:12" x14ac:dyDescent="0.2">
      <c r="A38" t="s">
        <v>196</v>
      </c>
      <c r="B38" s="27">
        <v>1</v>
      </c>
      <c r="C38" t="s">
        <v>105</v>
      </c>
      <c r="E38" t="s">
        <v>256</v>
      </c>
      <c r="G38" t="s">
        <v>202</v>
      </c>
      <c r="H38" t="s">
        <v>113</v>
      </c>
      <c r="L38" t="str">
        <f t="shared" ref="L38" si="2">_xlfn.TEXTJOIN("", TRUE, D38:J38)</f>
        <v>02_Slots/Gaben/0010_Bier/0001_Hnq.t_01.png</v>
      </c>
    </row>
    <row r="39" spans="1:12" x14ac:dyDescent="0.2">
      <c r="A39" t="s">
        <v>196</v>
      </c>
      <c r="B39" s="27">
        <v>1</v>
      </c>
      <c r="C39" t="s">
        <v>105</v>
      </c>
      <c r="E39" t="s">
        <v>256</v>
      </c>
      <c r="G39" t="s">
        <v>203</v>
      </c>
      <c r="H39" t="s">
        <v>113</v>
      </c>
      <c r="I39" t="s">
        <v>1198</v>
      </c>
      <c r="J39" t="s">
        <v>1201</v>
      </c>
      <c r="K39" t="s">
        <v>1200</v>
      </c>
      <c r="L39" t="str">
        <f>_xlfn.TEXTJOIN("", TRUE, D39:K39)</f>
        <v>02_Slots/Gaben/0010_Bier/0010_Hnq.t_GR_01.png &lt;sup&gt;(Gr.)&lt;/sup&gt;</v>
      </c>
    </row>
    <row r="40" spans="1:12" x14ac:dyDescent="0.2">
      <c r="A40" t="s">
        <v>196</v>
      </c>
      <c r="B40" s="27">
        <v>1</v>
      </c>
      <c r="C40" t="s">
        <v>276</v>
      </c>
      <c r="E40" t="s">
        <v>256</v>
      </c>
      <c r="G40" t="s">
        <v>204</v>
      </c>
      <c r="H40" t="s">
        <v>113</v>
      </c>
      <c r="L40" t="str">
        <f t="shared" ref="L40" si="3">_xlfn.TEXTJOIN("", TRUE, D40:J40)</f>
        <v>02_Slots/Gaben/0010_Bier/0020_Hnq.t_Abk_01.png</v>
      </c>
    </row>
    <row r="41" spans="1:12" x14ac:dyDescent="0.2">
      <c r="A41" t="s">
        <v>196</v>
      </c>
      <c r="B41" s="27">
        <v>1</v>
      </c>
      <c r="C41" t="s">
        <v>192</v>
      </c>
      <c r="E41" t="s">
        <v>256</v>
      </c>
      <c r="F41" t="s">
        <v>111</v>
      </c>
      <c r="G41" t="s">
        <v>205</v>
      </c>
      <c r="H41" t="s">
        <v>113</v>
      </c>
      <c r="L41" t="str">
        <f t="shared" ref="L41" si="4">_xlfn.TEXTJOIN("", TRUE, D41:J41)</f>
        <v>02_Slots/Gaben/0010_Bier/det/0001_Hnq.t_det_01.png</v>
      </c>
    </row>
    <row r="42" spans="1:12" x14ac:dyDescent="0.2">
      <c r="A42" t="s">
        <v>196</v>
      </c>
      <c r="B42" s="27">
        <v>1</v>
      </c>
      <c r="C42" t="s">
        <v>192</v>
      </c>
      <c r="E42" t="s">
        <v>256</v>
      </c>
      <c r="F42" t="s">
        <v>111</v>
      </c>
      <c r="G42" t="s">
        <v>206</v>
      </c>
      <c r="H42" t="s">
        <v>113</v>
      </c>
      <c r="L42" t="str">
        <f t="shared" ref="L42" si="5">_xlfn.TEXTJOIN("", TRUE, D42:J42)</f>
        <v>02_Slots/Gaben/0010_Bier/det/0010_Hnq.t_det_02.png</v>
      </c>
    </row>
    <row r="43" spans="1:12" x14ac:dyDescent="0.2">
      <c r="A43" t="s">
        <v>196</v>
      </c>
      <c r="B43" s="27">
        <v>1</v>
      </c>
      <c r="C43" t="s">
        <v>27</v>
      </c>
      <c r="L43" t="s">
        <v>201</v>
      </c>
    </row>
    <row r="45" spans="1:12" x14ac:dyDescent="0.2">
      <c r="A45" t="s">
        <v>196</v>
      </c>
      <c r="B45" s="27">
        <v>2</v>
      </c>
      <c r="C45" t="s">
        <v>39</v>
      </c>
      <c r="L45" t="s">
        <v>213</v>
      </c>
    </row>
    <row r="46" spans="1:12" x14ac:dyDescent="0.2">
      <c r="A46" t="s">
        <v>196</v>
      </c>
      <c r="B46" s="27">
        <v>2</v>
      </c>
      <c r="C46" t="s">
        <v>105</v>
      </c>
      <c r="E46" t="s">
        <v>257</v>
      </c>
      <c r="G46" t="s">
        <v>207</v>
      </c>
      <c r="H46" t="s">
        <v>113</v>
      </c>
      <c r="L46" t="str">
        <f t="shared" ref="L46:L51" si="6">_xlfn.TEXTJOIN("", TRUE, D46:J46)</f>
        <v>02_Slots/Gaben/0020_Brot/0001_t_01.png</v>
      </c>
    </row>
    <row r="47" spans="1:12" x14ac:dyDescent="0.2">
      <c r="A47" t="s">
        <v>196</v>
      </c>
      <c r="B47" s="27">
        <v>2</v>
      </c>
      <c r="C47" t="s">
        <v>276</v>
      </c>
      <c r="E47" t="s">
        <v>257</v>
      </c>
      <c r="G47" t="s">
        <v>208</v>
      </c>
      <c r="H47" t="s">
        <v>113</v>
      </c>
      <c r="L47" t="str">
        <f t="shared" si="6"/>
        <v>02_Slots/Gaben/0020_Brot/0010_t_Abk_01.png</v>
      </c>
    </row>
    <row r="48" spans="1:12" x14ac:dyDescent="0.2">
      <c r="A48" t="s">
        <v>196</v>
      </c>
      <c r="B48" s="27">
        <v>2</v>
      </c>
      <c r="C48" t="s">
        <v>192</v>
      </c>
      <c r="E48" t="s">
        <v>257</v>
      </c>
      <c r="F48" t="s">
        <v>111</v>
      </c>
      <c r="G48" t="s">
        <v>209</v>
      </c>
      <c r="H48" t="s">
        <v>113</v>
      </c>
      <c r="L48" t="str">
        <f t="shared" si="6"/>
        <v>02_Slots/Gaben/0020_Brot/det/0001_t_det_01.png</v>
      </c>
    </row>
    <row r="49" spans="1:12" x14ac:dyDescent="0.2">
      <c r="A49" t="s">
        <v>196</v>
      </c>
      <c r="B49" s="27">
        <v>2</v>
      </c>
      <c r="C49" t="s">
        <v>192</v>
      </c>
      <c r="E49" t="s">
        <v>257</v>
      </c>
      <c r="F49" t="s">
        <v>111</v>
      </c>
      <c r="G49" t="s">
        <v>210</v>
      </c>
      <c r="H49" t="s">
        <v>113</v>
      </c>
      <c r="L49" t="str">
        <f t="shared" si="6"/>
        <v>02_Slots/Gaben/0020_Brot/det/0010_t_det_02.png</v>
      </c>
    </row>
    <row r="50" spans="1:12" x14ac:dyDescent="0.2">
      <c r="A50" t="s">
        <v>196</v>
      </c>
      <c r="B50" s="27">
        <v>2</v>
      </c>
      <c r="C50" t="s">
        <v>192</v>
      </c>
      <c r="E50" t="s">
        <v>257</v>
      </c>
      <c r="F50" t="s">
        <v>111</v>
      </c>
      <c r="G50" t="s">
        <v>211</v>
      </c>
      <c r="H50" t="s">
        <v>113</v>
      </c>
      <c r="L50" t="str">
        <f t="shared" ref="L50" si="7">_xlfn.TEXTJOIN("", TRUE, D50:J50)</f>
        <v>02_Slots/Gaben/0020_Brot/det/0020_t_det_03.png</v>
      </c>
    </row>
    <row r="51" spans="1:12" x14ac:dyDescent="0.2">
      <c r="A51" t="s">
        <v>196</v>
      </c>
      <c r="B51" s="27">
        <v>2</v>
      </c>
      <c r="C51" t="s">
        <v>192</v>
      </c>
      <c r="E51" t="s">
        <v>257</v>
      </c>
      <c r="F51" t="s">
        <v>111</v>
      </c>
      <c r="G51" t="s">
        <v>212</v>
      </c>
      <c r="H51" t="s">
        <v>113</v>
      </c>
      <c r="L51" t="str">
        <f t="shared" si="6"/>
        <v>02_Slots/Gaben/0020_Brot/det/0030_t_det_04.png</v>
      </c>
    </row>
    <row r="52" spans="1:12" x14ac:dyDescent="0.2">
      <c r="A52" t="s">
        <v>196</v>
      </c>
      <c r="B52" s="27">
        <v>2</v>
      </c>
      <c r="C52" t="s">
        <v>27</v>
      </c>
      <c r="L52" t="s">
        <v>214</v>
      </c>
    </row>
    <row r="54" spans="1:12" x14ac:dyDescent="0.2">
      <c r="A54" t="s">
        <v>196</v>
      </c>
      <c r="B54" s="27">
        <v>3</v>
      </c>
      <c r="C54" t="s">
        <v>39</v>
      </c>
      <c r="L54" t="s">
        <v>219</v>
      </c>
    </row>
    <row r="55" spans="1:12" x14ac:dyDescent="0.2">
      <c r="A55" t="s">
        <v>196</v>
      </c>
      <c r="B55" s="27">
        <v>3</v>
      </c>
      <c r="C55" t="s">
        <v>105</v>
      </c>
      <c r="E55" t="s">
        <v>258</v>
      </c>
      <c r="G55" t="s">
        <v>215</v>
      </c>
      <c r="H55" t="s">
        <v>113</v>
      </c>
      <c r="L55" t="str">
        <f>_xlfn.TEXTJOIN("", TRUE, D55:H55)</f>
        <v>02_Slots/Gaben/0030_Gefluegel/0001_Apd_01.png</v>
      </c>
    </row>
    <row r="56" spans="1:12" x14ac:dyDescent="0.2">
      <c r="A56" t="s">
        <v>196</v>
      </c>
      <c r="B56" s="27">
        <v>3</v>
      </c>
      <c r="C56" t="s">
        <v>276</v>
      </c>
      <c r="E56" t="s">
        <v>258</v>
      </c>
      <c r="G56" t="s">
        <v>216</v>
      </c>
      <c r="H56" t="s">
        <v>113</v>
      </c>
      <c r="L56" t="str">
        <f>_xlfn.TEXTJOIN("", TRUE, D56:K56)</f>
        <v>02_Slots/Gaben/0030_Gefluegel/0010_Apd_Abk_01.png</v>
      </c>
    </row>
    <row r="57" spans="1:12" x14ac:dyDescent="0.2">
      <c r="A57" t="s">
        <v>196</v>
      </c>
      <c r="B57" s="27">
        <v>3</v>
      </c>
      <c r="C57" t="s">
        <v>276</v>
      </c>
      <c r="E57" t="s">
        <v>258</v>
      </c>
      <c r="G57" t="s">
        <v>217</v>
      </c>
      <c r="H57" t="s">
        <v>113</v>
      </c>
      <c r="L57" t="str">
        <f t="shared" ref="L57:L58" si="8">_xlfn.TEXTJOIN("", TRUE, D57:J57)</f>
        <v>02_Slots/Gaben/0030_Gefluegel/0020_Apd_Abk_02.png</v>
      </c>
    </row>
    <row r="58" spans="1:12" x14ac:dyDescent="0.2">
      <c r="A58" t="s">
        <v>196</v>
      </c>
      <c r="B58" s="27">
        <v>3</v>
      </c>
      <c r="C58" t="s">
        <v>192</v>
      </c>
      <c r="E58" t="s">
        <v>258</v>
      </c>
      <c r="F58" t="s">
        <v>111</v>
      </c>
      <c r="G58" t="s">
        <v>218</v>
      </c>
      <c r="H58" t="s">
        <v>113</v>
      </c>
      <c r="L58" t="str">
        <f t="shared" si="8"/>
        <v>02_Slots/Gaben/0030_Gefluegel/det/0001_Apd_det_01.png</v>
      </c>
    </row>
    <row r="59" spans="1:12" x14ac:dyDescent="0.2">
      <c r="A59" t="s">
        <v>196</v>
      </c>
      <c r="B59" s="27">
        <v>3</v>
      </c>
      <c r="C59" t="s">
        <v>27</v>
      </c>
      <c r="L59" t="s">
        <v>220</v>
      </c>
    </row>
    <row r="61" spans="1:12" x14ac:dyDescent="0.2">
      <c r="A61" t="s">
        <v>196</v>
      </c>
      <c r="B61" s="27">
        <v>4</v>
      </c>
      <c r="C61" t="s">
        <v>39</v>
      </c>
      <c r="L61" t="s">
        <v>222</v>
      </c>
    </row>
    <row r="62" spans="1:12" x14ac:dyDescent="0.2">
      <c r="A62" t="s">
        <v>196</v>
      </c>
      <c r="B62" s="27">
        <v>4</v>
      </c>
      <c r="C62" t="s">
        <v>105</v>
      </c>
      <c r="E62" t="s">
        <v>259</v>
      </c>
      <c r="G62" t="s">
        <v>223</v>
      </c>
      <c r="H62" t="s">
        <v>113</v>
      </c>
      <c r="L62" t="str">
        <f t="shared" ref="L62" si="9">_xlfn.TEXTJOIN("", TRUE, D62:J62)</f>
        <v>02_Slots/Gaben/0040_Rinder/0001_kA_01.png</v>
      </c>
    </row>
    <row r="63" spans="1:12" x14ac:dyDescent="0.2">
      <c r="A63" t="s">
        <v>196</v>
      </c>
      <c r="B63" s="27">
        <v>4</v>
      </c>
      <c r="C63" t="s">
        <v>105</v>
      </c>
      <c r="E63" t="s">
        <v>259</v>
      </c>
      <c r="G63" t="s">
        <v>224</v>
      </c>
      <c r="H63" t="s">
        <v>113</v>
      </c>
      <c r="I63" t="s">
        <v>1198</v>
      </c>
      <c r="J63" t="s">
        <v>1202</v>
      </c>
      <c r="K63" t="s">
        <v>1200</v>
      </c>
      <c r="L63" t="str">
        <f t="shared" ref="L63:L65" si="10">_xlfn.TEXTJOIN("", TRUE, D63:K63)</f>
        <v>02_Slots/Gaben/0040_Rinder/0010_kA_MR_03.png &lt;sup&gt;(MR)&lt;/sup&gt;</v>
      </c>
    </row>
    <row r="64" spans="1:12" x14ac:dyDescent="0.2">
      <c r="A64" t="s">
        <v>196</v>
      </c>
      <c r="B64" s="27">
        <v>4</v>
      </c>
      <c r="C64" t="s">
        <v>105</v>
      </c>
      <c r="E64" t="s">
        <v>259</v>
      </c>
      <c r="G64" t="s">
        <v>225</v>
      </c>
      <c r="H64" t="s">
        <v>113</v>
      </c>
      <c r="I64" t="s">
        <v>1198</v>
      </c>
      <c r="J64" t="s">
        <v>1153</v>
      </c>
      <c r="K64" t="s">
        <v>1200</v>
      </c>
      <c r="L64" t="str">
        <f t="shared" si="10"/>
        <v>02_Slots/Gaben/0040_Rinder/0020_kA_NR_01.png &lt;sup&gt;(NR)&lt;/sup&gt;</v>
      </c>
    </row>
    <row r="65" spans="1:12" x14ac:dyDescent="0.2">
      <c r="A65" t="s">
        <v>196</v>
      </c>
      <c r="B65" s="27">
        <v>4</v>
      </c>
      <c r="C65" t="s">
        <v>105</v>
      </c>
      <c r="E65" t="s">
        <v>259</v>
      </c>
      <c r="G65" t="s">
        <v>226</v>
      </c>
      <c r="H65" t="s">
        <v>113</v>
      </c>
      <c r="I65" t="s">
        <v>1198</v>
      </c>
      <c r="J65" t="s">
        <v>1153</v>
      </c>
      <c r="K65" t="s">
        <v>1200</v>
      </c>
      <c r="L65" t="str">
        <f t="shared" si="10"/>
        <v>02_Slots/Gaben/0040_Rinder/0030_kA_NR_02.png &lt;sup&gt;(NR)&lt;/sup&gt;</v>
      </c>
    </row>
    <row r="66" spans="1:12" x14ac:dyDescent="0.2">
      <c r="A66" t="s">
        <v>196</v>
      </c>
      <c r="B66" s="27">
        <v>4</v>
      </c>
      <c r="C66" t="s">
        <v>276</v>
      </c>
      <c r="E66" t="s">
        <v>259</v>
      </c>
      <c r="G66" t="s">
        <v>227</v>
      </c>
      <c r="H66" t="s">
        <v>113</v>
      </c>
      <c r="L66" t="str">
        <f t="shared" ref="L66:L67" si="11">_xlfn.TEXTJOIN("", TRUE, D66:J66)</f>
        <v>02_Slots/Gaben/0040_Rinder/0040_kA_Abk_01.png</v>
      </c>
    </row>
    <row r="67" spans="1:12" x14ac:dyDescent="0.2">
      <c r="A67" t="s">
        <v>196</v>
      </c>
      <c r="B67" s="27">
        <v>4</v>
      </c>
      <c r="C67" t="s">
        <v>192</v>
      </c>
      <c r="E67" t="s">
        <v>259</v>
      </c>
      <c r="F67" t="s">
        <v>111</v>
      </c>
      <c r="G67" t="s">
        <v>228</v>
      </c>
      <c r="H67" t="s">
        <v>113</v>
      </c>
      <c r="L67" t="str">
        <f t="shared" si="11"/>
        <v>02_Slots/Gaben/0040_Rinder/det/0001_kA_det_01.png</v>
      </c>
    </row>
    <row r="68" spans="1:12" x14ac:dyDescent="0.2">
      <c r="A68" t="s">
        <v>196</v>
      </c>
      <c r="B68" s="27">
        <v>4</v>
      </c>
      <c r="C68" t="s">
        <v>27</v>
      </c>
      <c r="L68" t="s">
        <v>221</v>
      </c>
    </row>
    <row r="70" spans="1:12" x14ac:dyDescent="0.2">
      <c r="A70" t="s">
        <v>196</v>
      </c>
      <c r="B70" s="27">
        <v>5</v>
      </c>
      <c r="C70" t="s">
        <v>39</v>
      </c>
      <c r="L70" t="s">
        <v>229</v>
      </c>
    </row>
    <row r="71" spans="1:12" x14ac:dyDescent="0.2">
      <c r="A71" t="s">
        <v>196</v>
      </c>
      <c r="B71" s="27">
        <v>5</v>
      </c>
      <c r="C71" t="s">
        <v>105</v>
      </c>
      <c r="E71" t="s">
        <v>260</v>
      </c>
      <c r="G71" t="s">
        <v>234</v>
      </c>
      <c r="H71" t="s">
        <v>113</v>
      </c>
      <c r="I71" t="s">
        <v>1198</v>
      </c>
      <c r="J71" t="s">
        <v>1189</v>
      </c>
      <c r="K71" t="s">
        <v>1200</v>
      </c>
      <c r="L71" t="str">
        <f>_xlfn.TEXTJOIN("", TRUE, D71:K71)</f>
        <v>02_Slots/Gaben/0050_Alabaster/0001_Ss_AR-MR_01.png &lt;sup&gt;(AR; MR)&lt;/sup&gt;</v>
      </c>
    </row>
    <row r="72" spans="1:12" x14ac:dyDescent="0.2">
      <c r="A72" t="s">
        <v>196</v>
      </c>
      <c r="B72" s="27">
        <v>5</v>
      </c>
      <c r="C72" t="s">
        <v>276</v>
      </c>
      <c r="E72" t="s">
        <v>260</v>
      </c>
      <c r="G72" t="s">
        <v>231</v>
      </c>
      <c r="H72" t="s">
        <v>113</v>
      </c>
      <c r="L72" t="str">
        <f t="shared" ref="L72:L74" si="12">_xlfn.TEXTJOIN("", TRUE, D72:J72)</f>
        <v>02_Slots/Gaben/0050_Alabaster/0010_Ss_Abk_01.png</v>
      </c>
    </row>
    <row r="73" spans="1:12" x14ac:dyDescent="0.2">
      <c r="A73" t="s">
        <v>196</v>
      </c>
      <c r="B73" s="27">
        <v>5</v>
      </c>
      <c r="C73" t="s">
        <v>276</v>
      </c>
      <c r="E73" t="s">
        <v>260</v>
      </c>
      <c r="G73" t="s">
        <v>232</v>
      </c>
      <c r="H73" t="s">
        <v>113</v>
      </c>
      <c r="I73" t="s">
        <v>1198</v>
      </c>
      <c r="J73" t="s">
        <v>1202</v>
      </c>
      <c r="K73" t="s">
        <v>1200</v>
      </c>
      <c r="L73" t="str">
        <f>_xlfn.TEXTJOIN("", TRUE, D73:K73)</f>
        <v>02_Slots/Gaben/0050_Alabaster/0020_Ss_Abk_MR_01.png &lt;sup&gt;(MR)&lt;/sup&gt;</v>
      </c>
    </row>
    <row r="74" spans="1:12" x14ac:dyDescent="0.2">
      <c r="A74" t="s">
        <v>196</v>
      </c>
      <c r="B74" s="27">
        <v>5</v>
      </c>
      <c r="C74" t="s">
        <v>192</v>
      </c>
      <c r="E74" t="s">
        <v>260</v>
      </c>
      <c r="F74" t="s">
        <v>111</v>
      </c>
      <c r="G74" t="s">
        <v>233</v>
      </c>
      <c r="H74" t="s">
        <v>113</v>
      </c>
      <c r="L74" t="str">
        <f t="shared" si="12"/>
        <v>02_Slots/Gaben/0050_Alabaster/det/0001_Ss_det_01.png</v>
      </c>
    </row>
    <row r="75" spans="1:12" x14ac:dyDescent="0.2">
      <c r="A75" t="s">
        <v>196</v>
      </c>
      <c r="B75" s="27">
        <v>5</v>
      </c>
      <c r="C75" t="s">
        <v>27</v>
      </c>
      <c r="L75" t="s">
        <v>230</v>
      </c>
    </row>
    <row r="77" spans="1:12" x14ac:dyDescent="0.2">
      <c r="A77" t="s">
        <v>196</v>
      </c>
      <c r="B77" s="27">
        <v>6</v>
      </c>
      <c r="C77" t="s">
        <v>39</v>
      </c>
      <c r="L77" t="s">
        <v>235</v>
      </c>
    </row>
    <row r="78" spans="1:12" x14ac:dyDescent="0.2">
      <c r="A78" t="s">
        <v>196</v>
      </c>
      <c r="B78" s="27">
        <v>6</v>
      </c>
      <c r="C78" t="s">
        <v>105</v>
      </c>
      <c r="E78" t="s">
        <v>261</v>
      </c>
      <c r="G78" t="s">
        <v>237</v>
      </c>
      <c r="H78" t="s">
        <v>113</v>
      </c>
      <c r="L78" t="str">
        <f t="shared" ref="L78:L84" si="13">_xlfn.TEXTJOIN("", TRUE, D78:J78)</f>
        <v>02_Slots/Gaben/0060_Leinen/0001_mnx.t_01.png</v>
      </c>
    </row>
    <row r="79" spans="1:12" x14ac:dyDescent="0.2">
      <c r="A79" t="s">
        <v>196</v>
      </c>
      <c r="B79" s="27">
        <v>6</v>
      </c>
      <c r="C79" t="s">
        <v>105</v>
      </c>
      <c r="E79" t="s">
        <v>261</v>
      </c>
      <c r="G79" t="s">
        <v>238</v>
      </c>
      <c r="H79" t="s">
        <v>113</v>
      </c>
      <c r="I79" t="s">
        <v>1198</v>
      </c>
      <c r="J79" t="s">
        <v>1153</v>
      </c>
      <c r="K79" t="s">
        <v>1200</v>
      </c>
      <c r="L79" t="str">
        <f>_xlfn.TEXTJOIN("", TRUE, D79:K79)</f>
        <v>02_Slots/Gaben/0060_Leinen/0010_mnx.t_NR_01.png &lt;sup&gt;(NR)&lt;/sup&gt;</v>
      </c>
    </row>
    <row r="80" spans="1:12" x14ac:dyDescent="0.2">
      <c r="A80" t="s">
        <v>196</v>
      </c>
      <c r="B80" s="27">
        <v>6</v>
      </c>
      <c r="C80" t="s">
        <v>276</v>
      </c>
      <c r="E80" t="s">
        <v>261</v>
      </c>
      <c r="G80" t="s">
        <v>239</v>
      </c>
      <c r="H80" t="s">
        <v>113</v>
      </c>
      <c r="L80" t="str">
        <f t="shared" si="13"/>
        <v>02_Slots/Gaben/0060_Leinen/0030_mnx.t_Abk_01.png</v>
      </c>
    </row>
    <row r="81" spans="1:12" x14ac:dyDescent="0.2">
      <c r="A81" t="s">
        <v>196</v>
      </c>
      <c r="B81" s="27">
        <v>6</v>
      </c>
      <c r="C81" t="s">
        <v>276</v>
      </c>
      <c r="E81" t="s">
        <v>261</v>
      </c>
      <c r="G81" t="s">
        <v>240</v>
      </c>
      <c r="H81" t="s">
        <v>113</v>
      </c>
      <c r="I81" t="s">
        <v>1198</v>
      </c>
      <c r="J81" t="s">
        <v>1153</v>
      </c>
      <c r="K81" t="s">
        <v>1200</v>
      </c>
      <c r="L81" t="str">
        <f t="shared" ref="L81:L83" si="14">_xlfn.TEXTJOIN("", TRUE, D81:K81)</f>
        <v>02_Slots/Gaben/0060_Leinen/0040_mnx.t_Abk_NR_02.png &lt;sup&gt;(NR)&lt;/sup&gt;</v>
      </c>
    </row>
    <row r="82" spans="1:12" x14ac:dyDescent="0.2">
      <c r="A82" t="s">
        <v>196</v>
      </c>
      <c r="B82" s="27">
        <v>6</v>
      </c>
      <c r="C82" t="s">
        <v>276</v>
      </c>
      <c r="E82" t="s">
        <v>261</v>
      </c>
      <c r="G82" t="s">
        <v>241</v>
      </c>
      <c r="H82" t="s">
        <v>113</v>
      </c>
      <c r="I82" t="s">
        <v>1198</v>
      </c>
      <c r="J82" t="s">
        <v>1201</v>
      </c>
      <c r="K82" t="s">
        <v>1200</v>
      </c>
      <c r="L82" t="str">
        <f t="shared" si="14"/>
        <v>02_Slots/Gaben/0060_Leinen/0050_mnx.t_Abk_GR_01.png &lt;sup&gt;(Gr.)&lt;/sup&gt;</v>
      </c>
    </row>
    <row r="83" spans="1:12" x14ac:dyDescent="0.2">
      <c r="A83" t="s">
        <v>196</v>
      </c>
      <c r="B83" s="27">
        <v>6</v>
      </c>
      <c r="C83" t="s">
        <v>276</v>
      </c>
      <c r="E83" t="s">
        <v>261</v>
      </c>
      <c r="G83" t="s">
        <v>242</v>
      </c>
      <c r="H83" t="s">
        <v>113</v>
      </c>
      <c r="I83" t="s">
        <v>1198</v>
      </c>
      <c r="J83" t="s">
        <v>1201</v>
      </c>
      <c r="K83" t="s">
        <v>1200</v>
      </c>
      <c r="L83" t="str">
        <f t="shared" si="14"/>
        <v>02_Slots/Gaben/0060_Leinen/0060_mnx.t_Abk_GR_02.png &lt;sup&gt;(Gr.)&lt;/sup&gt;</v>
      </c>
    </row>
    <row r="84" spans="1:12" x14ac:dyDescent="0.2">
      <c r="A84" t="s">
        <v>196</v>
      </c>
      <c r="B84" s="27">
        <v>6</v>
      </c>
      <c r="C84" t="s">
        <v>192</v>
      </c>
      <c r="E84" t="s">
        <v>261</v>
      </c>
      <c r="F84" t="s">
        <v>111</v>
      </c>
      <c r="G84" t="s">
        <v>243</v>
      </c>
      <c r="H84" t="s">
        <v>113</v>
      </c>
      <c r="L84" t="str">
        <f t="shared" si="13"/>
        <v>02_Slots/Gaben/0060_Leinen/det/0001_mnx.t_det_01.png</v>
      </c>
    </row>
    <row r="85" spans="1:12" x14ac:dyDescent="0.2">
      <c r="A85" t="s">
        <v>196</v>
      </c>
      <c r="B85" s="27">
        <v>6</v>
      </c>
      <c r="C85" t="s">
        <v>192</v>
      </c>
      <c r="E85" t="s">
        <v>261</v>
      </c>
      <c r="F85" t="s">
        <v>111</v>
      </c>
      <c r="G85" t="s">
        <v>244</v>
      </c>
      <c r="H85" t="s">
        <v>113</v>
      </c>
      <c r="L85" t="str">
        <f t="shared" ref="L85" si="15">_xlfn.TEXTJOIN("", TRUE, D85:J85)</f>
        <v>02_Slots/Gaben/0060_Leinen/det/0010_mnx.t_det_02.png</v>
      </c>
    </row>
    <row r="86" spans="1:12" x14ac:dyDescent="0.2">
      <c r="A86" t="s">
        <v>196</v>
      </c>
      <c r="B86" s="27">
        <v>6</v>
      </c>
      <c r="C86" t="s">
        <v>192</v>
      </c>
      <c r="E86" t="s">
        <v>261</v>
      </c>
      <c r="F86" t="s">
        <v>111</v>
      </c>
      <c r="G86" t="s">
        <v>245</v>
      </c>
      <c r="H86" t="s">
        <v>113</v>
      </c>
      <c r="I86" t="s">
        <v>1198</v>
      </c>
      <c r="J86" t="s">
        <v>1153</v>
      </c>
      <c r="K86" t="s">
        <v>1200</v>
      </c>
      <c r="L86" t="str">
        <f t="shared" ref="L86:L87" si="16">_xlfn.TEXTJOIN("", TRUE, D86:K86)</f>
        <v>02_Slots/Gaben/0060_Leinen/det/0020_mnx.t_det_NR_01.png &lt;sup&gt;(NR)&lt;/sup&gt;</v>
      </c>
    </row>
    <row r="87" spans="1:12" x14ac:dyDescent="0.2">
      <c r="A87" t="s">
        <v>196</v>
      </c>
      <c r="B87" s="27">
        <v>6</v>
      </c>
      <c r="C87" t="s">
        <v>192</v>
      </c>
      <c r="E87" t="s">
        <v>261</v>
      </c>
      <c r="F87" t="s">
        <v>111</v>
      </c>
      <c r="G87" t="s">
        <v>246</v>
      </c>
      <c r="H87" t="s">
        <v>113</v>
      </c>
      <c r="I87" t="s">
        <v>1198</v>
      </c>
      <c r="J87" t="s">
        <v>1153</v>
      </c>
      <c r="K87" t="s">
        <v>1200</v>
      </c>
      <c r="L87" t="str">
        <f t="shared" si="16"/>
        <v>02_Slots/Gaben/0060_Leinen/det/0030_mnx.t_det_NR_02.png &lt;sup&gt;(NR)&lt;/sup&gt;</v>
      </c>
    </row>
    <row r="88" spans="1:12" x14ac:dyDescent="0.2">
      <c r="A88" t="s">
        <v>196</v>
      </c>
      <c r="B88" s="27">
        <v>6</v>
      </c>
      <c r="C88" t="s">
        <v>27</v>
      </c>
      <c r="L88" t="s">
        <v>236</v>
      </c>
    </row>
    <row r="90" spans="1:12" x14ac:dyDescent="0.2">
      <c r="A90" t="s">
        <v>196</v>
      </c>
      <c r="B90" s="27">
        <v>7</v>
      </c>
      <c r="C90" t="s">
        <v>39</v>
      </c>
      <c r="L90" t="s">
        <v>253</v>
      </c>
    </row>
    <row r="91" spans="1:12" x14ac:dyDescent="0.2">
      <c r="A91" t="s">
        <v>196</v>
      </c>
      <c r="B91" s="27">
        <v>7</v>
      </c>
      <c r="C91" t="s">
        <v>105</v>
      </c>
      <c r="E91" t="s">
        <v>262</v>
      </c>
      <c r="G91" t="s">
        <v>247</v>
      </c>
      <c r="H91" t="s">
        <v>113</v>
      </c>
      <c r="L91" t="str">
        <f t="shared" ref="L91:L96" si="17">_xlfn.TEXTJOIN("", TRUE, D91:J91)</f>
        <v>02_Slots/Gaben/0070_Salboel/0001_mrH.t_01.png</v>
      </c>
    </row>
    <row r="92" spans="1:12" x14ac:dyDescent="0.2">
      <c r="A92" t="s">
        <v>196</v>
      </c>
      <c r="B92" s="27">
        <v>7</v>
      </c>
      <c r="C92" t="s">
        <v>276</v>
      </c>
      <c r="E92" t="s">
        <v>262</v>
      </c>
      <c r="G92" t="s">
        <v>248</v>
      </c>
      <c r="H92" t="s">
        <v>113</v>
      </c>
      <c r="L92" t="str">
        <f t="shared" si="17"/>
        <v>02_Slots/Gaben/0070_Salboel/0010_mrH.t_Abk_01.png</v>
      </c>
    </row>
    <row r="93" spans="1:12" x14ac:dyDescent="0.2">
      <c r="A93" t="s">
        <v>196</v>
      </c>
      <c r="B93" s="27">
        <v>7</v>
      </c>
      <c r="C93" t="s">
        <v>276</v>
      </c>
      <c r="E93" t="s">
        <v>262</v>
      </c>
      <c r="G93" t="s">
        <v>249</v>
      </c>
      <c r="H93" t="s">
        <v>113</v>
      </c>
      <c r="L93" t="str">
        <f t="shared" ref="L93:L95" si="18">_xlfn.TEXTJOIN("", TRUE, D93:J93)</f>
        <v>02_Slots/Gaben/0070_Salboel/0020_mrH.t_Abk_02.png</v>
      </c>
    </row>
    <row r="94" spans="1:12" x14ac:dyDescent="0.2">
      <c r="A94" t="s">
        <v>196</v>
      </c>
      <c r="B94" s="27">
        <v>7</v>
      </c>
      <c r="C94" t="s">
        <v>192</v>
      </c>
      <c r="E94" t="s">
        <v>262</v>
      </c>
      <c r="F94" t="s">
        <v>111</v>
      </c>
      <c r="G94" t="s">
        <v>250</v>
      </c>
      <c r="H94" t="s">
        <v>113</v>
      </c>
      <c r="L94" t="str">
        <f t="shared" ref="L94" si="19">_xlfn.TEXTJOIN("", TRUE, D94:J94)</f>
        <v>02_Slots/Gaben/0070_Salboel/det/0001_mrH.t_det_01.png</v>
      </c>
    </row>
    <row r="95" spans="1:12" x14ac:dyDescent="0.2">
      <c r="A95" t="s">
        <v>196</v>
      </c>
      <c r="B95" s="27">
        <v>7</v>
      </c>
      <c r="C95" t="s">
        <v>192</v>
      </c>
      <c r="E95" t="s">
        <v>262</v>
      </c>
      <c r="F95" t="s">
        <v>111</v>
      </c>
      <c r="G95" t="s">
        <v>251</v>
      </c>
      <c r="H95" t="s">
        <v>113</v>
      </c>
      <c r="L95" t="str">
        <f t="shared" si="18"/>
        <v>02_Slots/Gaben/0070_Salboel/det/0010_mrH.t_det_02.png</v>
      </c>
    </row>
    <row r="96" spans="1:12" x14ac:dyDescent="0.2">
      <c r="A96" t="s">
        <v>196</v>
      </c>
      <c r="B96" s="27">
        <v>7</v>
      </c>
      <c r="C96" t="s">
        <v>192</v>
      </c>
      <c r="E96" t="s">
        <v>262</v>
      </c>
      <c r="F96" t="s">
        <v>111</v>
      </c>
      <c r="G96" t="s">
        <v>252</v>
      </c>
      <c r="H96" t="s">
        <v>113</v>
      </c>
      <c r="L96" t="str">
        <f t="shared" si="17"/>
        <v>02_Slots/Gaben/0070_Salboel/det/0020_mrH.t_det_03.png</v>
      </c>
    </row>
    <row r="97" spans="1:12" x14ac:dyDescent="0.2">
      <c r="A97" t="s">
        <v>196</v>
      </c>
      <c r="B97" s="27">
        <v>7</v>
      </c>
      <c r="C97" t="s">
        <v>27</v>
      </c>
      <c r="L97" t="s">
        <v>254</v>
      </c>
    </row>
    <row r="99" spans="1:12" x14ac:dyDescent="0.2">
      <c r="A99" t="s">
        <v>196</v>
      </c>
      <c r="B99" s="27">
        <v>8</v>
      </c>
      <c r="C99" t="s">
        <v>39</v>
      </c>
      <c r="L99" t="s">
        <v>263</v>
      </c>
    </row>
    <row r="100" spans="1:12" x14ac:dyDescent="0.2">
      <c r="A100" t="s">
        <v>196</v>
      </c>
      <c r="B100" s="27">
        <v>8</v>
      </c>
      <c r="C100" t="s">
        <v>105</v>
      </c>
      <c r="E100" t="s">
        <v>264</v>
      </c>
      <c r="G100" t="s">
        <v>265</v>
      </c>
      <c r="H100" t="s">
        <v>113</v>
      </c>
      <c r="L100" t="str">
        <f t="shared" ref="L100" si="20">_xlfn.TEXTJOIN("", TRUE, D100:J100)</f>
        <v>02_Slots/Gaben/0080_Weihrauch/0001_snTr_01.png</v>
      </c>
    </row>
    <row r="101" spans="1:12" x14ac:dyDescent="0.2">
      <c r="A101" t="s">
        <v>196</v>
      </c>
      <c r="B101" s="27">
        <v>8</v>
      </c>
      <c r="C101" t="s">
        <v>105</v>
      </c>
      <c r="E101" t="s">
        <v>264</v>
      </c>
      <c r="G101" t="s">
        <v>266</v>
      </c>
      <c r="H101" t="s">
        <v>113</v>
      </c>
      <c r="I101" t="s">
        <v>1198</v>
      </c>
      <c r="J101" t="s">
        <v>1199</v>
      </c>
      <c r="K101" t="s">
        <v>1200</v>
      </c>
      <c r="L101" t="str">
        <f t="shared" ref="L101:L109" si="21">_xlfn.TEXTJOIN("", TRUE, D101:K101)</f>
        <v>02_Slots/Gaben/0080_Weihrauch/0010_snTr_AR_01.png &lt;sup&gt;(AR)&lt;/sup&gt;</v>
      </c>
    </row>
    <row r="102" spans="1:12" x14ac:dyDescent="0.2">
      <c r="A102" t="s">
        <v>196</v>
      </c>
      <c r="B102" s="27">
        <v>8</v>
      </c>
      <c r="C102" t="s">
        <v>105</v>
      </c>
      <c r="E102" t="s">
        <v>264</v>
      </c>
      <c r="G102" t="s">
        <v>267</v>
      </c>
      <c r="H102" t="s">
        <v>113</v>
      </c>
      <c r="I102" t="s">
        <v>1198</v>
      </c>
      <c r="J102" t="s">
        <v>1199</v>
      </c>
      <c r="K102" t="s">
        <v>1200</v>
      </c>
      <c r="L102" t="str">
        <f t="shared" si="21"/>
        <v>02_Slots/Gaben/0080_Weihrauch/0020_snTr_AR_02.png &lt;sup&gt;(AR)&lt;/sup&gt;</v>
      </c>
    </row>
    <row r="103" spans="1:12" x14ac:dyDescent="0.2">
      <c r="A103" t="s">
        <v>196</v>
      </c>
      <c r="B103" s="27">
        <v>8</v>
      </c>
      <c r="C103" t="s">
        <v>105</v>
      </c>
      <c r="E103" t="s">
        <v>264</v>
      </c>
      <c r="G103" t="s">
        <v>268</v>
      </c>
      <c r="H103" t="s">
        <v>113</v>
      </c>
      <c r="I103" t="s">
        <v>1198</v>
      </c>
      <c r="J103" t="s">
        <v>1199</v>
      </c>
      <c r="K103" t="s">
        <v>1200</v>
      </c>
      <c r="L103" t="str">
        <f t="shared" si="21"/>
        <v>02_Slots/Gaben/0080_Weihrauch/0030_snTr_AR_03.png &lt;sup&gt;(AR)&lt;/sup&gt;</v>
      </c>
    </row>
    <row r="104" spans="1:12" x14ac:dyDescent="0.2">
      <c r="A104" t="s">
        <v>196</v>
      </c>
      <c r="B104" s="27">
        <v>8</v>
      </c>
      <c r="C104" t="s">
        <v>105</v>
      </c>
      <c r="E104" t="s">
        <v>264</v>
      </c>
      <c r="G104" t="s">
        <v>281</v>
      </c>
      <c r="H104" t="s">
        <v>113</v>
      </c>
      <c r="I104" t="s">
        <v>1198</v>
      </c>
      <c r="J104" t="s">
        <v>1212</v>
      </c>
      <c r="K104" t="s">
        <v>1200</v>
      </c>
      <c r="L104" t="str">
        <f t="shared" si="21"/>
        <v>02_Slots/Gaben/0080_Weihrauch/0040_snTr_Ende-AR_01.png &lt;sup&gt;(Ende AR)&lt;/sup&gt;</v>
      </c>
    </row>
    <row r="105" spans="1:12" x14ac:dyDescent="0.2">
      <c r="A105" t="s">
        <v>196</v>
      </c>
      <c r="B105" s="27">
        <v>8</v>
      </c>
      <c r="C105" t="s">
        <v>105</v>
      </c>
      <c r="E105" t="s">
        <v>264</v>
      </c>
      <c r="G105" t="s">
        <v>269</v>
      </c>
      <c r="H105" t="s">
        <v>113</v>
      </c>
      <c r="I105" t="s">
        <v>1198</v>
      </c>
      <c r="J105" t="s">
        <v>1202</v>
      </c>
      <c r="K105" t="s">
        <v>1200</v>
      </c>
      <c r="L105" t="str">
        <f t="shared" si="21"/>
        <v>02_Slots/Gaben/0080_Weihrauch/0050_snTr_MR_01.png &lt;sup&gt;(MR)&lt;/sup&gt;</v>
      </c>
    </row>
    <row r="106" spans="1:12" x14ac:dyDescent="0.2">
      <c r="A106" t="s">
        <v>196</v>
      </c>
      <c r="B106" s="27">
        <v>8</v>
      </c>
      <c r="C106" t="s">
        <v>105</v>
      </c>
      <c r="E106" t="s">
        <v>264</v>
      </c>
      <c r="G106" t="s">
        <v>270</v>
      </c>
      <c r="H106" t="s">
        <v>113</v>
      </c>
      <c r="I106" t="s">
        <v>1198</v>
      </c>
      <c r="J106" t="s">
        <v>1202</v>
      </c>
      <c r="K106" t="s">
        <v>1200</v>
      </c>
      <c r="L106" t="str">
        <f t="shared" si="21"/>
        <v>02_Slots/Gaben/0080_Weihrauch/0060_snTr_MR_02.png &lt;sup&gt;(MR)&lt;/sup&gt;</v>
      </c>
    </row>
    <row r="107" spans="1:12" x14ac:dyDescent="0.2">
      <c r="A107" t="s">
        <v>196</v>
      </c>
      <c r="B107" s="27">
        <v>8</v>
      </c>
      <c r="C107" t="s">
        <v>105</v>
      </c>
      <c r="E107" t="s">
        <v>264</v>
      </c>
      <c r="G107" t="s">
        <v>271</v>
      </c>
      <c r="H107" t="s">
        <v>113</v>
      </c>
      <c r="I107" t="s">
        <v>1198</v>
      </c>
      <c r="J107" t="s">
        <v>1202</v>
      </c>
      <c r="K107" t="s">
        <v>1200</v>
      </c>
      <c r="L107" t="str">
        <f t="shared" si="21"/>
        <v>02_Slots/Gaben/0080_Weihrauch/0070_snTr_MR_03.png &lt;sup&gt;(MR)&lt;/sup&gt;</v>
      </c>
    </row>
    <row r="108" spans="1:12" x14ac:dyDescent="0.2">
      <c r="A108" t="s">
        <v>196</v>
      </c>
      <c r="B108" s="27">
        <v>8</v>
      </c>
      <c r="C108" t="s">
        <v>105</v>
      </c>
      <c r="E108" t="s">
        <v>264</v>
      </c>
      <c r="G108" t="s">
        <v>272</v>
      </c>
      <c r="H108" t="s">
        <v>113</v>
      </c>
      <c r="I108" t="s">
        <v>1198</v>
      </c>
      <c r="J108" t="s">
        <v>1203</v>
      </c>
      <c r="K108" t="s">
        <v>1200</v>
      </c>
      <c r="L108" t="str">
        <f t="shared" si="21"/>
        <v>02_Slots/Gaben/0080_Weihrauch/0080_snTr_D.18_01.png &lt;sup&gt;(Dyn.18)&lt;/sup&gt;</v>
      </c>
    </row>
    <row r="109" spans="1:12" x14ac:dyDescent="0.2">
      <c r="A109" t="s">
        <v>196</v>
      </c>
      <c r="B109" s="27">
        <v>8</v>
      </c>
      <c r="C109" t="s">
        <v>105</v>
      </c>
      <c r="E109" t="s">
        <v>264</v>
      </c>
      <c r="G109" t="s">
        <v>273</v>
      </c>
      <c r="H109" t="s">
        <v>113</v>
      </c>
      <c r="I109" t="s">
        <v>1198</v>
      </c>
      <c r="J109" t="s">
        <v>1204</v>
      </c>
      <c r="K109" t="s">
        <v>1200</v>
      </c>
      <c r="L109" t="str">
        <f t="shared" si="21"/>
        <v>02_Slots/Gaben/0080_Weihrauch/0090_snTr_D.19_01.png &lt;sup&gt;(Dyn.19)&lt;/sup&gt;</v>
      </c>
    </row>
    <row r="110" spans="1:12" x14ac:dyDescent="0.2">
      <c r="A110" t="s">
        <v>196</v>
      </c>
      <c r="B110" s="27">
        <v>8</v>
      </c>
      <c r="C110" t="s">
        <v>276</v>
      </c>
      <c r="E110" t="s">
        <v>264</v>
      </c>
      <c r="G110" t="s">
        <v>274</v>
      </c>
      <c r="H110" t="s">
        <v>113</v>
      </c>
      <c r="L110" t="str">
        <f t="shared" ref="L110" si="22">_xlfn.TEXTJOIN("", TRUE, D110:J110)</f>
        <v>02_Slots/Gaben/0080_Weihrauch/0100_snTr_Abk_01.png</v>
      </c>
    </row>
    <row r="111" spans="1:12" x14ac:dyDescent="0.2">
      <c r="A111" t="s">
        <v>196</v>
      </c>
      <c r="B111" s="27">
        <v>8</v>
      </c>
      <c r="C111" t="s">
        <v>276</v>
      </c>
      <c r="E111" t="s">
        <v>264</v>
      </c>
      <c r="G111" t="s">
        <v>274</v>
      </c>
      <c r="H111" t="s">
        <v>113</v>
      </c>
      <c r="L111" t="str">
        <f t="shared" ref="L111:L112" si="23">_xlfn.TEXTJOIN("", TRUE, D111:J111)</f>
        <v>02_Slots/Gaben/0080_Weihrauch/0100_snTr_Abk_01.png</v>
      </c>
    </row>
    <row r="112" spans="1:12" x14ac:dyDescent="0.2">
      <c r="A112" t="s">
        <v>196</v>
      </c>
      <c r="B112" s="27">
        <v>8</v>
      </c>
      <c r="C112" t="s">
        <v>276</v>
      </c>
      <c r="E112" t="s">
        <v>264</v>
      </c>
      <c r="G112" t="s">
        <v>275</v>
      </c>
      <c r="H112" t="s">
        <v>113</v>
      </c>
      <c r="L112" t="str">
        <f t="shared" si="23"/>
        <v>02_Slots/Gaben/0080_Weihrauch/0120_snTr_Abk_03.png</v>
      </c>
    </row>
    <row r="113" spans="1:12" x14ac:dyDescent="0.2">
      <c r="A113" t="s">
        <v>196</v>
      </c>
      <c r="B113" s="27">
        <v>8</v>
      </c>
      <c r="C113" t="s">
        <v>192</v>
      </c>
      <c r="E113" t="s">
        <v>264</v>
      </c>
      <c r="F113" t="s">
        <v>111</v>
      </c>
      <c r="G113" t="s">
        <v>277</v>
      </c>
      <c r="H113" t="s">
        <v>113</v>
      </c>
      <c r="L113" t="str">
        <f t="shared" ref="L113" si="24">_xlfn.TEXTJOIN("", TRUE, D113:J113)</f>
        <v>02_Slots/Gaben/0080_Weihrauch/det/0001_snTr_det_01.png</v>
      </c>
    </row>
    <row r="114" spans="1:12" x14ac:dyDescent="0.2">
      <c r="A114" t="s">
        <v>196</v>
      </c>
      <c r="B114" s="27">
        <v>8</v>
      </c>
      <c r="C114" t="s">
        <v>192</v>
      </c>
      <c r="E114" t="s">
        <v>264</v>
      </c>
      <c r="F114" t="s">
        <v>111</v>
      </c>
      <c r="G114" t="s">
        <v>278</v>
      </c>
      <c r="H114" t="s">
        <v>113</v>
      </c>
      <c r="L114" t="str">
        <f t="shared" ref="L114:L115" si="25">_xlfn.TEXTJOIN("", TRUE, D114:J114)</f>
        <v>02_Slots/Gaben/0080_Weihrauch/det/0010_snTr_det_02.png</v>
      </c>
    </row>
    <row r="115" spans="1:12" x14ac:dyDescent="0.2">
      <c r="A115" t="s">
        <v>196</v>
      </c>
      <c r="B115" s="27">
        <v>8</v>
      </c>
      <c r="C115" t="s">
        <v>192</v>
      </c>
      <c r="E115" t="s">
        <v>264</v>
      </c>
      <c r="F115" t="s">
        <v>111</v>
      </c>
      <c r="G115" t="s">
        <v>279</v>
      </c>
      <c r="H115" t="s">
        <v>113</v>
      </c>
      <c r="L115" t="str">
        <f t="shared" si="25"/>
        <v>02_Slots/Gaben/0080_Weihrauch/det/0020_snTr_det_03.png</v>
      </c>
    </row>
    <row r="116" spans="1:12" x14ac:dyDescent="0.2">
      <c r="A116" t="s">
        <v>196</v>
      </c>
      <c r="B116" s="27">
        <v>8</v>
      </c>
      <c r="C116" t="s">
        <v>192</v>
      </c>
      <c r="E116" t="s">
        <v>264</v>
      </c>
      <c r="F116" t="s">
        <v>111</v>
      </c>
      <c r="G116" t="s">
        <v>280</v>
      </c>
      <c r="H116" t="s">
        <v>113</v>
      </c>
      <c r="I116" t="s">
        <v>1198</v>
      </c>
      <c r="J116" t="s">
        <v>1202</v>
      </c>
      <c r="K116" t="s">
        <v>1200</v>
      </c>
      <c r="L116" t="str">
        <f>_xlfn.TEXTJOIN("", TRUE, D116:K116)</f>
        <v>02_Slots/Gaben/0080_Weihrauch/det/0030_snTr_det_MR_01.png &lt;sup&gt;(MR)&lt;/sup&gt;</v>
      </c>
    </row>
    <row r="117" spans="1:12" x14ac:dyDescent="0.2">
      <c r="A117" t="s">
        <v>196</v>
      </c>
      <c r="B117" s="27">
        <v>8</v>
      </c>
      <c r="C117" t="s">
        <v>27</v>
      </c>
      <c r="L117" t="s">
        <v>282</v>
      </c>
    </row>
    <row r="119" spans="1:12" x14ac:dyDescent="0.2">
      <c r="A119" t="s">
        <v>196</v>
      </c>
      <c r="B119" s="27">
        <v>9</v>
      </c>
      <c r="C119" t="s">
        <v>39</v>
      </c>
      <c r="L119" t="s">
        <v>283</v>
      </c>
    </row>
    <row r="120" spans="1:12" x14ac:dyDescent="0.2">
      <c r="A120" t="s">
        <v>196</v>
      </c>
      <c r="B120" s="27">
        <v>9</v>
      </c>
      <c r="C120" t="s">
        <v>105</v>
      </c>
      <c r="E120" t="s">
        <v>284</v>
      </c>
      <c r="G120" t="s">
        <v>285</v>
      </c>
      <c r="H120" t="s">
        <v>113</v>
      </c>
      <c r="L120" t="str">
        <f t="shared" ref="L120" si="26">_xlfn.TEXTJOIN("", TRUE, D120:J120)</f>
        <v>02_Slots/Gaben/0090_Wein/0001_jrp_01.png</v>
      </c>
    </row>
    <row r="121" spans="1:12" x14ac:dyDescent="0.2">
      <c r="A121" t="s">
        <v>196</v>
      </c>
      <c r="B121" s="27">
        <v>9</v>
      </c>
      <c r="C121" t="s">
        <v>276</v>
      </c>
      <c r="E121" t="s">
        <v>284</v>
      </c>
      <c r="G121" t="s">
        <v>286</v>
      </c>
      <c r="H121" t="s">
        <v>113</v>
      </c>
      <c r="L121" t="str">
        <f t="shared" ref="L121" si="27">_xlfn.TEXTJOIN("", TRUE, D121:J121)</f>
        <v>02_Slots/Gaben/0090_Wein/0010_jrp_Abk_01.png</v>
      </c>
    </row>
    <row r="122" spans="1:12" x14ac:dyDescent="0.2">
      <c r="A122" t="s">
        <v>196</v>
      </c>
      <c r="B122" s="27">
        <v>9</v>
      </c>
      <c r="C122" t="s">
        <v>276</v>
      </c>
      <c r="E122" t="s">
        <v>284</v>
      </c>
      <c r="G122" t="s">
        <v>287</v>
      </c>
      <c r="H122" t="s">
        <v>113</v>
      </c>
      <c r="L122" t="str">
        <f t="shared" ref="L122" si="28">_xlfn.TEXTJOIN("", TRUE, D122:J122)</f>
        <v>02_Slots/Gaben/0090_Wein/0020_jrp_Abk_02.png</v>
      </c>
    </row>
    <row r="123" spans="1:12" x14ac:dyDescent="0.2">
      <c r="A123" t="s">
        <v>196</v>
      </c>
      <c r="B123" s="27">
        <v>9</v>
      </c>
      <c r="C123" t="s">
        <v>276</v>
      </c>
      <c r="E123" t="s">
        <v>284</v>
      </c>
      <c r="G123" t="s">
        <v>288</v>
      </c>
      <c r="H123" t="s">
        <v>113</v>
      </c>
      <c r="I123" t="s">
        <v>1198</v>
      </c>
      <c r="J123" t="s">
        <v>1153</v>
      </c>
      <c r="K123" t="s">
        <v>1200</v>
      </c>
      <c r="L123" t="str">
        <f>_xlfn.TEXTJOIN("", TRUE, D123:K123)</f>
        <v>02_Slots/Gaben/0090_Wein/0030_jrp_Abk_NR_01.png &lt;sup&gt;(NR)&lt;/sup&gt;</v>
      </c>
    </row>
    <row r="124" spans="1:12" x14ac:dyDescent="0.2">
      <c r="A124" t="s">
        <v>196</v>
      </c>
      <c r="B124" s="27">
        <v>9</v>
      </c>
      <c r="C124" t="s">
        <v>192</v>
      </c>
      <c r="E124" t="s">
        <v>284</v>
      </c>
      <c r="F124" t="s">
        <v>111</v>
      </c>
      <c r="G124" t="s">
        <v>289</v>
      </c>
      <c r="H124" t="s">
        <v>113</v>
      </c>
      <c r="L124" t="str">
        <f t="shared" ref="L124" si="29">_xlfn.TEXTJOIN("", TRUE, D124:J124)</f>
        <v>02_Slots/Gaben/0090_Wein/det/0001_jrp_det_01.png</v>
      </c>
    </row>
    <row r="125" spans="1:12" x14ac:dyDescent="0.2">
      <c r="A125" t="s">
        <v>196</v>
      </c>
      <c r="B125" s="27">
        <v>9</v>
      </c>
      <c r="C125" t="s">
        <v>192</v>
      </c>
      <c r="E125" t="s">
        <v>284</v>
      </c>
      <c r="F125" t="s">
        <v>111</v>
      </c>
      <c r="G125" t="s">
        <v>290</v>
      </c>
      <c r="H125" t="s">
        <v>113</v>
      </c>
      <c r="I125" t="s">
        <v>1198</v>
      </c>
      <c r="J125" t="s">
        <v>1199</v>
      </c>
      <c r="K125" t="s">
        <v>1200</v>
      </c>
      <c r="L125" t="str">
        <f>_xlfn.TEXTJOIN("", TRUE, D125:K125)</f>
        <v>02_Slots/Gaben/0090_Wein/det/0010_jrp_det_AR_01.png &lt;sup&gt;(AR)&lt;/sup&gt;</v>
      </c>
    </row>
    <row r="126" spans="1:12" x14ac:dyDescent="0.2">
      <c r="A126" t="s">
        <v>196</v>
      </c>
      <c r="B126" s="27">
        <v>9</v>
      </c>
      <c r="C126" t="s">
        <v>27</v>
      </c>
      <c r="L126" t="s">
        <v>291</v>
      </c>
    </row>
    <row r="128" spans="1:12" x14ac:dyDescent="0.2">
      <c r="A128" t="s">
        <v>197</v>
      </c>
      <c r="B128" s="27">
        <v>1</v>
      </c>
      <c r="C128" t="s">
        <v>39</v>
      </c>
      <c r="L128" t="s">
        <v>1100</v>
      </c>
    </row>
    <row r="129" spans="1:12" x14ac:dyDescent="0.2">
      <c r="A129" t="s">
        <v>197</v>
      </c>
      <c r="B129" s="27">
        <v>1</v>
      </c>
      <c r="C129" t="s">
        <v>105</v>
      </c>
      <c r="E129" t="s">
        <v>293</v>
      </c>
      <c r="G129" t="s">
        <v>294</v>
      </c>
      <c r="H129" t="s">
        <v>113</v>
      </c>
      <c r="L129" t="str">
        <f t="shared" ref="L129" si="30">_xlfn.TEXTJOIN("", TRUE, D129:J129)</f>
        <v>02_Slots/Gaben/0100_tausend-an/0001_xA-m-n_01.png</v>
      </c>
    </row>
    <row r="130" spans="1:12" x14ac:dyDescent="0.2">
      <c r="A130" t="s">
        <v>197</v>
      </c>
      <c r="B130" s="27">
        <v>1</v>
      </c>
      <c r="C130" t="s">
        <v>27</v>
      </c>
      <c r="L130" t="s">
        <v>292</v>
      </c>
    </row>
    <row r="132" spans="1:12" x14ac:dyDescent="0.2">
      <c r="A132" t="s">
        <v>198</v>
      </c>
      <c r="B132" s="27">
        <v>1</v>
      </c>
      <c r="C132" t="s">
        <v>39</v>
      </c>
      <c r="L132" t="s">
        <v>296</v>
      </c>
    </row>
    <row r="133" spans="1:12" x14ac:dyDescent="0.2">
      <c r="A133" t="s">
        <v>198</v>
      </c>
      <c r="B133" s="27">
        <v>1</v>
      </c>
      <c r="C133" t="s">
        <v>105</v>
      </c>
      <c r="E133" t="s">
        <v>295</v>
      </c>
      <c r="G133" t="s">
        <v>298</v>
      </c>
      <c r="H133" t="s">
        <v>113</v>
      </c>
      <c r="L133" t="str">
        <f t="shared" ref="L133" si="31">_xlfn.TEXTJOIN("", TRUE, D133:J133)</f>
        <v>02_Slots/Gaben/0110_was-der-Himmel-gibt/0001_dd.t-p.t_01.png</v>
      </c>
    </row>
    <row r="134" spans="1:12" x14ac:dyDescent="0.2">
      <c r="A134" t="s">
        <v>198</v>
      </c>
      <c r="B134" s="27">
        <v>1</v>
      </c>
      <c r="C134" t="s">
        <v>27</v>
      </c>
      <c r="L134" t="s">
        <v>297</v>
      </c>
    </row>
    <row r="136" spans="1:12" x14ac:dyDescent="0.2">
      <c r="A136" t="s">
        <v>198</v>
      </c>
      <c r="B136" s="27">
        <v>2</v>
      </c>
      <c r="C136" t="s">
        <v>39</v>
      </c>
      <c r="L136" t="s">
        <v>299</v>
      </c>
    </row>
    <row r="137" spans="1:12" x14ac:dyDescent="0.2">
      <c r="A137" t="s">
        <v>198</v>
      </c>
      <c r="B137" s="27">
        <v>2</v>
      </c>
      <c r="C137" t="s">
        <v>105</v>
      </c>
      <c r="E137" t="s">
        <v>301</v>
      </c>
      <c r="G137" t="s">
        <v>302</v>
      </c>
      <c r="H137" t="s">
        <v>113</v>
      </c>
      <c r="L137" t="str">
        <f t="shared" ref="L137" si="32">_xlfn.TEXTJOIN("", TRUE, D137:J137)</f>
        <v>02_Slots/Gaben/0120_was-die-Erde-hervorbringt/0001_qmA.t-tA_01.png</v>
      </c>
    </row>
    <row r="138" spans="1:12" x14ac:dyDescent="0.2">
      <c r="A138" t="s">
        <v>198</v>
      </c>
      <c r="B138" s="27">
        <v>2</v>
      </c>
      <c r="C138" t="s">
        <v>105</v>
      </c>
      <c r="E138" t="s">
        <v>301</v>
      </c>
      <c r="G138" t="s">
        <v>303</v>
      </c>
      <c r="H138" t="s">
        <v>113</v>
      </c>
      <c r="L138" t="str">
        <f t="shared" ref="L138" si="33">_xlfn.TEXTJOIN("", TRUE, D138:J138)</f>
        <v>02_Slots/Gaben/0120_was-die-Erde-hervorbringt/0010_qmA.t-tA_02.png</v>
      </c>
    </row>
    <row r="139" spans="1:12" x14ac:dyDescent="0.2">
      <c r="A139" t="s">
        <v>198</v>
      </c>
      <c r="B139" s="27">
        <v>2</v>
      </c>
      <c r="C139" t="s">
        <v>27</v>
      </c>
      <c r="L139" t="s">
        <v>300</v>
      </c>
    </row>
    <row r="141" spans="1:12" x14ac:dyDescent="0.2">
      <c r="A141" t="s">
        <v>198</v>
      </c>
      <c r="B141" s="27">
        <v>3</v>
      </c>
      <c r="C141" t="s">
        <v>39</v>
      </c>
      <c r="L141" t="s">
        <v>306</v>
      </c>
    </row>
    <row r="142" spans="1:12" x14ac:dyDescent="0.2">
      <c r="A142" t="s">
        <v>198</v>
      </c>
      <c r="B142" s="27">
        <v>3</v>
      </c>
      <c r="C142" t="s">
        <v>105</v>
      </c>
      <c r="E142" t="s">
        <v>305</v>
      </c>
      <c r="G142" t="s">
        <v>307</v>
      </c>
      <c r="H142" t="s">
        <v>113</v>
      </c>
      <c r="L142" t="str">
        <f t="shared" ref="L142:L143" si="34">_xlfn.TEXTJOIN("", TRUE, D142:J142)</f>
        <v>02_Slots/Gaben/0130_was-der-Nil-bringt/0001_jnn.t-Hapy_01.png</v>
      </c>
    </row>
    <row r="143" spans="1:12" x14ac:dyDescent="0.2">
      <c r="A143" t="s">
        <v>198</v>
      </c>
      <c r="B143" s="27">
        <v>3</v>
      </c>
      <c r="C143" t="s">
        <v>105</v>
      </c>
      <c r="E143" t="s">
        <v>305</v>
      </c>
      <c r="G143" t="s">
        <v>308</v>
      </c>
      <c r="H143" t="s">
        <v>113</v>
      </c>
      <c r="L143" t="str">
        <f t="shared" si="34"/>
        <v>02_Slots/Gaben/0130_was-der-Nil-bringt/0010_jnn.t-Hapy_02.png</v>
      </c>
    </row>
    <row r="144" spans="1:12" x14ac:dyDescent="0.2">
      <c r="A144" t="s">
        <v>198</v>
      </c>
      <c r="B144" s="27">
        <v>3</v>
      </c>
      <c r="C144" t="s">
        <v>27</v>
      </c>
      <c r="L144" t="s">
        <v>304</v>
      </c>
    </row>
    <row r="146" spans="1:12" x14ac:dyDescent="0.2">
      <c r="A146" t="s">
        <v>198</v>
      </c>
      <c r="B146" s="27">
        <v>4</v>
      </c>
      <c r="C146" t="s">
        <v>39</v>
      </c>
      <c r="L146" t="s">
        <v>311</v>
      </c>
    </row>
    <row r="147" spans="1:12" x14ac:dyDescent="0.2">
      <c r="A147" t="s">
        <v>198</v>
      </c>
      <c r="B147" s="27">
        <v>4</v>
      </c>
      <c r="C147" t="s">
        <v>105</v>
      </c>
      <c r="E147" t="s">
        <v>309</v>
      </c>
      <c r="G147" t="s">
        <v>310</v>
      </c>
      <c r="H147" t="s">
        <v>113</v>
      </c>
      <c r="L147" t="str">
        <f t="shared" ref="L147" si="35">_xlfn.TEXTJOIN("", TRUE, D147:J147)</f>
        <v>02_Slots/Gaben/0140_wovon-ein-Gott-lebt/0001_anx.t-nTr-jm_01.png</v>
      </c>
    </row>
    <row r="148" spans="1:12" x14ac:dyDescent="0.2">
      <c r="A148" t="s">
        <v>198</v>
      </c>
      <c r="B148" s="27">
        <v>4</v>
      </c>
      <c r="C148" t="s">
        <v>27</v>
      </c>
      <c r="L148" t="s">
        <v>315</v>
      </c>
    </row>
    <row r="150" spans="1:12" x14ac:dyDescent="0.2">
      <c r="A150" t="s">
        <v>198</v>
      </c>
      <c r="B150" s="27">
        <v>5</v>
      </c>
      <c r="C150" t="s">
        <v>39</v>
      </c>
      <c r="L150" t="s">
        <v>314</v>
      </c>
    </row>
    <row r="151" spans="1:12" x14ac:dyDescent="0.2">
      <c r="A151" t="s">
        <v>198</v>
      </c>
      <c r="B151" s="27">
        <v>5</v>
      </c>
      <c r="C151" t="s">
        <v>105</v>
      </c>
      <c r="E151" t="s">
        <v>312</v>
      </c>
      <c r="G151" t="s">
        <v>313</v>
      </c>
      <c r="H151" t="s">
        <v>113</v>
      </c>
      <c r="L151" t="str">
        <f t="shared" ref="L151" si="36">_xlfn.TEXTJOIN("", TRUE, D151:J151)</f>
        <v>02_Slots/Gaben/0150_wovon-die-Ach-Geister/0001_mrr.t-Ax.w-wnm-jm_01.png</v>
      </c>
    </row>
    <row r="152" spans="1:12" x14ac:dyDescent="0.2">
      <c r="A152" t="s">
        <v>198</v>
      </c>
      <c r="B152" s="27">
        <v>5</v>
      </c>
      <c r="C152" t="s">
        <v>27</v>
      </c>
      <c r="L152" t="s">
        <v>316</v>
      </c>
    </row>
    <row r="154" spans="1:12" x14ac:dyDescent="0.2">
      <c r="A154" t="s">
        <v>198</v>
      </c>
      <c r="B154" s="27">
        <v>6</v>
      </c>
      <c r="C154" t="s">
        <v>39</v>
      </c>
      <c r="L154" t="s">
        <v>317</v>
      </c>
    </row>
    <row r="155" spans="1:12" x14ac:dyDescent="0.2">
      <c r="A155" t="s">
        <v>198</v>
      </c>
      <c r="B155" s="27">
        <v>6</v>
      </c>
      <c r="C155" t="s">
        <v>105</v>
      </c>
      <c r="E155" t="s">
        <v>318</v>
      </c>
      <c r="G155" t="s">
        <v>320</v>
      </c>
      <c r="H155" t="s">
        <v>113</v>
      </c>
      <c r="L155" t="str">
        <f t="shared" ref="L155:L157" si="37">_xlfn.TEXTJOIN("", TRUE, D155:J155)</f>
        <v>02_Slots/Gaben/0160_Alles/0001_(j)x.t-nb.t-nfr.t-wab.t_01.png</v>
      </c>
    </row>
    <row r="156" spans="1:12" x14ac:dyDescent="0.2">
      <c r="A156" t="s">
        <v>198</v>
      </c>
      <c r="B156" s="27">
        <v>6</v>
      </c>
      <c r="C156" t="s">
        <v>105</v>
      </c>
      <c r="E156" t="s">
        <v>318</v>
      </c>
      <c r="G156" t="s">
        <v>321</v>
      </c>
      <c r="H156" t="s">
        <v>113</v>
      </c>
      <c r="L156" t="str">
        <f t="shared" si="37"/>
        <v>02_Slots/Gaben/0160_Alles/0010_(j)x.t-nb.t-nfr.t-wab.t_02.png</v>
      </c>
    </row>
    <row r="157" spans="1:12" x14ac:dyDescent="0.2">
      <c r="A157" t="s">
        <v>198</v>
      </c>
      <c r="B157" s="27">
        <v>6</v>
      </c>
      <c r="C157" t="s">
        <v>105</v>
      </c>
      <c r="E157" t="s">
        <v>318</v>
      </c>
      <c r="G157" t="s">
        <v>322</v>
      </c>
      <c r="H157" t="s">
        <v>113</v>
      </c>
      <c r="L157" t="str">
        <f t="shared" si="37"/>
        <v>02_Slots/Gaben/0160_Alles/0020_(j)x.t-nb.t_01.png</v>
      </c>
    </row>
    <row r="158" spans="1:12" x14ac:dyDescent="0.2">
      <c r="A158" t="s">
        <v>198</v>
      </c>
      <c r="B158" s="27">
        <v>6</v>
      </c>
      <c r="C158" t="s">
        <v>27</v>
      </c>
      <c r="L158" t="s">
        <v>319</v>
      </c>
    </row>
    <row r="160" spans="1:12" x14ac:dyDescent="0.2">
      <c r="A160" t="s">
        <v>384</v>
      </c>
      <c r="B160" s="27">
        <v>1</v>
      </c>
      <c r="C160" t="s">
        <v>39</v>
      </c>
      <c r="L160" t="s">
        <v>387</v>
      </c>
    </row>
    <row r="161" spans="1:12" x14ac:dyDescent="0.2">
      <c r="A161" t="s">
        <v>384</v>
      </c>
      <c r="B161" s="27">
        <v>1</v>
      </c>
      <c r="C161" t="s">
        <v>105</v>
      </c>
      <c r="E161" t="s">
        <v>388</v>
      </c>
      <c r="G161" t="s">
        <v>385</v>
      </c>
      <c r="H161" t="s">
        <v>113</v>
      </c>
      <c r="L161" t="str">
        <f t="shared" ref="L161:L162" si="38">_xlfn.TEXTJOIN("", TRUE, D161:J161)</f>
        <v>02_Slots/Titel/01_jmj-rA_01.png</v>
      </c>
    </row>
    <row r="162" spans="1:12" x14ac:dyDescent="0.2">
      <c r="A162" t="s">
        <v>384</v>
      </c>
      <c r="B162" s="27">
        <v>1</v>
      </c>
      <c r="C162" t="s">
        <v>105</v>
      </c>
      <c r="E162" t="s">
        <v>388</v>
      </c>
      <c r="G162" t="s">
        <v>386</v>
      </c>
      <c r="H162" t="s">
        <v>113</v>
      </c>
      <c r="L162" t="str">
        <f t="shared" si="38"/>
        <v>02_Slots/Titel/01_jmj-rA_02.png</v>
      </c>
    </row>
    <row r="163" spans="1:12" x14ac:dyDescent="0.2">
      <c r="A163" t="s">
        <v>384</v>
      </c>
      <c r="B163" s="27">
        <v>1</v>
      </c>
      <c r="C163" t="s">
        <v>27</v>
      </c>
      <c r="L163" t="s">
        <v>389</v>
      </c>
    </row>
    <row r="165" spans="1:12" x14ac:dyDescent="0.2">
      <c r="A165" t="s">
        <v>384</v>
      </c>
      <c r="B165" s="27">
        <v>2</v>
      </c>
      <c r="C165" t="s">
        <v>39</v>
      </c>
      <c r="L165" t="s">
        <v>391</v>
      </c>
    </row>
    <row r="166" spans="1:12" x14ac:dyDescent="0.2">
      <c r="A166" t="s">
        <v>384</v>
      </c>
      <c r="B166" s="27">
        <v>2</v>
      </c>
      <c r="C166" t="s">
        <v>105</v>
      </c>
      <c r="E166" t="s">
        <v>388</v>
      </c>
      <c r="G166" t="s">
        <v>398</v>
      </c>
      <c r="H166" t="s">
        <v>113</v>
      </c>
      <c r="I166" t="s">
        <v>1198</v>
      </c>
      <c r="J166" t="s">
        <v>1202</v>
      </c>
      <c r="K166" t="s">
        <v>1200</v>
      </c>
      <c r="L166" t="str">
        <f>_xlfn.TEXTJOIN("", TRUE, D166:K166)</f>
        <v>02_Slots/Titel/02_Hry_MR_01.png &lt;sup&gt;(MR)&lt;/sup&gt;</v>
      </c>
    </row>
    <row r="167" spans="1:12" x14ac:dyDescent="0.2">
      <c r="A167" t="s">
        <v>384</v>
      </c>
      <c r="B167" s="27">
        <v>2</v>
      </c>
      <c r="C167" t="s">
        <v>27</v>
      </c>
      <c r="L167" t="s">
        <v>390</v>
      </c>
    </row>
    <row r="169" spans="1:12" x14ac:dyDescent="0.2">
      <c r="A169" t="s">
        <v>384</v>
      </c>
      <c r="B169" s="27">
        <v>3</v>
      </c>
      <c r="C169" t="s">
        <v>39</v>
      </c>
      <c r="L169" t="s">
        <v>392</v>
      </c>
    </row>
    <row r="170" spans="1:12" x14ac:dyDescent="0.2">
      <c r="A170" t="s">
        <v>384</v>
      </c>
      <c r="B170" s="27">
        <v>3</v>
      </c>
      <c r="C170" t="s">
        <v>105</v>
      </c>
      <c r="E170" t="s">
        <v>388</v>
      </c>
      <c r="G170" t="s">
        <v>394</v>
      </c>
      <c r="H170" t="s">
        <v>113</v>
      </c>
      <c r="L170" t="str">
        <f t="shared" ref="L170" si="39">_xlfn.TEXTJOIN("", TRUE, D170:J170)</f>
        <v>02_Slots/Titel/03_jmAx_01.png</v>
      </c>
    </row>
    <row r="171" spans="1:12" x14ac:dyDescent="0.2">
      <c r="A171" t="s">
        <v>384</v>
      </c>
      <c r="B171" s="27">
        <v>3</v>
      </c>
      <c r="C171" t="s">
        <v>105</v>
      </c>
      <c r="E171" t="s">
        <v>388</v>
      </c>
      <c r="G171" t="s">
        <v>395</v>
      </c>
      <c r="H171" t="s">
        <v>113</v>
      </c>
      <c r="L171" t="str">
        <f t="shared" ref="L171:L174" si="40">_xlfn.TEXTJOIN("", TRUE, D171:J171)</f>
        <v>02_Slots/Titel/03_jmAx_02.png</v>
      </c>
    </row>
    <row r="172" spans="1:12" x14ac:dyDescent="0.2">
      <c r="A172" t="s">
        <v>384</v>
      </c>
      <c r="B172" s="27">
        <v>3</v>
      </c>
      <c r="C172" t="s">
        <v>105</v>
      </c>
      <c r="E172" t="s">
        <v>388</v>
      </c>
      <c r="G172" t="s">
        <v>396</v>
      </c>
      <c r="H172" t="s">
        <v>113</v>
      </c>
      <c r="L172" t="str">
        <f t="shared" si="40"/>
        <v>02_Slots/Titel/03_jmAx_03.png</v>
      </c>
    </row>
    <row r="173" spans="1:12" x14ac:dyDescent="0.2">
      <c r="A173" t="s">
        <v>384</v>
      </c>
      <c r="B173" s="27">
        <v>3</v>
      </c>
      <c r="C173" t="s">
        <v>105</v>
      </c>
      <c r="E173" t="s">
        <v>388</v>
      </c>
      <c r="G173" t="s">
        <v>397</v>
      </c>
      <c r="H173" t="s">
        <v>113</v>
      </c>
      <c r="L173" t="str">
        <f t="shared" si="40"/>
        <v>02_Slots/Titel/03_jmAx_04.png</v>
      </c>
    </row>
    <row r="174" spans="1:12" x14ac:dyDescent="0.2">
      <c r="A174" t="s">
        <v>384</v>
      </c>
      <c r="B174" s="27">
        <v>3</v>
      </c>
      <c r="C174" t="s">
        <v>105</v>
      </c>
      <c r="E174" t="s">
        <v>388</v>
      </c>
      <c r="G174" t="s">
        <v>397</v>
      </c>
      <c r="H174" t="s">
        <v>113</v>
      </c>
      <c r="L174" t="str">
        <f t="shared" si="40"/>
        <v>02_Slots/Titel/03_jmAx_04.png</v>
      </c>
    </row>
    <row r="175" spans="1:12" x14ac:dyDescent="0.2">
      <c r="A175" t="s">
        <v>384</v>
      </c>
      <c r="B175" s="27">
        <v>3</v>
      </c>
      <c r="C175" t="s">
        <v>105</v>
      </c>
      <c r="E175" t="s">
        <v>388</v>
      </c>
      <c r="G175" t="s">
        <v>399</v>
      </c>
      <c r="H175" t="s">
        <v>113</v>
      </c>
      <c r="I175" t="s">
        <v>1198</v>
      </c>
      <c r="J175" t="s">
        <v>1202</v>
      </c>
      <c r="K175" t="s">
        <v>1200</v>
      </c>
      <c r="L175" t="str">
        <f>_xlfn.TEXTJOIN("", TRUE, D175:K175)</f>
        <v>02_Slots/Titel/03_jmAx_MR_01.png &lt;sup&gt;(MR)&lt;/sup&gt;</v>
      </c>
    </row>
    <row r="176" spans="1:12" x14ac:dyDescent="0.2">
      <c r="A176" t="s">
        <v>384</v>
      </c>
      <c r="B176" s="27">
        <v>3</v>
      </c>
      <c r="C176" t="s">
        <v>27</v>
      </c>
      <c r="L176" t="s">
        <v>393</v>
      </c>
    </row>
    <row r="178" spans="1:12" x14ac:dyDescent="0.2">
      <c r="A178" t="s">
        <v>384</v>
      </c>
      <c r="B178" s="27">
        <v>4</v>
      </c>
      <c r="C178" t="s">
        <v>39</v>
      </c>
      <c r="L178" t="s">
        <v>400</v>
      </c>
    </row>
    <row r="179" spans="1:12" x14ac:dyDescent="0.2">
      <c r="A179" t="s">
        <v>384</v>
      </c>
      <c r="B179" s="27">
        <v>4</v>
      </c>
      <c r="C179" t="s">
        <v>105</v>
      </c>
      <c r="E179" t="s">
        <v>388</v>
      </c>
      <c r="G179" t="s">
        <v>406</v>
      </c>
      <c r="H179" t="s">
        <v>113</v>
      </c>
      <c r="L179" t="str">
        <f t="shared" ref="L179" si="41">_xlfn.TEXTJOIN("", TRUE, D179:J179)</f>
        <v>02_Slots/Titel/04_nb-jmAx_01.png</v>
      </c>
    </row>
    <row r="180" spans="1:12" x14ac:dyDescent="0.2">
      <c r="A180" t="s">
        <v>384</v>
      </c>
      <c r="B180" s="27">
        <v>4</v>
      </c>
      <c r="C180" t="s">
        <v>27</v>
      </c>
      <c r="L180" t="s">
        <v>401</v>
      </c>
    </row>
    <row r="182" spans="1:12" x14ac:dyDescent="0.2">
      <c r="A182" t="s">
        <v>384</v>
      </c>
      <c r="B182" s="27">
        <v>5</v>
      </c>
      <c r="C182" t="s">
        <v>39</v>
      </c>
      <c r="L182" t="s">
        <v>405</v>
      </c>
    </row>
    <row r="183" spans="1:12" x14ac:dyDescent="0.2">
      <c r="A183" t="s">
        <v>384</v>
      </c>
      <c r="B183" s="27">
        <v>5</v>
      </c>
      <c r="C183" t="s">
        <v>105</v>
      </c>
      <c r="E183" t="s">
        <v>388</v>
      </c>
      <c r="G183" t="s">
        <v>402</v>
      </c>
      <c r="H183" t="s">
        <v>113</v>
      </c>
      <c r="L183" t="str">
        <f t="shared" ref="L183:L185" si="42">_xlfn.TEXTJOIN("", TRUE, D183:J183)</f>
        <v>02_Slots/Titel/05_wsjr_01.png</v>
      </c>
    </row>
    <row r="184" spans="1:12" x14ac:dyDescent="0.2">
      <c r="A184" t="s">
        <v>384</v>
      </c>
      <c r="B184" s="27">
        <v>5</v>
      </c>
      <c r="C184" t="s">
        <v>105</v>
      </c>
      <c r="E184" t="s">
        <v>388</v>
      </c>
      <c r="G184" t="s">
        <v>403</v>
      </c>
      <c r="H184" t="s">
        <v>113</v>
      </c>
      <c r="L184" t="str">
        <f t="shared" si="42"/>
        <v>02_Slots/Titel/05_wsjr_02.png</v>
      </c>
    </row>
    <row r="185" spans="1:12" x14ac:dyDescent="0.2">
      <c r="A185" t="s">
        <v>384</v>
      </c>
      <c r="B185" s="27">
        <v>5</v>
      </c>
      <c r="C185" t="s">
        <v>105</v>
      </c>
      <c r="E185" t="s">
        <v>388</v>
      </c>
      <c r="G185" t="s">
        <v>404</v>
      </c>
      <c r="H185" t="s">
        <v>113</v>
      </c>
      <c r="L185" t="str">
        <f t="shared" si="42"/>
        <v>02_Slots/Titel/05_wsjr_03.png</v>
      </c>
    </row>
    <row r="186" spans="1:12" x14ac:dyDescent="0.2">
      <c r="A186" t="s">
        <v>384</v>
      </c>
      <c r="B186" s="27">
        <v>5</v>
      </c>
      <c r="C186" t="s">
        <v>27</v>
      </c>
      <c r="L186" t="s">
        <v>136</v>
      </c>
    </row>
    <row r="188" spans="1:12" x14ac:dyDescent="0.2">
      <c r="A188" t="s">
        <v>409</v>
      </c>
      <c r="B188" s="27">
        <v>1</v>
      </c>
      <c r="C188" t="s">
        <v>39</v>
      </c>
      <c r="L188" t="s">
        <v>412</v>
      </c>
    </row>
    <row r="189" spans="1:12" x14ac:dyDescent="0.2">
      <c r="A189" t="s">
        <v>409</v>
      </c>
      <c r="B189" s="27">
        <v>1</v>
      </c>
      <c r="C189" t="s">
        <v>105</v>
      </c>
      <c r="E189" t="s">
        <v>388</v>
      </c>
      <c r="F189" t="s">
        <v>410</v>
      </c>
      <c r="G189" t="s">
        <v>411</v>
      </c>
      <c r="H189" t="s">
        <v>113</v>
      </c>
      <c r="L189" t="str">
        <f t="shared" ref="L189" si="43">_xlfn.TEXTJOIN("", TRUE, D189:J189)</f>
        <v>02_Slots/Titel/f/01_nb.t-pr_01.png</v>
      </c>
    </row>
    <row r="190" spans="1:12" x14ac:dyDescent="0.2">
      <c r="A190" t="s">
        <v>409</v>
      </c>
      <c r="B190" s="27">
        <v>1</v>
      </c>
      <c r="C190" t="s">
        <v>27</v>
      </c>
      <c r="L190" t="s">
        <v>413</v>
      </c>
    </row>
    <row r="192" spans="1:12" x14ac:dyDescent="0.2">
      <c r="A192" t="s">
        <v>409</v>
      </c>
      <c r="B192" s="27">
        <v>2</v>
      </c>
      <c r="C192" t="s">
        <v>39</v>
      </c>
      <c r="L192" t="s">
        <v>415</v>
      </c>
    </row>
    <row r="193" spans="1:12" x14ac:dyDescent="0.2">
      <c r="A193" t="s">
        <v>409</v>
      </c>
      <c r="B193" s="27">
        <v>2</v>
      </c>
      <c r="C193" t="s">
        <v>105</v>
      </c>
      <c r="E193" t="s">
        <v>388</v>
      </c>
      <c r="F193" t="s">
        <v>410</v>
      </c>
      <c r="G193" t="s">
        <v>414</v>
      </c>
      <c r="H193" t="s">
        <v>113</v>
      </c>
      <c r="I193" t="s">
        <v>1198</v>
      </c>
      <c r="J193" t="s">
        <v>1199</v>
      </c>
      <c r="K193" t="s">
        <v>1200</v>
      </c>
      <c r="L193" t="str">
        <f>_xlfn.TEXTJOIN("", TRUE, D193:K193)</f>
        <v>02_Slots/Titel/f/02_Hm.t-nTr-Hw.t-Hr_AR_01.png &lt;sup&gt;(AR)&lt;/sup&gt;</v>
      </c>
    </row>
    <row r="194" spans="1:12" x14ac:dyDescent="0.2">
      <c r="A194" t="s">
        <v>409</v>
      </c>
      <c r="B194" s="27">
        <v>2</v>
      </c>
      <c r="C194" t="s">
        <v>27</v>
      </c>
      <c r="L194" t="s">
        <v>416</v>
      </c>
    </row>
    <row r="196" spans="1:12" x14ac:dyDescent="0.2">
      <c r="A196" t="s">
        <v>409</v>
      </c>
      <c r="B196" s="27">
        <v>3</v>
      </c>
      <c r="C196" t="s">
        <v>39</v>
      </c>
      <c r="L196" t="s">
        <v>418</v>
      </c>
    </row>
    <row r="197" spans="1:12" x14ac:dyDescent="0.2">
      <c r="A197" t="s">
        <v>409</v>
      </c>
      <c r="B197" s="27">
        <v>3</v>
      </c>
      <c r="C197" t="s">
        <v>105</v>
      </c>
      <c r="E197" t="s">
        <v>388</v>
      </c>
      <c r="F197" t="s">
        <v>410</v>
      </c>
      <c r="G197" t="s">
        <v>417</v>
      </c>
      <c r="H197" t="s">
        <v>113</v>
      </c>
      <c r="I197" t="s">
        <v>1198</v>
      </c>
      <c r="J197" t="s">
        <v>1205</v>
      </c>
      <c r="K197" t="s">
        <v>1200</v>
      </c>
      <c r="L197" t="str">
        <f>_xlfn.TEXTJOIN("", TRUE, D197:K197)</f>
        <v>02_Slots/Titel/f/02_Hw.t-Hr_Roem._01.png &lt;sup&gt;(röm.)&lt;/sup&gt;</v>
      </c>
    </row>
    <row r="198" spans="1:12" x14ac:dyDescent="0.2">
      <c r="A198" t="s">
        <v>409</v>
      </c>
      <c r="B198" s="27">
        <v>3</v>
      </c>
      <c r="C198" t="s">
        <v>27</v>
      </c>
      <c r="L198" t="s">
        <v>154</v>
      </c>
    </row>
    <row r="200" spans="1:12" x14ac:dyDescent="0.2">
      <c r="A200" t="s">
        <v>409</v>
      </c>
      <c r="B200" s="27">
        <v>4</v>
      </c>
      <c r="C200" t="s">
        <v>39</v>
      </c>
      <c r="L200" t="s">
        <v>420</v>
      </c>
    </row>
    <row r="201" spans="1:12" x14ac:dyDescent="0.2">
      <c r="A201" t="s">
        <v>409</v>
      </c>
      <c r="B201" s="27">
        <v>4</v>
      </c>
      <c r="C201" t="s">
        <v>105</v>
      </c>
      <c r="E201" t="s">
        <v>388</v>
      </c>
      <c r="F201" t="s">
        <v>410</v>
      </c>
      <c r="G201" t="s">
        <v>419</v>
      </c>
      <c r="H201" t="s">
        <v>113</v>
      </c>
      <c r="I201" t="s">
        <v>1198</v>
      </c>
      <c r="J201" t="s">
        <v>1213</v>
      </c>
      <c r="K201" t="s">
        <v>1200</v>
      </c>
      <c r="L201" t="str">
        <f>_xlfn.TEXTJOIN("", TRUE, D201:K201)</f>
        <v>02_Slots/Titel/f/03_Smay.t-jmn_NR-3.Zw.Zt._01.png &lt;sup&gt;(NR; 3.Zw.Zt.)&lt;/sup&gt;</v>
      </c>
    </row>
    <row r="202" spans="1:12" x14ac:dyDescent="0.2">
      <c r="A202" t="s">
        <v>409</v>
      </c>
      <c r="B202" s="27">
        <v>4</v>
      </c>
      <c r="C202" t="s">
        <v>27</v>
      </c>
      <c r="L202" t="s">
        <v>421</v>
      </c>
    </row>
    <row r="216" spans="1:12" x14ac:dyDescent="0.2">
      <c r="A216" t="s">
        <v>431</v>
      </c>
      <c r="B216" s="27">
        <v>1</v>
      </c>
      <c r="C216" t="s">
        <v>102</v>
      </c>
      <c r="E216" t="s">
        <v>432</v>
      </c>
      <c r="F216" t="s">
        <v>433</v>
      </c>
      <c r="G216" t="s">
        <v>437</v>
      </c>
      <c r="H216" t="s">
        <v>113</v>
      </c>
      <c r="L216" t="str">
        <f t="shared" ref="L216:L217" si="44">_xlfn.TEXTJOIN("", TRUE, D216:J216)</f>
        <v>02_Slots/Personennamen/Determinative/m/01_A1_01.png</v>
      </c>
    </row>
    <row r="217" spans="1:12" x14ac:dyDescent="0.2">
      <c r="A217" t="s">
        <v>431</v>
      </c>
      <c r="B217" s="27">
        <v>1</v>
      </c>
      <c r="C217" t="s">
        <v>102</v>
      </c>
      <c r="E217" t="s">
        <v>432</v>
      </c>
      <c r="F217" t="s">
        <v>433</v>
      </c>
      <c r="G217" t="s">
        <v>438</v>
      </c>
      <c r="H217" t="s">
        <v>113</v>
      </c>
      <c r="L217" t="str">
        <f t="shared" si="44"/>
        <v>02_Slots/Personennamen/Determinative/m/02_A52_01.png</v>
      </c>
    </row>
    <row r="218" spans="1:12" x14ac:dyDescent="0.2">
      <c r="A218" t="s">
        <v>431</v>
      </c>
      <c r="B218" s="27">
        <v>1</v>
      </c>
      <c r="C218" t="s">
        <v>103</v>
      </c>
      <c r="E218" t="s">
        <v>432</v>
      </c>
      <c r="F218" t="s">
        <v>410</v>
      </c>
      <c r="G218" t="s">
        <v>434</v>
      </c>
      <c r="H218" t="s">
        <v>113</v>
      </c>
      <c r="L218" t="str">
        <f t="shared" ref="L218:L220" si="45">_xlfn.TEXTJOIN("", TRUE, D218:J218)</f>
        <v>02_Slots/Personennamen/Determinative/f/01_B1_01.png</v>
      </c>
    </row>
    <row r="219" spans="1:12" x14ac:dyDescent="0.2">
      <c r="A219" t="s">
        <v>431</v>
      </c>
      <c r="B219" s="27">
        <v>1</v>
      </c>
      <c r="C219" t="s">
        <v>103</v>
      </c>
      <c r="E219" t="s">
        <v>432</v>
      </c>
      <c r="F219" t="s">
        <v>410</v>
      </c>
      <c r="G219" t="s">
        <v>435</v>
      </c>
      <c r="H219" t="s">
        <v>113</v>
      </c>
      <c r="L219" t="str">
        <f t="shared" si="45"/>
        <v>02_Slots/Personennamen/Determinative/f/02_B1G_01.png</v>
      </c>
    </row>
    <row r="220" spans="1:12" x14ac:dyDescent="0.2">
      <c r="A220" t="s">
        <v>431</v>
      </c>
      <c r="B220" s="27">
        <v>1</v>
      </c>
      <c r="C220" t="s">
        <v>103</v>
      </c>
      <c r="E220" t="s">
        <v>432</v>
      </c>
      <c r="F220" t="s">
        <v>410</v>
      </c>
      <c r="G220" t="s">
        <v>436</v>
      </c>
      <c r="H220" t="s">
        <v>113</v>
      </c>
      <c r="L220" t="str">
        <f t="shared" si="45"/>
        <v>02_Slots/Personennamen/Determinative/f/03_B8_01.png</v>
      </c>
    </row>
    <row r="222" spans="1:12" x14ac:dyDescent="0.2">
      <c r="A222" t="s">
        <v>439</v>
      </c>
      <c r="B222" s="27">
        <v>1</v>
      </c>
      <c r="C222" t="s">
        <v>39</v>
      </c>
      <c r="L222" t="s">
        <v>440</v>
      </c>
    </row>
    <row r="223" spans="1:12" x14ac:dyDescent="0.2">
      <c r="A223" t="s">
        <v>439</v>
      </c>
      <c r="B223" s="27">
        <v>1</v>
      </c>
      <c r="C223" t="s">
        <v>105</v>
      </c>
      <c r="E223" t="s">
        <v>442</v>
      </c>
      <c r="G223" t="s">
        <v>443</v>
      </c>
      <c r="H223" t="s">
        <v>113</v>
      </c>
      <c r="L223" t="str">
        <f t="shared" ref="L223:L224" si="46">_xlfn.TEXTJOIN("", TRUE, D223:J223)</f>
        <v>02_Slots/Menschenepitheta/03_mAa-xrw_01.png</v>
      </c>
    </row>
    <row r="224" spans="1:12" x14ac:dyDescent="0.2">
      <c r="A224" t="s">
        <v>439</v>
      </c>
      <c r="B224" s="27">
        <v>1</v>
      </c>
      <c r="C224" t="s">
        <v>105</v>
      </c>
      <c r="E224" t="s">
        <v>442</v>
      </c>
      <c r="G224" t="s">
        <v>444</v>
      </c>
      <c r="H224" t="s">
        <v>113</v>
      </c>
      <c r="L224" t="str">
        <f t="shared" si="46"/>
        <v>02_Slots/Menschenepitheta/03_mAa-xrw_02.png</v>
      </c>
    </row>
    <row r="225" spans="1:12" x14ac:dyDescent="0.2">
      <c r="A225" t="s">
        <v>439</v>
      </c>
      <c r="B225" s="27">
        <v>1</v>
      </c>
      <c r="C225" t="s">
        <v>105</v>
      </c>
      <c r="E225" t="s">
        <v>442</v>
      </c>
      <c r="G225" t="s">
        <v>445</v>
      </c>
      <c r="H225" t="s">
        <v>113</v>
      </c>
      <c r="L225" t="str">
        <f t="shared" ref="L225" si="47">_xlfn.TEXTJOIN("", TRUE, D225:J225)</f>
        <v>02_Slots/Menschenepitheta/03_mAa-xrw_03.png</v>
      </c>
    </row>
    <row r="226" spans="1:12" x14ac:dyDescent="0.2">
      <c r="A226" t="s">
        <v>439</v>
      </c>
      <c r="B226" s="27">
        <v>1</v>
      </c>
      <c r="C226" t="s">
        <v>105</v>
      </c>
      <c r="E226" t="s">
        <v>442</v>
      </c>
      <c r="G226" t="s">
        <v>446</v>
      </c>
      <c r="H226" t="s">
        <v>113</v>
      </c>
      <c r="I226" t="s">
        <v>1198</v>
      </c>
      <c r="J226" t="s">
        <v>1153</v>
      </c>
      <c r="K226" t="s">
        <v>1200</v>
      </c>
      <c r="L226" t="str">
        <f t="shared" ref="L226:L228" si="48">_xlfn.TEXTJOIN("", TRUE, D226:K226)</f>
        <v>02_Slots/Menschenepitheta/03_mAa-xrw_NR_01.png &lt;sup&gt;(NR)&lt;/sup&gt;</v>
      </c>
    </row>
    <row r="227" spans="1:12" x14ac:dyDescent="0.2">
      <c r="A227" t="s">
        <v>439</v>
      </c>
      <c r="B227" s="27">
        <v>1</v>
      </c>
      <c r="C227" t="s">
        <v>105</v>
      </c>
      <c r="E227" t="s">
        <v>442</v>
      </c>
      <c r="G227" t="s">
        <v>447</v>
      </c>
      <c r="H227" t="s">
        <v>113</v>
      </c>
      <c r="I227" t="s">
        <v>1198</v>
      </c>
      <c r="J227" t="s">
        <v>1190</v>
      </c>
      <c r="K227" t="s">
        <v>1200</v>
      </c>
      <c r="L227" t="str">
        <f t="shared" si="48"/>
        <v>02_Slots/Menschenepitheta/03_mAa-xrw_Spaet._01.png &lt;sup&gt;(Spät.)&lt;/sup&gt;</v>
      </c>
    </row>
    <row r="228" spans="1:12" x14ac:dyDescent="0.2">
      <c r="A228" t="s">
        <v>439</v>
      </c>
      <c r="B228" s="27">
        <v>1</v>
      </c>
      <c r="C228" t="s">
        <v>105</v>
      </c>
      <c r="E228" t="s">
        <v>442</v>
      </c>
      <c r="G228" t="s">
        <v>448</v>
      </c>
      <c r="H228" t="s">
        <v>113</v>
      </c>
      <c r="I228" t="s">
        <v>1198</v>
      </c>
      <c r="J228" t="s">
        <v>1190</v>
      </c>
      <c r="K228" t="s">
        <v>1200</v>
      </c>
      <c r="L228" t="str">
        <f t="shared" si="48"/>
        <v>02_Slots/Menschenepitheta/03_mAa-xrw_Spaet._02.png &lt;sup&gt;(Spät.)&lt;/sup&gt;</v>
      </c>
    </row>
    <row r="229" spans="1:12" x14ac:dyDescent="0.2">
      <c r="A229" t="s">
        <v>439</v>
      </c>
      <c r="B229" s="27">
        <v>1</v>
      </c>
      <c r="C229" t="s">
        <v>27</v>
      </c>
      <c r="L229" t="s">
        <v>441</v>
      </c>
    </row>
    <row r="231" spans="1:12" x14ac:dyDescent="0.2">
      <c r="A231" t="s">
        <v>484</v>
      </c>
      <c r="B231" s="27">
        <v>1</v>
      </c>
      <c r="C231" t="s">
        <v>39</v>
      </c>
      <c r="L231" t="s">
        <v>492</v>
      </c>
    </row>
    <row r="232" spans="1:12" x14ac:dyDescent="0.2">
      <c r="A232" t="s">
        <v>484</v>
      </c>
      <c r="B232" s="27">
        <v>1</v>
      </c>
      <c r="C232" t="s">
        <v>105</v>
      </c>
      <c r="E232" t="s">
        <v>489</v>
      </c>
      <c r="F232" t="s">
        <v>490</v>
      </c>
      <c r="G232" t="s">
        <v>491</v>
      </c>
      <c r="H232" t="s">
        <v>113</v>
      </c>
      <c r="L232" t="str">
        <f t="shared" ref="L232" si="49">_xlfn.TEXTJOIN("", TRUE, D232:J232)</f>
        <v>02_Slots/Datum/01_Jahr/0001_HA.t-sp_01.png</v>
      </c>
    </row>
    <row r="233" spans="1:12" x14ac:dyDescent="0.2">
      <c r="A233" t="s">
        <v>484</v>
      </c>
      <c r="B233" s="27">
        <v>1</v>
      </c>
      <c r="C233" t="s">
        <v>27</v>
      </c>
      <c r="L233" t="s">
        <v>493</v>
      </c>
    </row>
    <row r="235" spans="1:12" x14ac:dyDescent="0.2">
      <c r="A235" t="s">
        <v>486</v>
      </c>
      <c r="B235" s="27">
        <v>1</v>
      </c>
      <c r="C235" t="s">
        <v>39</v>
      </c>
      <c r="L235" t="s">
        <v>498</v>
      </c>
    </row>
    <row r="236" spans="1:12" x14ac:dyDescent="0.2">
      <c r="A236" t="s">
        <v>486</v>
      </c>
      <c r="B236" s="27">
        <v>1</v>
      </c>
      <c r="C236" t="s">
        <v>105</v>
      </c>
      <c r="E236" t="s">
        <v>489</v>
      </c>
      <c r="F236" t="s">
        <v>494</v>
      </c>
      <c r="G236" t="s">
        <v>495</v>
      </c>
      <c r="H236" t="s">
        <v>113</v>
      </c>
      <c r="L236" t="str">
        <f t="shared" ref="L236" si="50">_xlfn.TEXTJOIN("", TRUE, D236:J236)</f>
        <v>02_Slots/Datum/02_Monat/0001_Abd-1_01.png</v>
      </c>
    </row>
    <row r="237" spans="1:12" x14ac:dyDescent="0.2">
      <c r="A237" t="s">
        <v>486</v>
      </c>
      <c r="B237" s="27">
        <v>1</v>
      </c>
      <c r="C237" t="s">
        <v>27</v>
      </c>
      <c r="L237" t="s">
        <v>497</v>
      </c>
    </row>
    <row r="238" spans="1:12" x14ac:dyDescent="0.2">
      <c r="A238" t="s">
        <v>486</v>
      </c>
      <c r="B238" s="27">
        <v>2</v>
      </c>
      <c r="C238" t="s">
        <v>39</v>
      </c>
      <c r="L238" t="s">
        <v>1105</v>
      </c>
    </row>
    <row r="239" spans="1:12" x14ac:dyDescent="0.2">
      <c r="A239" t="s">
        <v>486</v>
      </c>
      <c r="B239" s="27">
        <v>2</v>
      </c>
      <c r="C239" t="s">
        <v>105</v>
      </c>
      <c r="E239" t="s">
        <v>489</v>
      </c>
      <c r="F239" t="s">
        <v>494</v>
      </c>
      <c r="G239" t="s">
        <v>496</v>
      </c>
      <c r="H239" t="s">
        <v>113</v>
      </c>
      <c r="L239" t="str">
        <f t="shared" ref="L239" si="51">_xlfn.TEXTJOIN("", TRUE, D239:J239)</f>
        <v>02_Slots/Datum/02_Monat/0010_tpy_01.png</v>
      </c>
    </row>
    <row r="240" spans="1:12" x14ac:dyDescent="0.2">
      <c r="A240" t="s">
        <v>486</v>
      </c>
      <c r="B240" s="27">
        <v>2</v>
      </c>
      <c r="C240" t="s">
        <v>27</v>
      </c>
      <c r="L240" t="s">
        <v>497</v>
      </c>
    </row>
    <row r="241" spans="1:12" x14ac:dyDescent="0.2">
      <c r="A241" t="s">
        <v>486</v>
      </c>
      <c r="B241" s="27">
        <v>3</v>
      </c>
      <c r="C241" t="s">
        <v>39</v>
      </c>
      <c r="L241" t="s">
        <v>1107</v>
      </c>
    </row>
    <row r="242" spans="1:12" x14ac:dyDescent="0.2">
      <c r="A242" t="s">
        <v>486</v>
      </c>
      <c r="B242" s="27">
        <v>3</v>
      </c>
      <c r="C242" t="s">
        <v>105</v>
      </c>
      <c r="E242" t="s">
        <v>489</v>
      </c>
      <c r="F242" t="s">
        <v>494</v>
      </c>
      <c r="G242" t="s">
        <v>1109</v>
      </c>
      <c r="H242" t="s">
        <v>113</v>
      </c>
      <c r="L242" t="str">
        <f t="shared" ref="L242:L243" si="52">_xlfn.TEXTJOIN("", TRUE, D242:J242)</f>
        <v>02_Slots/Datum/02_Monat/0020_Abd-2_01.png</v>
      </c>
    </row>
    <row r="243" spans="1:12" x14ac:dyDescent="0.2">
      <c r="A243" t="s">
        <v>486</v>
      </c>
      <c r="B243" s="27">
        <v>3</v>
      </c>
      <c r="C243" t="s">
        <v>105</v>
      </c>
      <c r="E243" t="s">
        <v>489</v>
      </c>
      <c r="F243" t="s">
        <v>494</v>
      </c>
      <c r="G243" t="s">
        <v>1110</v>
      </c>
      <c r="H243" t="s">
        <v>113</v>
      </c>
      <c r="L243" t="str">
        <f t="shared" si="52"/>
        <v>02_Slots/Datum/02_Monat/0030_Abd-2_02.png</v>
      </c>
    </row>
    <row r="244" spans="1:12" x14ac:dyDescent="0.2">
      <c r="A244" t="s">
        <v>486</v>
      </c>
      <c r="B244" s="27">
        <v>3</v>
      </c>
      <c r="C244" t="s">
        <v>105</v>
      </c>
      <c r="E244" t="s">
        <v>489</v>
      </c>
      <c r="F244" t="s">
        <v>494</v>
      </c>
      <c r="G244" t="s">
        <v>1120</v>
      </c>
      <c r="H244" t="s">
        <v>113</v>
      </c>
      <c r="L244" t="str">
        <f t="shared" ref="L244" si="53">_xlfn.TEXTJOIN("", TRUE, D244:J244)</f>
        <v>02_Slots/Datum/02_Monat/0035_Abd-2_03.png</v>
      </c>
    </row>
    <row r="245" spans="1:12" x14ac:dyDescent="0.2">
      <c r="A245" t="s">
        <v>486</v>
      </c>
      <c r="B245" s="27">
        <v>3</v>
      </c>
      <c r="C245" t="s">
        <v>27</v>
      </c>
      <c r="L245" t="s">
        <v>1118</v>
      </c>
    </row>
    <row r="246" spans="1:12" x14ac:dyDescent="0.2">
      <c r="A246" t="s">
        <v>486</v>
      </c>
      <c r="B246" s="27">
        <v>4</v>
      </c>
      <c r="C246" t="s">
        <v>39</v>
      </c>
      <c r="L246" t="s">
        <v>1108</v>
      </c>
    </row>
    <row r="247" spans="1:12" x14ac:dyDescent="0.2">
      <c r="A247" t="s">
        <v>486</v>
      </c>
      <c r="B247" s="27">
        <v>4</v>
      </c>
      <c r="C247" t="s">
        <v>105</v>
      </c>
      <c r="E247" t="s">
        <v>489</v>
      </c>
      <c r="F247" t="s">
        <v>494</v>
      </c>
      <c r="G247" t="s">
        <v>1111</v>
      </c>
      <c r="H247" t="s">
        <v>113</v>
      </c>
      <c r="L247" t="str">
        <f t="shared" ref="L247" si="54">_xlfn.TEXTJOIN("", TRUE, D247:J247)</f>
        <v>02_Slots/Datum/02_Monat/0040_Abd-3_01.png</v>
      </c>
    </row>
    <row r="248" spans="1:12" x14ac:dyDescent="0.2">
      <c r="A248" t="s">
        <v>486</v>
      </c>
      <c r="B248" s="27">
        <v>4</v>
      </c>
      <c r="C248" t="s">
        <v>105</v>
      </c>
      <c r="E248" t="s">
        <v>489</v>
      </c>
      <c r="F248" t="s">
        <v>494</v>
      </c>
      <c r="G248" t="s">
        <v>1112</v>
      </c>
      <c r="H248" t="s">
        <v>113</v>
      </c>
      <c r="L248" t="str">
        <f t="shared" ref="L248" si="55">_xlfn.TEXTJOIN("", TRUE, D248:J248)</f>
        <v>02_Slots/Datum/02_Monat/0050_Abd-3_02.png</v>
      </c>
    </row>
    <row r="249" spans="1:12" x14ac:dyDescent="0.2">
      <c r="A249" t="s">
        <v>486</v>
      </c>
      <c r="B249" s="27">
        <v>4</v>
      </c>
      <c r="C249" t="s">
        <v>27</v>
      </c>
      <c r="L249" t="s">
        <v>1119</v>
      </c>
    </row>
    <row r="250" spans="1:12" x14ac:dyDescent="0.2">
      <c r="A250" t="s">
        <v>486</v>
      </c>
      <c r="B250" s="27">
        <v>5</v>
      </c>
      <c r="C250" t="s">
        <v>39</v>
      </c>
      <c r="L250" t="s">
        <v>500</v>
      </c>
    </row>
    <row r="251" spans="1:12" x14ac:dyDescent="0.2">
      <c r="A251" t="s">
        <v>486</v>
      </c>
      <c r="B251" s="27">
        <v>5</v>
      </c>
      <c r="C251" t="s">
        <v>105</v>
      </c>
      <c r="E251" t="s">
        <v>489</v>
      </c>
      <c r="F251" t="s">
        <v>494</v>
      </c>
      <c r="G251" t="s">
        <v>1113</v>
      </c>
      <c r="H251" t="s">
        <v>113</v>
      </c>
      <c r="L251" t="str">
        <f t="shared" ref="L251" si="56">_xlfn.TEXTJOIN("", TRUE, D251:J251)</f>
        <v>02_Slots/Datum/02_Monat/0060_Abd-4_01.png</v>
      </c>
    </row>
    <row r="252" spans="1:12" x14ac:dyDescent="0.2">
      <c r="A252" t="s">
        <v>486</v>
      </c>
      <c r="B252" s="27">
        <v>5</v>
      </c>
      <c r="C252" t="s">
        <v>105</v>
      </c>
      <c r="E252" t="s">
        <v>489</v>
      </c>
      <c r="F252" t="s">
        <v>494</v>
      </c>
      <c r="G252" t="s">
        <v>1117</v>
      </c>
      <c r="H252" t="s">
        <v>113</v>
      </c>
      <c r="L252" t="str">
        <f t="shared" ref="L252" si="57">_xlfn.TEXTJOIN("", TRUE, D252:J252)</f>
        <v>02_Slots/Datum/02_Monat/0070_Abd-4_02.png</v>
      </c>
    </row>
    <row r="253" spans="1:12" x14ac:dyDescent="0.2">
      <c r="A253" t="s">
        <v>486</v>
      </c>
      <c r="B253" s="27">
        <v>5</v>
      </c>
      <c r="C253" t="s">
        <v>27</v>
      </c>
      <c r="L253" t="s">
        <v>499</v>
      </c>
    </row>
    <row r="255" spans="1:12" x14ac:dyDescent="0.2">
      <c r="A255" t="s">
        <v>487</v>
      </c>
      <c r="B255" s="27">
        <v>1</v>
      </c>
      <c r="C255" t="s">
        <v>39</v>
      </c>
      <c r="L255" t="s">
        <v>501</v>
      </c>
    </row>
    <row r="256" spans="1:12" x14ac:dyDescent="0.2">
      <c r="A256" t="s">
        <v>487</v>
      </c>
      <c r="B256" s="27">
        <v>1</v>
      </c>
      <c r="C256" t="s">
        <v>105</v>
      </c>
      <c r="E256" t="s">
        <v>489</v>
      </c>
      <c r="F256" t="s">
        <v>503</v>
      </c>
      <c r="G256" t="s">
        <v>504</v>
      </c>
      <c r="H256" t="s">
        <v>113</v>
      </c>
      <c r="L256" t="str">
        <f t="shared" ref="L256" si="58">_xlfn.TEXTJOIN("", TRUE, D256:J256)</f>
        <v>02_Slots/Datum/03_Jahreszeiten/0001_Ax.t_01.png</v>
      </c>
    </row>
    <row r="257" spans="1:12" x14ac:dyDescent="0.2">
      <c r="A257" t="s">
        <v>487</v>
      </c>
      <c r="B257" s="27">
        <v>1</v>
      </c>
      <c r="C257" t="s">
        <v>27</v>
      </c>
      <c r="L257" t="s">
        <v>502</v>
      </c>
    </row>
    <row r="258" spans="1:12" x14ac:dyDescent="0.2">
      <c r="A258" t="s">
        <v>487</v>
      </c>
      <c r="B258" s="27">
        <v>2</v>
      </c>
      <c r="C258" t="s">
        <v>39</v>
      </c>
      <c r="L258" t="s">
        <v>507</v>
      </c>
    </row>
    <row r="259" spans="1:12" x14ac:dyDescent="0.2">
      <c r="A259" t="s">
        <v>487</v>
      </c>
      <c r="B259" s="27">
        <v>2</v>
      </c>
      <c r="C259" t="s">
        <v>105</v>
      </c>
      <c r="E259" t="s">
        <v>489</v>
      </c>
      <c r="F259" t="s">
        <v>503</v>
      </c>
      <c r="G259" t="s">
        <v>505</v>
      </c>
      <c r="H259" t="s">
        <v>113</v>
      </c>
      <c r="L259" t="str">
        <f t="shared" ref="L259" si="59">_xlfn.TEXTJOIN("", TRUE, D259:J259)</f>
        <v>02_Slots/Datum/03_Jahreszeiten/0010_pr.t_01.png</v>
      </c>
    </row>
    <row r="260" spans="1:12" x14ac:dyDescent="0.2">
      <c r="A260" t="s">
        <v>487</v>
      </c>
      <c r="B260" s="27">
        <v>2</v>
      </c>
      <c r="C260" t="s">
        <v>27</v>
      </c>
      <c r="L260" t="s">
        <v>508</v>
      </c>
    </row>
    <row r="261" spans="1:12" x14ac:dyDescent="0.2">
      <c r="A261" t="s">
        <v>487</v>
      </c>
      <c r="B261" s="27">
        <v>3</v>
      </c>
      <c r="C261" t="s">
        <v>39</v>
      </c>
      <c r="L261" t="s">
        <v>510</v>
      </c>
    </row>
    <row r="262" spans="1:12" x14ac:dyDescent="0.2">
      <c r="A262" t="s">
        <v>487</v>
      </c>
      <c r="B262" s="27">
        <v>3</v>
      </c>
      <c r="C262" t="s">
        <v>105</v>
      </c>
      <c r="E262" t="s">
        <v>489</v>
      </c>
      <c r="F262" t="s">
        <v>503</v>
      </c>
      <c r="G262" t="s">
        <v>506</v>
      </c>
      <c r="H262" t="s">
        <v>113</v>
      </c>
      <c r="L262" t="str">
        <f t="shared" ref="L262" si="60">_xlfn.TEXTJOIN("", TRUE, D262:J262)</f>
        <v>02_Slots/Datum/03_Jahreszeiten/0020_Smw_01.png</v>
      </c>
    </row>
    <row r="263" spans="1:12" x14ac:dyDescent="0.2">
      <c r="A263" t="s">
        <v>487</v>
      </c>
      <c r="B263" s="27">
        <v>3</v>
      </c>
      <c r="C263" t="s">
        <v>27</v>
      </c>
      <c r="L263" t="s">
        <v>509</v>
      </c>
    </row>
    <row r="265" spans="1:12" x14ac:dyDescent="0.2">
      <c r="A265" t="s">
        <v>488</v>
      </c>
      <c r="B265" s="27">
        <v>1</v>
      </c>
      <c r="C265" t="s">
        <v>39</v>
      </c>
      <c r="L265" t="s">
        <v>511</v>
      </c>
    </row>
    <row r="266" spans="1:12" x14ac:dyDescent="0.2">
      <c r="A266" t="s">
        <v>488</v>
      </c>
      <c r="B266" s="27">
        <v>1</v>
      </c>
      <c r="C266" t="s">
        <v>105</v>
      </c>
      <c r="E266" t="s">
        <v>489</v>
      </c>
      <c r="F266" t="s">
        <v>1088</v>
      </c>
      <c r="G266" t="s">
        <v>1087</v>
      </c>
      <c r="H266" t="s">
        <v>113</v>
      </c>
      <c r="L266" t="str">
        <f t="shared" ref="L266" si="61">_xlfn.TEXTJOIN("", TRUE, D266:J266)</f>
        <v>02_Slots/Datum/04_Tag/0001_sw_01.png</v>
      </c>
    </row>
    <row r="267" spans="1:12" x14ac:dyDescent="0.2">
      <c r="A267" t="s">
        <v>488</v>
      </c>
      <c r="B267" s="27">
        <v>1</v>
      </c>
      <c r="C267" t="s">
        <v>27</v>
      </c>
      <c r="L267" t="s">
        <v>485</v>
      </c>
    </row>
    <row r="268" spans="1:12" x14ac:dyDescent="0.2">
      <c r="A268" t="s">
        <v>488</v>
      </c>
      <c r="B268" s="27">
        <v>2</v>
      </c>
      <c r="C268" t="s">
        <v>39</v>
      </c>
      <c r="L268" t="s">
        <v>1116</v>
      </c>
    </row>
    <row r="269" spans="1:12" x14ac:dyDescent="0.2">
      <c r="A269" t="s">
        <v>488</v>
      </c>
      <c r="B269" s="27">
        <v>2</v>
      </c>
      <c r="C269" t="s">
        <v>105</v>
      </c>
      <c r="E269" t="s">
        <v>489</v>
      </c>
      <c r="F269" t="s">
        <v>1088</v>
      </c>
      <c r="G269" t="s">
        <v>1114</v>
      </c>
      <c r="H269" t="s">
        <v>113</v>
      </c>
      <c r="L269" t="str">
        <f t="shared" ref="L269:L270" si="62">_xlfn.TEXTJOIN("", TRUE, D269:J269)</f>
        <v>02_Slots/Datum/04_Tag/0010_sw-arqy_01.png</v>
      </c>
    </row>
    <row r="270" spans="1:12" x14ac:dyDescent="0.2">
      <c r="A270" t="s">
        <v>488</v>
      </c>
      <c r="B270" s="27">
        <v>2</v>
      </c>
      <c r="C270" t="s">
        <v>105</v>
      </c>
      <c r="E270" t="s">
        <v>489</v>
      </c>
      <c r="F270" t="s">
        <v>1088</v>
      </c>
      <c r="G270" t="s">
        <v>1115</v>
      </c>
      <c r="H270" t="s">
        <v>113</v>
      </c>
      <c r="L270" t="str">
        <f t="shared" si="62"/>
        <v>02_Slots/Datum/04_Tag/0020_sw-arqy_02.png</v>
      </c>
    </row>
    <row r="271" spans="1:12" x14ac:dyDescent="0.2">
      <c r="A271" t="s">
        <v>488</v>
      </c>
      <c r="B271" s="27">
        <v>2</v>
      </c>
      <c r="C271" t="s">
        <v>27</v>
      </c>
      <c r="L271" t="s">
        <v>1136</v>
      </c>
    </row>
    <row r="273" spans="1:12" x14ac:dyDescent="0.2">
      <c r="A273" t="s">
        <v>512</v>
      </c>
      <c r="B273" s="27">
        <v>1</v>
      </c>
      <c r="C273" t="s">
        <v>513</v>
      </c>
      <c r="L273" t="s">
        <v>515</v>
      </c>
    </row>
    <row r="274" spans="1:12" x14ac:dyDescent="0.2">
      <c r="A274" t="s">
        <v>512</v>
      </c>
      <c r="B274" s="27">
        <v>1</v>
      </c>
      <c r="C274" t="s">
        <v>105</v>
      </c>
      <c r="E274" t="s">
        <v>474</v>
      </c>
      <c r="G274" t="s">
        <v>514</v>
      </c>
      <c r="H274" t="s">
        <v>113</v>
      </c>
      <c r="L274" t="str">
        <f t="shared" ref="L274" si="63">_xlfn.TEXTJOIN("", TRUE, D274:J274)</f>
        <v>02_Slots/Koenig/01_Horusname_01.png</v>
      </c>
    </row>
    <row r="275" spans="1:12" x14ac:dyDescent="0.2">
      <c r="A275" t="s">
        <v>512</v>
      </c>
      <c r="B275" s="27">
        <v>1</v>
      </c>
      <c r="C275" t="s">
        <v>39</v>
      </c>
      <c r="L275" t="s">
        <v>516</v>
      </c>
    </row>
    <row r="276" spans="1:12" x14ac:dyDescent="0.2">
      <c r="A276" t="s">
        <v>512</v>
      </c>
      <c r="B276" s="27">
        <v>1</v>
      </c>
      <c r="C276" t="s">
        <v>40</v>
      </c>
      <c r="L276" t="s">
        <v>517</v>
      </c>
    </row>
    <row r="277" spans="1:12" x14ac:dyDescent="0.2">
      <c r="A277" t="s">
        <v>512</v>
      </c>
      <c r="B277" s="27">
        <v>1</v>
      </c>
      <c r="C277" t="s">
        <v>41</v>
      </c>
    </row>
    <row r="278" spans="1:12" x14ac:dyDescent="0.2">
      <c r="A278" t="s">
        <v>512</v>
      </c>
      <c r="B278" s="27">
        <v>2</v>
      </c>
      <c r="C278" t="s">
        <v>513</v>
      </c>
      <c r="L278" t="s">
        <v>522</v>
      </c>
    </row>
    <row r="279" spans="1:12" x14ac:dyDescent="0.2">
      <c r="A279" t="s">
        <v>512</v>
      </c>
      <c r="B279" s="27">
        <v>2</v>
      </c>
      <c r="C279" t="s">
        <v>105</v>
      </c>
      <c r="E279" t="s">
        <v>474</v>
      </c>
      <c r="G279" t="s">
        <v>518</v>
      </c>
      <c r="H279" t="s">
        <v>113</v>
      </c>
      <c r="L279" t="str">
        <f t="shared" ref="L279" si="64">_xlfn.TEXTJOIN("", TRUE, D279:J279)</f>
        <v>02_Slots/Koenig/02_Herrinname_01.png</v>
      </c>
    </row>
    <row r="280" spans="1:12" x14ac:dyDescent="0.2">
      <c r="A280" t="s">
        <v>512</v>
      </c>
      <c r="B280" s="27">
        <v>2</v>
      </c>
      <c r="C280" t="s">
        <v>39</v>
      </c>
      <c r="L280" t="s">
        <v>526</v>
      </c>
    </row>
    <row r="281" spans="1:12" x14ac:dyDescent="0.2">
      <c r="A281" t="s">
        <v>512</v>
      </c>
      <c r="B281" s="27">
        <v>2</v>
      </c>
      <c r="C281" t="s">
        <v>40</v>
      </c>
      <c r="L281" t="s">
        <v>530</v>
      </c>
    </row>
    <row r="282" spans="1:12" x14ac:dyDescent="0.2">
      <c r="A282" t="s">
        <v>512</v>
      </c>
      <c r="B282" s="27">
        <v>2</v>
      </c>
      <c r="C282" t="s">
        <v>41</v>
      </c>
    </row>
    <row r="283" spans="1:12" x14ac:dyDescent="0.2">
      <c r="A283" t="s">
        <v>512</v>
      </c>
      <c r="B283" s="27">
        <v>3</v>
      </c>
      <c r="C283" t="s">
        <v>513</v>
      </c>
      <c r="L283" t="s">
        <v>523</v>
      </c>
    </row>
    <row r="284" spans="1:12" x14ac:dyDescent="0.2">
      <c r="A284" t="s">
        <v>512</v>
      </c>
      <c r="B284" s="27">
        <v>3</v>
      </c>
      <c r="C284" t="s">
        <v>105</v>
      </c>
      <c r="E284" t="s">
        <v>474</v>
      </c>
      <c r="G284" t="s">
        <v>519</v>
      </c>
      <c r="H284" t="s">
        <v>113</v>
      </c>
      <c r="L284" t="str">
        <f t="shared" ref="L284" si="65">_xlfn.TEXTJOIN("", TRUE, D284:J284)</f>
        <v>02_Slots/Koenig/03_Goldhorus_01.png</v>
      </c>
    </row>
    <row r="285" spans="1:12" x14ac:dyDescent="0.2">
      <c r="A285" t="s">
        <v>512</v>
      </c>
      <c r="B285" s="27">
        <v>3</v>
      </c>
      <c r="C285" t="s">
        <v>39</v>
      </c>
      <c r="L285" t="s">
        <v>527</v>
      </c>
    </row>
    <row r="286" spans="1:12" x14ac:dyDescent="0.2">
      <c r="A286" t="s">
        <v>512</v>
      </c>
      <c r="B286" s="27">
        <v>3</v>
      </c>
      <c r="C286" t="s">
        <v>40</v>
      </c>
      <c r="L286" t="s">
        <v>531</v>
      </c>
    </row>
    <row r="287" spans="1:12" x14ac:dyDescent="0.2">
      <c r="A287" t="s">
        <v>512</v>
      </c>
      <c r="B287" s="27">
        <v>3</v>
      </c>
      <c r="C287" t="s">
        <v>41</v>
      </c>
      <c r="L287" t="s">
        <v>532</v>
      </c>
    </row>
    <row r="288" spans="1:12" x14ac:dyDescent="0.2">
      <c r="A288" t="s">
        <v>512</v>
      </c>
      <c r="B288" s="27">
        <v>4</v>
      </c>
      <c r="C288" t="s">
        <v>513</v>
      </c>
      <c r="L288" t="s">
        <v>524</v>
      </c>
    </row>
    <row r="289" spans="1:12" x14ac:dyDescent="0.2">
      <c r="A289" t="s">
        <v>512</v>
      </c>
      <c r="B289" s="27">
        <v>4</v>
      </c>
      <c r="C289" t="s">
        <v>105</v>
      </c>
      <c r="E289" t="s">
        <v>474</v>
      </c>
      <c r="G289" t="s">
        <v>475</v>
      </c>
      <c r="H289" t="s">
        <v>113</v>
      </c>
      <c r="L289" t="str">
        <f t="shared" ref="L289" si="66">_xlfn.TEXTJOIN("", TRUE, D289:J289)</f>
        <v>02_Slots/Koenig/04_Thronname_01.png</v>
      </c>
    </row>
    <row r="290" spans="1:12" x14ac:dyDescent="0.2">
      <c r="A290" t="s">
        <v>512</v>
      </c>
      <c r="B290" s="27">
        <v>4</v>
      </c>
      <c r="C290" t="s">
        <v>105</v>
      </c>
      <c r="E290" t="s">
        <v>474</v>
      </c>
      <c r="G290" t="s">
        <v>479</v>
      </c>
      <c r="H290" t="s">
        <v>113</v>
      </c>
      <c r="I290" t="s">
        <v>1198</v>
      </c>
      <c r="J290" t="s">
        <v>1201</v>
      </c>
      <c r="K290" t="s">
        <v>1200</v>
      </c>
      <c r="L290" t="str">
        <f>_xlfn.TEXTJOIN("", TRUE, D290:K290)</f>
        <v>02_Slots/Koenig/04_Thronname_Gr._02.png &lt;sup&gt;(Gr.)&lt;/sup&gt;</v>
      </c>
    </row>
    <row r="291" spans="1:12" x14ac:dyDescent="0.2">
      <c r="A291" t="s">
        <v>512</v>
      </c>
      <c r="B291" s="27">
        <v>4</v>
      </c>
      <c r="C291" t="s">
        <v>39</v>
      </c>
      <c r="L291" t="s">
        <v>528</v>
      </c>
    </row>
    <row r="292" spans="1:12" x14ac:dyDescent="0.2">
      <c r="A292" t="s">
        <v>512</v>
      </c>
      <c r="B292" s="27">
        <v>4</v>
      </c>
      <c r="C292" t="s">
        <v>40</v>
      </c>
      <c r="L292" t="s">
        <v>533</v>
      </c>
    </row>
    <row r="293" spans="1:12" x14ac:dyDescent="0.2">
      <c r="A293" t="s">
        <v>512</v>
      </c>
      <c r="B293" s="27">
        <v>4</v>
      </c>
      <c r="C293" t="s">
        <v>41</v>
      </c>
    </row>
    <row r="294" spans="1:12" x14ac:dyDescent="0.2">
      <c r="A294" t="s">
        <v>512</v>
      </c>
      <c r="B294" s="27">
        <v>5</v>
      </c>
      <c r="C294" t="s">
        <v>513</v>
      </c>
      <c r="L294" t="s">
        <v>525</v>
      </c>
    </row>
    <row r="295" spans="1:12" x14ac:dyDescent="0.2">
      <c r="A295" t="s">
        <v>512</v>
      </c>
      <c r="B295" s="27">
        <v>5</v>
      </c>
      <c r="C295" t="s">
        <v>105</v>
      </c>
      <c r="E295" t="s">
        <v>474</v>
      </c>
      <c r="G295" t="s">
        <v>520</v>
      </c>
      <c r="H295" t="s">
        <v>113</v>
      </c>
      <c r="L295" t="str">
        <f t="shared" ref="L295" si="67">_xlfn.TEXTJOIN("", TRUE, D295:J295)</f>
        <v>02_Slots/Koenig/05_Eigenname_01.png</v>
      </c>
    </row>
    <row r="296" spans="1:12" x14ac:dyDescent="0.2">
      <c r="A296" t="s">
        <v>512</v>
      </c>
      <c r="B296" s="27">
        <v>5</v>
      </c>
      <c r="C296" t="s">
        <v>105</v>
      </c>
      <c r="E296" t="s">
        <v>474</v>
      </c>
      <c r="G296" t="s">
        <v>521</v>
      </c>
      <c r="H296" t="s">
        <v>113</v>
      </c>
      <c r="L296" t="str">
        <f t="shared" ref="L296" si="68">_xlfn.TEXTJOIN("", TRUE, D296:J296)</f>
        <v>02_Slots/Koenig/05_Eigenname_02.png</v>
      </c>
    </row>
    <row r="297" spans="1:12" x14ac:dyDescent="0.2">
      <c r="A297" t="s">
        <v>512</v>
      </c>
      <c r="B297" s="27">
        <v>5</v>
      </c>
      <c r="C297" t="s">
        <v>39</v>
      </c>
      <c r="L297" t="s">
        <v>529</v>
      </c>
    </row>
    <row r="298" spans="1:12" x14ac:dyDescent="0.2">
      <c r="A298" t="s">
        <v>512</v>
      </c>
      <c r="B298" s="27">
        <v>5</v>
      </c>
      <c r="C298" t="s">
        <v>40</v>
      </c>
      <c r="L298" t="s">
        <v>534</v>
      </c>
    </row>
    <row r="299" spans="1:12" x14ac:dyDescent="0.2">
      <c r="A299" t="s">
        <v>512</v>
      </c>
      <c r="B299" s="27">
        <v>5</v>
      </c>
      <c r="C299" t="s">
        <v>41</v>
      </c>
    </row>
    <row r="301" spans="1:12" x14ac:dyDescent="0.2">
      <c r="A301" t="s">
        <v>536</v>
      </c>
      <c r="B301" s="27">
        <v>1</v>
      </c>
      <c r="C301" t="s">
        <v>39</v>
      </c>
      <c r="L301" t="s">
        <v>541</v>
      </c>
    </row>
    <row r="302" spans="1:12" x14ac:dyDescent="0.2">
      <c r="A302" t="s">
        <v>536</v>
      </c>
      <c r="B302" s="27">
        <v>1</v>
      </c>
      <c r="C302" t="s">
        <v>105</v>
      </c>
      <c r="E302" t="s">
        <v>474</v>
      </c>
      <c r="F302" t="s">
        <v>537</v>
      </c>
      <c r="G302" t="s">
        <v>538</v>
      </c>
      <c r="H302" t="s">
        <v>113</v>
      </c>
      <c r="L302" t="str">
        <f t="shared" ref="L302:L304" si="69">_xlfn.TEXTJOIN("", TRUE, D302:J302)</f>
        <v>02_Slots/Koenig/Bezeichnungen/01_nsw_01.png</v>
      </c>
    </row>
    <row r="303" spans="1:12" x14ac:dyDescent="0.2">
      <c r="A303" t="s">
        <v>536</v>
      </c>
      <c r="B303" s="27">
        <v>1</v>
      </c>
      <c r="C303" t="s">
        <v>105</v>
      </c>
      <c r="E303" t="s">
        <v>474</v>
      </c>
      <c r="F303" t="s">
        <v>537</v>
      </c>
      <c r="G303" t="s">
        <v>539</v>
      </c>
      <c r="H303" t="s">
        <v>113</v>
      </c>
      <c r="L303" t="str">
        <f t="shared" si="69"/>
        <v>02_Slots/Koenig/Bezeichnungen/01_nsw_02.png</v>
      </c>
    </row>
    <row r="304" spans="1:12" x14ac:dyDescent="0.2">
      <c r="A304" t="s">
        <v>536</v>
      </c>
      <c r="B304" s="27">
        <v>1</v>
      </c>
      <c r="C304" t="s">
        <v>105</v>
      </c>
      <c r="E304" t="s">
        <v>474</v>
      </c>
      <c r="F304" t="s">
        <v>537</v>
      </c>
      <c r="G304" t="s">
        <v>540</v>
      </c>
      <c r="H304" t="s">
        <v>113</v>
      </c>
      <c r="L304" t="str">
        <f t="shared" si="69"/>
        <v>02_Slots/Koenig/Bezeichnungen/01_nsw_03.png</v>
      </c>
    </row>
    <row r="305" spans="1:12" x14ac:dyDescent="0.2">
      <c r="A305" t="s">
        <v>536</v>
      </c>
      <c r="B305" s="27">
        <v>1</v>
      </c>
      <c r="C305" t="s">
        <v>27</v>
      </c>
      <c r="L305" t="s">
        <v>326</v>
      </c>
    </row>
    <row r="306" spans="1:12" x14ac:dyDescent="0.2">
      <c r="A306" t="s">
        <v>536</v>
      </c>
      <c r="B306" s="27">
        <v>2</v>
      </c>
      <c r="C306" t="s">
        <v>39</v>
      </c>
      <c r="L306" t="s">
        <v>545</v>
      </c>
    </row>
    <row r="307" spans="1:12" x14ac:dyDescent="0.2">
      <c r="A307" t="s">
        <v>536</v>
      </c>
      <c r="B307" s="27">
        <v>2</v>
      </c>
      <c r="C307" t="s">
        <v>105</v>
      </c>
      <c r="E307" t="s">
        <v>474</v>
      </c>
      <c r="F307" t="s">
        <v>537</v>
      </c>
      <c r="G307" t="s">
        <v>542</v>
      </c>
      <c r="H307" t="s">
        <v>113</v>
      </c>
      <c r="L307" t="str">
        <f t="shared" ref="L307:L309" si="70">_xlfn.TEXTJOIN("", TRUE, D307:J307)</f>
        <v>02_Slots/Koenig/Bezeichnungen/02_Hm_01.png</v>
      </c>
    </row>
    <row r="308" spans="1:12" x14ac:dyDescent="0.2">
      <c r="A308" t="s">
        <v>536</v>
      </c>
      <c r="B308" s="27">
        <v>2</v>
      </c>
      <c r="C308" t="s">
        <v>105</v>
      </c>
      <c r="E308" t="s">
        <v>474</v>
      </c>
      <c r="F308" t="s">
        <v>537</v>
      </c>
      <c r="G308" t="s">
        <v>543</v>
      </c>
      <c r="H308" t="s">
        <v>113</v>
      </c>
      <c r="L308" t="str">
        <f t="shared" si="70"/>
        <v>02_Slots/Koenig/Bezeichnungen/02_Hm_02.png</v>
      </c>
    </row>
    <row r="309" spans="1:12" x14ac:dyDescent="0.2">
      <c r="A309" t="s">
        <v>536</v>
      </c>
      <c r="B309" s="27">
        <v>2</v>
      </c>
      <c r="C309" t="s">
        <v>105</v>
      </c>
      <c r="E309" t="s">
        <v>474</v>
      </c>
      <c r="F309" t="s">
        <v>537</v>
      </c>
      <c r="G309" t="s">
        <v>544</v>
      </c>
      <c r="H309" t="s">
        <v>113</v>
      </c>
      <c r="L309" t="str">
        <f t="shared" si="70"/>
        <v>02_Slots/Koenig/Bezeichnungen/02_Hm_03.png</v>
      </c>
    </row>
    <row r="310" spans="1:12" x14ac:dyDescent="0.2">
      <c r="A310" t="s">
        <v>536</v>
      </c>
      <c r="B310" s="27">
        <v>2</v>
      </c>
      <c r="C310" t="s">
        <v>27</v>
      </c>
      <c r="L310" t="s">
        <v>546</v>
      </c>
    </row>
    <row r="311" spans="1:12" x14ac:dyDescent="0.2">
      <c r="A311" t="s">
        <v>536</v>
      </c>
      <c r="B311" s="27">
        <v>3</v>
      </c>
      <c r="C311" t="s">
        <v>39</v>
      </c>
      <c r="L311" t="s">
        <v>1104</v>
      </c>
    </row>
    <row r="312" spans="1:12" x14ac:dyDescent="0.2">
      <c r="A312" t="s">
        <v>536</v>
      </c>
      <c r="B312" s="27">
        <v>3</v>
      </c>
      <c r="C312" t="s">
        <v>105</v>
      </c>
      <c r="E312" t="s">
        <v>474</v>
      </c>
      <c r="F312" t="s">
        <v>537</v>
      </c>
      <c r="G312" t="s">
        <v>1186</v>
      </c>
      <c r="H312" t="s">
        <v>113</v>
      </c>
      <c r="L312" t="str">
        <f t="shared" ref="L312" si="71">_xlfn.TEXTJOIN("", TRUE, D312:J312)</f>
        <v>02_Slots/Koenig/Bezeichnungen/02.5_Hm=f_01.png</v>
      </c>
    </row>
    <row r="313" spans="1:12" x14ac:dyDescent="0.2">
      <c r="A313" t="s">
        <v>536</v>
      </c>
      <c r="B313" s="27">
        <v>3</v>
      </c>
      <c r="C313" t="s">
        <v>27</v>
      </c>
      <c r="L313" t="s">
        <v>1185</v>
      </c>
    </row>
    <row r="314" spans="1:12" x14ac:dyDescent="0.2">
      <c r="A314" t="s">
        <v>536</v>
      </c>
      <c r="B314" s="27">
        <v>4</v>
      </c>
      <c r="C314" t="s">
        <v>39</v>
      </c>
      <c r="L314" t="s">
        <v>547</v>
      </c>
    </row>
    <row r="315" spans="1:12" x14ac:dyDescent="0.2">
      <c r="A315" t="s">
        <v>536</v>
      </c>
      <c r="B315" s="27">
        <v>4</v>
      </c>
      <c r="C315" t="s">
        <v>105</v>
      </c>
      <c r="E315" t="s">
        <v>474</v>
      </c>
      <c r="F315" t="s">
        <v>537</v>
      </c>
      <c r="G315" t="s">
        <v>549</v>
      </c>
      <c r="H315" t="s">
        <v>113</v>
      </c>
      <c r="L315" t="str">
        <f t="shared" ref="L315" si="72">_xlfn.TEXTJOIN("", TRUE, D315:J315)</f>
        <v>02_Slots/Koenig/Bezeichnungen/03_nb-tA.wj_01.png</v>
      </c>
    </row>
    <row r="316" spans="1:12" x14ac:dyDescent="0.2">
      <c r="A316" t="s">
        <v>536</v>
      </c>
      <c r="B316" s="27">
        <v>4</v>
      </c>
      <c r="C316" t="s">
        <v>27</v>
      </c>
      <c r="L316" t="s">
        <v>548</v>
      </c>
    </row>
    <row r="317" spans="1:12" x14ac:dyDescent="0.2">
      <c r="A317" t="s">
        <v>536</v>
      </c>
      <c r="B317" s="27">
        <v>5</v>
      </c>
      <c r="C317" t="s">
        <v>39</v>
      </c>
      <c r="L317" t="s">
        <v>1103</v>
      </c>
    </row>
    <row r="318" spans="1:12" x14ac:dyDescent="0.2">
      <c r="A318" t="s">
        <v>536</v>
      </c>
      <c r="B318" s="27">
        <v>5</v>
      </c>
      <c r="C318" t="s">
        <v>105</v>
      </c>
      <c r="E318" t="s">
        <v>474</v>
      </c>
      <c r="F318" t="s">
        <v>537</v>
      </c>
      <c r="G318" t="s">
        <v>550</v>
      </c>
      <c r="H318" t="s">
        <v>113</v>
      </c>
      <c r="L318" t="str">
        <f t="shared" ref="L318" si="73">_xlfn.TEXTJOIN("", TRUE, D318:J318)</f>
        <v>02_Slots/Koenig/Bezeichnungen/04_nTr-nfr_01.png</v>
      </c>
    </row>
    <row r="319" spans="1:12" x14ac:dyDescent="0.2">
      <c r="A319" t="s">
        <v>536</v>
      </c>
      <c r="B319" s="27">
        <v>5</v>
      </c>
      <c r="C319" t="s">
        <v>27</v>
      </c>
      <c r="L319" t="s">
        <v>551</v>
      </c>
    </row>
    <row r="321" spans="1:12" x14ac:dyDescent="0.2">
      <c r="A321" t="s">
        <v>576</v>
      </c>
      <c r="B321" s="27">
        <v>1</v>
      </c>
      <c r="C321" t="s">
        <v>39</v>
      </c>
      <c r="L321" t="s">
        <v>577</v>
      </c>
    </row>
    <row r="322" spans="1:12" x14ac:dyDescent="0.2">
      <c r="A322" t="s">
        <v>576</v>
      </c>
      <c r="B322" s="27">
        <v>1</v>
      </c>
      <c r="C322" t="s">
        <v>27</v>
      </c>
      <c r="L322" t="s">
        <v>579</v>
      </c>
    </row>
    <row r="323" spans="1:12" x14ac:dyDescent="0.2">
      <c r="A323" t="s">
        <v>576</v>
      </c>
      <c r="B323" s="27">
        <v>1</v>
      </c>
      <c r="C323" t="s">
        <v>40</v>
      </c>
      <c r="L323" t="s">
        <v>582</v>
      </c>
    </row>
    <row r="324" spans="1:12" x14ac:dyDescent="0.2">
      <c r="A324" t="s">
        <v>576</v>
      </c>
      <c r="B324" s="27">
        <v>1</v>
      </c>
      <c r="C324" t="s">
        <v>41</v>
      </c>
      <c r="L324" t="s">
        <v>585</v>
      </c>
    </row>
    <row r="325" spans="1:12" x14ac:dyDescent="0.2">
      <c r="A325" t="s">
        <v>576</v>
      </c>
      <c r="B325" s="27">
        <v>2</v>
      </c>
      <c r="C325" t="s">
        <v>39</v>
      </c>
      <c r="L325" t="s">
        <v>1221</v>
      </c>
    </row>
    <row r="326" spans="1:12" x14ac:dyDescent="0.2">
      <c r="A326" t="s">
        <v>576</v>
      </c>
      <c r="B326" s="27">
        <v>2</v>
      </c>
      <c r="C326" t="s">
        <v>27</v>
      </c>
      <c r="L326" t="s">
        <v>580</v>
      </c>
    </row>
    <row r="327" spans="1:12" x14ac:dyDescent="0.2">
      <c r="A327" t="s">
        <v>576</v>
      </c>
      <c r="B327" s="27">
        <v>2</v>
      </c>
      <c r="C327" t="s">
        <v>40</v>
      </c>
      <c r="L327" t="s">
        <v>583</v>
      </c>
    </row>
    <row r="328" spans="1:12" x14ac:dyDescent="0.2">
      <c r="A328" t="s">
        <v>576</v>
      </c>
      <c r="B328" s="27">
        <v>2</v>
      </c>
      <c r="C328" t="s">
        <v>41</v>
      </c>
      <c r="L328" t="s">
        <v>586</v>
      </c>
    </row>
    <row r="329" spans="1:12" x14ac:dyDescent="0.2">
      <c r="A329" t="s">
        <v>576</v>
      </c>
      <c r="B329" s="27">
        <v>3</v>
      </c>
      <c r="C329" t="s">
        <v>39</v>
      </c>
      <c r="L329" t="s">
        <v>578</v>
      </c>
    </row>
    <row r="330" spans="1:12" x14ac:dyDescent="0.2">
      <c r="A330" t="s">
        <v>576</v>
      </c>
      <c r="B330" s="27">
        <v>3</v>
      </c>
      <c r="C330" t="s">
        <v>27</v>
      </c>
      <c r="L330" t="s">
        <v>581</v>
      </c>
    </row>
    <row r="331" spans="1:12" x14ac:dyDescent="0.2">
      <c r="A331" t="s">
        <v>576</v>
      </c>
      <c r="B331" s="27">
        <v>3</v>
      </c>
      <c r="C331" t="s">
        <v>40</v>
      </c>
      <c r="L331" t="s">
        <v>584</v>
      </c>
    </row>
    <row r="332" spans="1:12" x14ac:dyDescent="0.2">
      <c r="A332" t="s">
        <v>576</v>
      </c>
      <c r="B332" s="27">
        <v>3</v>
      </c>
      <c r="C332" t="s">
        <v>41</v>
      </c>
    </row>
    <row r="335" spans="1:12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L335" t="str">
        <f t="shared" ref="L335:L341" si="74">_xlfn.TEXTJOIN("", TRUE, D335:J335)</f>
        <v>02_Slots/Gottheit/Determinative_typisch/01_m/0001_A40_01.png</v>
      </c>
    </row>
    <row r="336" spans="1:12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L336" t="str">
        <f t="shared" si="74"/>
        <v>02_Slots/Gottheit/Determinative_typisch/01_m/0010_G7_01.png</v>
      </c>
    </row>
    <row r="337" spans="1:12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L337" t="str">
        <f t="shared" si="74"/>
        <v>02_Slots/Gottheit/Determinative_typisch/01_m/0020_R8_01.png</v>
      </c>
    </row>
    <row r="338" spans="1:12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L338" t="str">
        <f t="shared" si="74"/>
        <v>02_Slots/Gottheit/Determinative_typisch/02_f/0001_B7_01.png</v>
      </c>
    </row>
    <row r="339" spans="1:12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L339" t="str">
        <f t="shared" si="74"/>
        <v>02_Slots/Gottheit/Determinative_typisch/02_f/0010_I64_01.png</v>
      </c>
    </row>
    <row r="340" spans="1:12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L340" t="str">
        <f t="shared" si="74"/>
        <v>02_Slots/Gottheit/Determinative_typisch/02_f/0020_H8_01.png</v>
      </c>
    </row>
    <row r="341" spans="1:12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L341" t="str">
        <f t="shared" si="74"/>
        <v>02_Slots/Gottheit/Determinative_typisch/02_f/0030_H8_02.png</v>
      </c>
    </row>
    <row r="343" spans="1:12" x14ac:dyDescent="0.2">
      <c r="A343" t="s">
        <v>60</v>
      </c>
      <c r="B343" s="27">
        <v>10</v>
      </c>
      <c r="C343" t="s">
        <v>39</v>
      </c>
      <c r="L343" t="s">
        <v>1222</v>
      </c>
    </row>
    <row r="344" spans="1:12" x14ac:dyDescent="0.2">
      <c r="A344" t="s">
        <v>60</v>
      </c>
      <c r="B344" s="27">
        <v>10</v>
      </c>
      <c r="C344" t="s">
        <v>105</v>
      </c>
      <c r="E344" t="s">
        <v>1223</v>
      </c>
      <c r="G344" t="s">
        <v>1025</v>
      </c>
      <c r="L344" t="str">
        <f t="shared" ref="L344" si="75">_xlfn.TEXTJOIN("", TRUE, D344:J344)</f>
        <v>02_Slots/Gottheit/Goetter-mit-Epitheta/0010_Isis/0001_st_01.png</v>
      </c>
    </row>
    <row r="345" spans="1:12" x14ac:dyDescent="0.2">
      <c r="A345" t="s">
        <v>60</v>
      </c>
      <c r="B345" s="27">
        <v>10</v>
      </c>
      <c r="C345" t="s">
        <v>105</v>
      </c>
      <c r="E345" t="s">
        <v>1223</v>
      </c>
      <c r="G345" t="s">
        <v>1026</v>
      </c>
      <c r="I345" t="s">
        <v>1198</v>
      </c>
      <c r="J345" t="s">
        <v>1199</v>
      </c>
      <c r="K345" t="s">
        <v>1200</v>
      </c>
      <c r="L345" t="str">
        <f t="shared" ref="L345:L348" si="76">_xlfn.TEXTJOIN("", TRUE, D345:K345)</f>
        <v>02_Slots/Gottheit/Goetter-mit-Epitheta/0010_Isis/0010_st_AR_01.png &lt;sup&gt;(AR)&lt;/sup&gt;</v>
      </c>
    </row>
    <row r="346" spans="1:12" x14ac:dyDescent="0.2">
      <c r="A346" t="s">
        <v>60</v>
      </c>
      <c r="B346" s="27">
        <v>10</v>
      </c>
      <c r="C346" t="s">
        <v>105</v>
      </c>
      <c r="E346" t="s">
        <v>1223</v>
      </c>
      <c r="G346" t="s">
        <v>1027</v>
      </c>
      <c r="I346" t="s">
        <v>1198</v>
      </c>
      <c r="J346" t="s">
        <v>1202</v>
      </c>
      <c r="K346" t="s">
        <v>1200</v>
      </c>
      <c r="L346" t="str">
        <f t="shared" si="76"/>
        <v>02_Slots/Gottheit/Goetter-mit-Epitheta/0010_Isis/0020_st_MR_01.png &lt;sup&gt;(MR)&lt;/sup&gt;</v>
      </c>
    </row>
    <row r="347" spans="1:12" x14ac:dyDescent="0.2">
      <c r="A347" t="s">
        <v>60</v>
      </c>
      <c r="B347" s="27">
        <v>10</v>
      </c>
      <c r="C347" t="s">
        <v>105</v>
      </c>
      <c r="E347" t="s">
        <v>1223</v>
      </c>
      <c r="G347" t="s">
        <v>1028</v>
      </c>
      <c r="I347" t="s">
        <v>1198</v>
      </c>
      <c r="J347" t="s">
        <v>1153</v>
      </c>
      <c r="K347" t="s">
        <v>1200</v>
      </c>
      <c r="L347" t="str">
        <f t="shared" si="76"/>
        <v>02_Slots/Gottheit/Goetter-mit-Epitheta/0010_Isis/0030_st_NR_01.png &lt;sup&gt;(NR)&lt;/sup&gt;</v>
      </c>
    </row>
    <row r="348" spans="1:12" x14ac:dyDescent="0.2">
      <c r="A348" t="s">
        <v>60</v>
      </c>
      <c r="B348" s="27">
        <v>10</v>
      </c>
      <c r="C348" t="s">
        <v>105</v>
      </c>
      <c r="E348" t="s">
        <v>1223</v>
      </c>
      <c r="G348" t="s">
        <v>1029</v>
      </c>
      <c r="I348" t="s">
        <v>1198</v>
      </c>
      <c r="J348" t="s">
        <v>1207</v>
      </c>
      <c r="K348" t="s">
        <v>1200</v>
      </c>
      <c r="L348" t="str">
        <f t="shared" si="76"/>
        <v>02_Slots/Gottheit/Goetter-mit-Epitheta/0010_Isis/0040_st_SP_01.png &lt;sup&gt;(Sp.)&lt;/sup&gt;</v>
      </c>
    </row>
    <row r="349" spans="1:12" x14ac:dyDescent="0.2">
      <c r="A349" t="s">
        <v>60</v>
      </c>
      <c r="B349" s="27">
        <v>10</v>
      </c>
      <c r="C349" t="s">
        <v>106</v>
      </c>
      <c r="L349" t="str">
        <f t="shared" ref="L349" si="77">_xlfn.TEXTJOIN("", TRUE, D349:J349)</f>
        <v/>
      </c>
    </row>
    <row r="350" spans="1:12" x14ac:dyDescent="0.2">
      <c r="A350" t="s">
        <v>60</v>
      </c>
      <c r="B350" s="27">
        <v>10</v>
      </c>
      <c r="C350" t="s">
        <v>107</v>
      </c>
      <c r="L350" t="s">
        <v>166</v>
      </c>
    </row>
    <row r="351" spans="1:12" x14ac:dyDescent="0.2">
      <c r="A351" t="s">
        <v>60</v>
      </c>
      <c r="B351" s="27">
        <v>10</v>
      </c>
      <c r="C351" t="s">
        <v>108</v>
      </c>
      <c r="L351" t="s">
        <v>1181</v>
      </c>
    </row>
    <row r="353" spans="1:12" x14ac:dyDescent="0.2">
      <c r="A353" t="s">
        <v>1030</v>
      </c>
      <c r="B353" s="27">
        <v>1</v>
      </c>
      <c r="C353" t="s">
        <v>39</v>
      </c>
      <c r="L353" t="s">
        <v>1032</v>
      </c>
    </row>
    <row r="354" spans="1:12" x14ac:dyDescent="0.2">
      <c r="A354" t="s">
        <v>1030</v>
      </c>
      <c r="B354" s="27">
        <v>1</v>
      </c>
      <c r="C354" t="s">
        <v>105</v>
      </c>
      <c r="E354" t="s">
        <v>1223</v>
      </c>
      <c r="F354" t="s">
        <v>1031</v>
      </c>
      <c r="G354" t="s">
        <v>1034</v>
      </c>
      <c r="L354" t="str">
        <f>_xlfn.TEXTJOIN("", TRUE, D354:J354)</f>
        <v>02_Slots/Gottheit/Goetter-mit-Epitheta/0010_Isis/epitheta/01_mw.t-nTr/0001_mw.t-nTr_01.png</v>
      </c>
    </row>
    <row r="355" spans="1:12" x14ac:dyDescent="0.2">
      <c r="A355" t="s">
        <v>1030</v>
      </c>
      <c r="B355" s="27">
        <v>1</v>
      </c>
      <c r="C355" t="s">
        <v>105</v>
      </c>
      <c r="E355" t="s">
        <v>1223</v>
      </c>
      <c r="F355" t="s">
        <v>1031</v>
      </c>
      <c r="G355" t="s">
        <v>1035</v>
      </c>
      <c r="L355" t="str">
        <f>_xlfn.TEXTJOIN("", TRUE, D355:J355)</f>
        <v>02_Slots/Gottheit/Goetter-mit-Epitheta/0010_Isis/epitheta/01_mw.t-nTr/0010_mw.t-nTr_02.png</v>
      </c>
    </row>
    <row r="356" spans="1:12" x14ac:dyDescent="0.2">
      <c r="A356" t="s">
        <v>1030</v>
      </c>
      <c r="B356" s="27">
        <v>1</v>
      </c>
      <c r="C356" t="s">
        <v>105</v>
      </c>
      <c r="E356" t="s">
        <v>1223</v>
      </c>
      <c r="F356" t="s">
        <v>1031</v>
      </c>
      <c r="G356" t="s">
        <v>1036</v>
      </c>
      <c r="I356" t="s">
        <v>1198</v>
      </c>
      <c r="J356" t="s">
        <v>1201</v>
      </c>
      <c r="K356" t="s">
        <v>1200</v>
      </c>
      <c r="L356" t="str">
        <f>_xlfn.TEXTJOIN("", TRUE, D356:K356)</f>
        <v>02_Slots/Gottheit/Goetter-mit-Epitheta/0010_Isis/epitheta/01_mw.t-nTr/0020_mw.t-nTr_GR_01.png &lt;sup&gt;(Gr.)&lt;/sup&gt;</v>
      </c>
    </row>
    <row r="357" spans="1:12" x14ac:dyDescent="0.2">
      <c r="A357" t="s">
        <v>1030</v>
      </c>
      <c r="B357" s="27">
        <v>1</v>
      </c>
      <c r="C357" t="s">
        <v>27</v>
      </c>
      <c r="L357" t="s">
        <v>1033</v>
      </c>
    </row>
    <row r="359" spans="1:12" x14ac:dyDescent="0.2">
      <c r="A359" t="s">
        <v>1030</v>
      </c>
      <c r="B359" s="27">
        <v>2</v>
      </c>
      <c r="C359" t="s">
        <v>39</v>
      </c>
      <c r="L359" t="s">
        <v>1094</v>
      </c>
    </row>
    <row r="360" spans="1:12" x14ac:dyDescent="0.2">
      <c r="A360" t="s">
        <v>1030</v>
      </c>
      <c r="B360" s="27">
        <v>2</v>
      </c>
      <c r="C360" t="s">
        <v>105</v>
      </c>
      <c r="E360" t="s">
        <v>1223</v>
      </c>
      <c r="F360" t="s">
        <v>1037</v>
      </c>
      <c r="G360" t="s">
        <v>1038</v>
      </c>
      <c r="L360" t="str">
        <f>_xlfn.TEXTJOIN("", TRUE, D360:J360)</f>
        <v>02_Slots/Gottheit/Goetter-mit-Epitheta/0010_Isis/epitheta/02_wr.t/0010_wr.t_01.png</v>
      </c>
    </row>
    <row r="361" spans="1:12" x14ac:dyDescent="0.2">
      <c r="A361" t="s">
        <v>1030</v>
      </c>
      <c r="B361" s="27">
        <v>2</v>
      </c>
      <c r="C361" t="s">
        <v>105</v>
      </c>
      <c r="E361" t="s">
        <v>1223</v>
      </c>
      <c r="F361" t="s">
        <v>1037</v>
      </c>
      <c r="G361" t="s">
        <v>1039</v>
      </c>
      <c r="I361" t="s">
        <v>1198</v>
      </c>
      <c r="J361" t="s">
        <v>1207</v>
      </c>
      <c r="K361" t="s">
        <v>1200</v>
      </c>
      <c r="L361" t="str">
        <f>_xlfn.TEXTJOIN("", TRUE, D361:K361)</f>
        <v>02_Slots/Gottheit/Goetter-mit-Epitheta/0010_Isis/epitheta/02_wr.t/0010_wr.t_Sp._01.png &lt;sup&gt;(Sp.)&lt;/sup&gt;</v>
      </c>
    </row>
    <row r="362" spans="1:12" x14ac:dyDescent="0.2">
      <c r="A362" t="s">
        <v>1030</v>
      </c>
      <c r="B362" s="27">
        <v>2</v>
      </c>
      <c r="C362" t="s">
        <v>27</v>
      </c>
      <c r="L362" t="s">
        <v>1093</v>
      </c>
    </row>
    <row r="368" spans="1:12" x14ac:dyDescent="0.2">
      <c r="A368" t="s">
        <v>60</v>
      </c>
      <c r="B368" s="28">
        <v>20</v>
      </c>
      <c r="C368" t="s">
        <v>39</v>
      </c>
      <c r="L368" t="s">
        <v>177</v>
      </c>
    </row>
    <row r="369" spans="1:12" x14ac:dyDescent="0.2">
      <c r="A369" t="s">
        <v>60</v>
      </c>
      <c r="B369" s="28">
        <v>20</v>
      </c>
      <c r="C369" t="s">
        <v>105</v>
      </c>
      <c r="E369" t="s">
        <v>1224</v>
      </c>
      <c r="G369" t="s">
        <v>121</v>
      </c>
      <c r="H369" t="s">
        <v>113</v>
      </c>
      <c r="L369" t="str">
        <f>_xlfn.TEXTJOIN("", TRUE, D369:J369)</f>
        <v>02_Slots/Gottheit/Goetter-mit-Epitheta/0020_Amun/0001_Jmn_01.png</v>
      </c>
    </row>
    <row r="370" spans="1:12" x14ac:dyDescent="0.2">
      <c r="A370" t="s">
        <v>60</v>
      </c>
      <c r="B370" s="28">
        <v>20</v>
      </c>
      <c r="C370" t="s">
        <v>105</v>
      </c>
      <c r="E370" t="s">
        <v>1224</v>
      </c>
      <c r="G370" t="s">
        <v>123</v>
      </c>
      <c r="H370" t="s">
        <v>113</v>
      </c>
      <c r="I370" t="s">
        <v>1198</v>
      </c>
      <c r="J370" t="s">
        <v>1201</v>
      </c>
      <c r="K370" t="s">
        <v>1200</v>
      </c>
      <c r="L370" t="str">
        <f t="shared" ref="L370:L371" si="78">_xlfn.TEXTJOIN("", TRUE, D370:K370)</f>
        <v>02_Slots/Gottheit/Goetter-mit-Epitheta/0020_Amun/0010_Jmn_GR_01.png &lt;sup&gt;(Gr.)&lt;/sup&gt;</v>
      </c>
    </row>
    <row r="371" spans="1:12" x14ac:dyDescent="0.2">
      <c r="A371" t="s">
        <v>60</v>
      </c>
      <c r="B371" s="28">
        <v>20</v>
      </c>
      <c r="C371" t="s">
        <v>105</v>
      </c>
      <c r="E371" t="s">
        <v>1224</v>
      </c>
      <c r="G371" t="s">
        <v>124</v>
      </c>
      <c r="H371" t="s">
        <v>113</v>
      </c>
      <c r="I371" t="s">
        <v>1198</v>
      </c>
      <c r="J371" t="s">
        <v>1201</v>
      </c>
      <c r="K371" t="s">
        <v>1200</v>
      </c>
      <c r="L371" t="str">
        <f t="shared" si="78"/>
        <v>02_Slots/Gottheit/Goetter-mit-Epitheta/0020_Amun/0020_Jmn_GR_02.png &lt;sup&gt;(Gr.)&lt;/sup&gt;</v>
      </c>
    </row>
    <row r="372" spans="1:12" x14ac:dyDescent="0.2">
      <c r="A372" t="s">
        <v>60</v>
      </c>
      <c r="B372" s="28">
        <v>20</v>
      </c>
      <c r="C372" t="s">
        <v>106</v>
      </c>
      <c r="E372" t="s">
        <v>1224</v>
      </c>
      <c r="F372" t="s">
        <v>111</v>
      </c>
      <c r="G372" t="s">
        <v>122</v>
      </c>
      <c r="H372" t="s">
        <v>113</v>
      </c>
      <c r="L372" t="str">
        <f>_xlfn.TEXTJOIN("", TRUE, D372:J372)</f>
        <v>02_Slots/Gottheit/Goetter-mit-Epitheta/0020_Amun/det/0001_Jmn_det_01.png</v>
      </c>
    </row>
    <row r="373" spans="1:12" x14ac:dyDescent="0.2">
      <c r="A373" t="s">
        <v>60</v>
      </c>
      <c r="B373" s="28">
        <v>20</v>
      </c>
      <c r="C373" t="s">
        <v>107</v>
      </c>
      <c r="L373" t="s">
        <v>112</v>
      </c>
    </row>
    <row r="374" spans="1:12" x14ac:dyDescent="0.2">
      <c r="A374" t="s">
        <v>60</v>
      </c>
      <c r="B374" s="28">
        <v>20</v>
      </c>
      <c r="C374" t="s">
        <v>108</v>
      </c>
      <c r="L374" t="s">
        <v>1170</v>
      </c>
    </row>
    <row r="376" spans="1:12" x14ac:dyDescent="0.2">
      <c r="A376" t="s">
        <v>610</v>
      </c>
      <c r="B376" s="27">
        <v>1</v>
      </c>
      <c r="C376" t="s">
        <v>39</v>
      </c>
      <c r="L376" t="s">
        <v>174</v>
      </c>
    </row>
    <row r="377" spans="1:12" x14ac:dyDescent="0.2">
      <c r="A377" t="s">
        <v>610</v>
      </c>
      <c r="B377" s="27">
        <v>1</v>
      </c>
      <c r="C377" t="s">
        <v>105</v>
      </c>
      <c r="E377" t="s">
        <v>110</v>
      </c>
      <c r="F377" t="s">
        <v>125</v>
      </c>
      <c r="G377" t="s">
        <v>126</v>
      </c>
      <c r="H377" t="s">
        <v>113</v>
      </c>
      <c r="L377" t="str">
        <f>_xlfn.TEXTJOIN("", TRUE, D377:J377)</f>
        <v>02_Slots/Gottheit/Goetter-mit-Epitheta/0001_Amun/epitheta/01_m-jp.t/0001_m-jp.t_01.png</v>
      </c>
    </row>
    <row r="378" spans="1:12" x14ac:dyDescent="0.2">
      <c r="A378" t="s">
        <v>610</v>
      </c>
      <c r="B378" s="27">
        <v>1</v>
      </c>
      <c r="C378" t="s">
        <v>27</v>
      </c>
      <c r="L378" t="s">
        <v>175</v>
      </c>
    </row>
    <row r="380" spans="1:12" x14ac:dyDescent="0.2">
      <c r="A380" t="s">
        <v>60</v>
      </c>
      <c r="B380" s="28">
        <v>30</v>
      </c>
      <c r="C380" t="s">
        <v>39</v>
      </c>
      <c r="G380" t="s">
        <v>127</v>
      </c>
      <c r="L380" t="s">
        <v>176</v>
      </c>
    </row>
    <row r="381" spans="1:12" x14ac:dyDescent="0.2">
      <c r="A381" t="s">
        <v>60</v>
      </c>
      <c r="B381" s="28">
        <v>30</v>
      </c>
      <c r="C381" t="s">
        <v>105</v>
      </c>
      <c r="E381" t="s">
        <v>1225</v>
      </c>
      <c r="G381" t="s">
        <v>127</v>
      </c>
      <c r="H381" t="s">
        <v>113</v>
      </c>
      <c r="L381" t="str">
        <f>_xlfn.TEXTJOIN("", TRUE, D381:J381)</f>
        <v>02_Slots/Gottheit/Goetter-mit-Epitheta/0030_Amun-Re/0001_Jmn-Ra_01.png</v>
      </c>
    </row>
    <row r="382" spans="1:12" x14ac:dyDescent="0.2">
      <c r="A382" t="s">
        <v>60</v>
      </c>
      <c r="B382" s="28">
        <v>30</v>
      </c>
      <c r="C382" t="s">
        <v>106</v>
      </c>
    </row>
    <row r="383" spans="1:12" x14ac:dyDescent="0.2">
      <c r="A383" t="s">
        <v>60</v>
      </c>
      <c r="B383" s="28">
        <v>30</v>
      </c>
      <c r="C383" t="s">
        <v>107</v>
      </c>
      <c r="L383" t="s">
        <v>128</v>
      </c>
    </row>
    <row r="384" spans="1:12" x14ac:dyDescent="0.2">
      <c r="A384" t="s">
        <v>60</v>
      </c>
      <c r="B384" s="28">
        <v>30</v>
      </c>
      <c r="C384" t="s">
        <v>108</v>
      </c>
    </row>
    <row r="385" spans="1:12" x14ac:dyDescent="0.2">
      <c r="B385" s="28"/>
    </row>
    <row r="386" spans="1:12" x14ac:dyDescent="0.2">
      <c r="A386" t="s">
        <v>60</v>
      </c>
      <c r="B386" s="28">
        <v>40</v>
      </c>
      <c r="C386" t="s">
        <v>39</v>
      </c>
      <c r="L386" t="s">
        <v>1228</v>
      </c>
    </row>
    <row r="387" spans="1:12" x14ac:dyDescent="0.2">
      <c r="A387" t="s">
        <v>60</v>
      </c>
      <c r="B387" s="28">
        <v>40</v>
      </c>
      <c r="C387" t="s">
        <v>105</v>
      </c>
      <c r="E387" t="s">
        <v>1226</v>
      </c>
      <c r="G387" t="s">
        <v>1227</v>
      </c>
      <c r="H387" t="s">
        <v>113</v>
      </c>
      <c r="L387" t="str">
        <f>_xlfn.TEXTJOIN("", TRUE, D387:J387)</f>
        <v>02_Slots/Gottheit/Goetter-mit-Epitheta/0040_Amun-Re-Harachte/0001_jmn-ra-Hr-Axtj_01.png</v>
      </c>
    </row>
    <row r="388" spans="1:12" x14ac:dyDescent="0.2">
      <c r="A388" t="s">
        <v>60</v>
      </c>
      <c r="B388" s="28">
        <v>40</v>
      </c>
      <c r="C388" t="s">
        <v>106</v>
      </c>
    </row>
    <row r="389" spans="1:12" x14ac:dyDescent="0.2">
      <c r="A389" t="s">
        <v>60</v>
      </c>
      <c r="B389" s="28">
        <v>40</v>
      </c>
      <c r="C389" t="s">
        <v>107</v>
      </c>
      <c r="L389" t="s">
        <v>129</v>
      </c>
    </row>
    <row r="390" spans="1:12" x14ac:dyDescent="0.2">
      <c r="A390" t="s">
        <v>60</v>
      </c>
      <c r="B390" s="28">
        <v>40</v>
      </c>
      <c r="C390" t="s">
        <v>108</v>
      </c>
    </row>
    <row r="391" spans="1:12" x14ac:dyDescent="0.2">
      <c r="B391" s="28"/>
    </row>
    <row r="392" spans="1:12" x14ac:dyDescent="0.2">
      <c r="A392" t="s">
        <v>60</v>
      </c>
      <c r="B392" s="28">
        <v>50</v>
      </c>
      <c r="C392" t="s">
        <v>39</v>
      </c>
      <c r="L392" t="s">
        <v>588</v>
      </c>
    </row>
    <row r="393" spans="1:12" x14ac:dyDescent="0.2">
      <c r="A393" t="s">
        <v>60</v>
      </c>
      <c r="B393" s="28">
        <v>50</v>
      </c>
      <c r="C393" t="s">
        <v>105</v>
      </c>
      <c r="E393" t="s">
        <v>1229</v>
      </c>
      <c r="G393" t="s">
        <v>589</v>
      </c>
      <c r="H393" t="s">
        <v>113</v>
      </c>
      <c r="L393" t="str">
        <f t="shared" ref="L393:L395" si="79">_xlfn.TEXTJOIN("", TRUE, D393:J393)</f>
        <v>02_Slots/Gottheit/Goetter-mit-Epitheta/0050_Amset/0001_jmstj_01.png</v>
      </c>
    </row>
    <row r="394" spans="1:12" x14ac:dyDescent="0.2">
      <c r="A394" t="s">
        <v>60</v>
      </c>
      <c r="B394" s="28">
        <v>50</v>
      </c>
      <c r="C394" t="s">
        <v>105</v>
      </c>
      <c r="E394" t="s">
        <v>1229</v>
      </c>
      <c r="G394" t="s">
        <v>590</v>
      </c>
      <c r="H394" t="s">
        <v>113</v>
      </c>
      <c r="L394" t="str">
        <f t="shared" si="79"/>
        <v>02_Slots/Gottheit/Goetter-mit-Epitheta/0050_Amset/0010_jmstj_02.png</v>
      </c>
    </row>
    <row r="395" spans="1:12" x14ac:dyDescent="0.2">
      <c r="A395" t="s">
        <v>60</v>
      </c>
      <c r="B395" s="28">
        <v>50</v>
      </c>
      <c r="C395" t="s">
        <v>105</v>
      </c>
      <c r="E395" t="s">
        <v>1229</v>
      </c>
      <c r="G395" t="s">
        <v>591</v>
      </c>
      <c r="H395" t="s">
        <v>113</v>
      </c>
      <c r="L395" t="str">
        <f t="shared" si="79"/>
        <v>02_Slots/Gottheit/Goetter-mit-Epitheta/0050_Amset/0020_jmstj_03.png</v>
      </c>
    </row>
    <row r="396" spans="1:12" x14ac:dyDescent="0.2">
      <c r="A396" t="s">
        <v>60</v>
      </c>
      <c r="B396" s="28">
        <v>50</v>
      </c>
      <c r="C396" t="s">
        <v>105</v>
      </c>
      <c r="E396" t="s">
        <v>1229</v>
      </c>
      <c r="G396" t="s">
        <v>592</v>
      </c>
      <c r="H396" t="s">
        <v>113</v>
      </c>
      <c r="I396" t="s">
        <v>1198</v>
      </c>
      <c r="J396" t="s">
        <v>1199</v>
      </c>
      <c r="K396" t="s">
        <v>1200</v>
      </c>
      <c r="L396" t="str">
        <f t="shared" ref="L396:L399" si="80">_xlfn.TEXTJOIN("", TRUE, D396:K396)</f>
        <v>02_Slots/Gottheit/Goetter-mit-Epitheta/0050_Amset/0030_jmstj_AR_01.png &lt;sup&gt;(AR)&lt;/sup&gt;</v>
      </c>
    </row>
    <row r="397" spans="1:12" x14ac:dyDescent="0.2">
      <c r="A397" t="s">
        <v>60</v>
      </c>
      <c r="B397" s="28">
        <v>50</v>
      </c>
      <c r="C397" t="s">
        <v>105</v>
      </c>
      <c r="E397" t="s">
        <v>1229</v>
      </c>
      <c r="G397" t="s">
        <v>593</v>
      </c>
      <c r="H397" t="s">
        <v>113</v>
      </c>
      <c r="I397" t="s">
        <v>1198</v>
      </c>
      <c r="J397" t="s">
        <v>1202</v>
      </c>
      <c r="K397" t="s">
        <v>1200</v>
      </c>
      <c r="L397" t="str">
        <f t="shared" si="80"/>
        <v>02_Slots/Gottheit/Goetter-mit-Epitheta/0050_Amset/0040_jmstj_MR_01.png &lt;sup&gt;(MR)&lt;/sup&gt;</v>
      </c>
    </row>
    <row r="398" spans="1:12" x14ac:dyDescent="0.2">
      <c r="A398" t="s">
        <v>60</v>
      </c>
      <c r="B398" s="28">
        <v>50</v>
      </c>
      <c r="C398" t="s">
        <v>105</v>
      </c>
      <c r="E398" t="s">
        <v>1229</v>
      </c>
      <c r="G398" t="s">
        <v>594</v>
      </c>
      <c r="H398" t="s">
        <v>113</v>
      </c>
      <c r="I398" t="s">
        <v>1198</v>
      </c>
      <c r="J398" t="s">
        <v>1153</v>
      </c>
      <c r="K398" t="s">
        <v>1200</v>
      </c>
      <c r="L398" t="str">
        <f t="shared" si="80"/>
        <v>02_Slots/Gottheit/Goetter-mit-Epitheta/0050_Amset/0050_jmstj_NR_01.png &lt;sup&gt;(NR)&lt;/sup&gt;</v>
      </c>
    </row>
    <row r="399" spans="1:12" x14ac:dyDescent="0.2">
      <c r="A399" t="s">
        <v>60</v>
      </c>
      <c r="B399" s="28">
        <v>50</v>
      </c>
      <c r="C399" t="s">
        <v>105</v>
      </c>
      <c r="E399" t="s">
        <v>1229</v>
      </c>
      <c r="G399" t="s">
        <v>595</v>
      </c>
      <c r="H399" t="s">
        <v>113</v>
      </c>
      <c r="I399" t="s">
        <v>1198</v>
      </c>
      <c r="J399" t="s">
        <v>1153</v>
      </c>
      <c r="K399" t="s">
        <v>1200</v>
      </c>
      <c r="L399" t="str">
        <f t="shared" si="80"/>
        <v>02_Slots/Gottheit/Goetter-mit-Epitheta/0050_Amset/0060_jmstj_NR_02.png &lt;sup&gt;(NR)&lt;/sup&gt;</v>
      </c>
    </row>
    <row r="400" spans="1:12" x14ac:dyDescent="0.2">
      <c r="A400" t="s">
        <v>60</v>
      </c>
      <c r="B400" s="28">
        <v>50</v>
      </c>
      <c r="C400" t="s">
        <v>106</v>
      </c>
    </row>
    <row r="401" spans="1:12" x14ac:dyDescent="0.2">
      <c r="A401" t="s">
        <v>60</v>
      </c>
      <c r="B401" s="28">
        <v>50</v>
      </c>
      <c r="C401" t="s">
        <v>107</v>
      </c>
      <c r="L401" t="s">
        <v>130</v>
      </c>
    </row>
    <row r="402" spans="1:12" x14ac:dyDescent="0.2">
      <c r="A402" t="s">
        <v>60</v>
      </c>
      <c r="B402" s="28">
        <v>50</v>
      </c>
      <c r="C402" t="s">
        <v>108</v>
      </c>
    </row>
    <row r="403" spans="1:12" x14ac:dyDescent="0.2">
      <c r="B403" s="28"/>
    </row>
    <row r="404" spans="1:12" x14ac:dyDescent="0.2">
      <c r="B404" s="28"/>
    </row>
    <row r="405" spans="1:12" x14ac:dyDescent="0.2">
      <c r="B405" s="28"/>
    </row>
    <row r="406" spans="1:12" x14ac:dyDescent="0.2">
      <c r="A406" t="s">
        <v>60</v>
      </c>
      <c r="B406" s="28">
        <v>60</v>
      </c>
      <c r="C406" t="s">
        <v>39</v>
      </c>
      <c r="L406" t="s">
        <v>596</v>
      </c>
    </row>
    <row r="407" spans="1:12" x14ac:dyDescent="0.2">
      <c r="A407" t="s">
        <v>60</v>
      </c>
      <c r="B407" s="28">
        <v>60</v>
      </c>
      <c r="C407" t="s">
        <v>105</v>
      </c>
      <c r="E407" t="s">
        <v>1230</v>
      </c>
      <c r="G407" t="s">
        <v>597</v>
      </c>
      <c r="H407" t="s">
        <v>113</v>
      </c>
      <c r="L407" t="str">
        <f t="shared" ref="L407:L411" si="81">_xlfn.TEXTJOIN("", TRUE, D407:J407)</f>
        <v>02_Slots/Gottheit/Goetter-mit-Epitheta/0060_Onuris/0001_jnj-Hr.t_01.png</v>
      </c>
    </row>
    <row r="408" spans="1:12" x14ac:dyDescent="0.2">
      <c r="A408" t="s">
        <v>60</v>
      </c>
      <c r="B408" s="28">
        <v>60</v>
      </c>
      <c r="C408" t="s">
        <v>105</v>
      </c>
      <c r="E408" t="s">
        <v>1230</v>
      </c>
      <c r="G408" t="s">
        <v>598</v>
      </c>
      <c r="H408" t="s">
        <v>113</v>
      </c>
      <c r="L408" t="str">
        <f t="shared" si="81"/>
        <v>02_Slots/Gottheit/Goetter-mit-Epitheta/0060_Onuris/0010_jnj-Hr.t_02.png</v>
      </c>
    </row>
    <row r="409" spans="1:12" x14ac:dyDescent="0.2">
      <c r="A409" t="s">
        <v>60</v>
      </c>
      <c r="B409" s="28">
        <v>60</v>
      </c>
      <c r="C409" t="s">
        <v>105</v>
      </c>
      <c r="E409" t="s">
        <v>1230</v>
      </c>
      <c r="G409" t="s">
        <v>599</v>
      </c>
      <c r="H409" t="s">
        <v>113</v>
      </c>
      <c r="L409" t="str">
        <f t="shared" si="81"/>
        <v>02_Slots/Gottheit/Goetter-mit-Epitheta/0060_Onuris/0020_jnj-Hr.t_03.png</v>
      </c>
    </row>
    <row r="410" spans="1:12" x14ac:dyDescent="0.2">
      <c r="A410" t="s">
        <v>60</v>
      </c>
      <c r="B410" s="28">
        <v>60</v>
      </c>
      <c r="C410" t="s">
        <v>105</v>
      </c>
      <c r="E410" t="s">
        <v>1230</v>
      </c>
      <c r="G410" t="s">
        <v>600</v>
      </c>
      <c r="H410" t="s">
        <v>113</v>
      </c>
      <c r="L410" t="str">
        <f t="shared" si="81"/>
        <v>02_Slots/Gottheit/Goetter-mit-Epitheta/0060_Onuris/0030_jnj-Hr.t_04.png</v>
      </c>
    </row>
    <row r="411" spans="1:12" x14ac:dyDescent="0.2">
      <c r="A411" t="s">
        <v>60</v>
      </c>
      <c r="B411" s="28">
        <v>60</v>
      </c>
      <c r="C411" t="s">
        <v>105</v>
      </c>
      <c r="E411" t="s">
        <v>1230</v>
      </c>
      <c r="G411" t="s">
        <v>601</v>
      </c>
      <c r="H411" t="s">
        <v>113</v>
      </c>
      <c r="L411" t="str">
        <f t="shared" si="81"/>
        <v>02_Slots/Gottheit/Goetter-mit-Epitheta/0060_Onuris/0040_jnj-Hr.t_05.png</v>
      </c>
    </row>
    <row r="412" spans="1:12" x14ac:dyDescent="0.2">
      <c r="A412" t="s">
        <v>60</v>
      </c>
      <c r="B412" s="28">
        <v>60</v>
      </c>
      <c r="C412" t="s">
        <v>105</v>
      </c>
      <c r="E412" t="s">
        <v>1230</v>
      </c>
      <c r="G412" t="s">
        <v>602</v>
      </c>
      <c r="H412" t="s">
        <v>113</v>
      </c>
      <c r="I412" t="s">
        <v>1198</v>
      </c>
      <c r="J412" t="s">
        <v>1153</v>
      </c>
      <c r="K412" t="s">
        <v>1200</v>
      </c>
      <c r="L412" t="str">
        <f>_xlfn.TEXTJOIN("", TRUE, D412:K412)</f>
        <v>02_Slots/Gottheit/Goetter-mit-Epitheta/0060_Onuris/0050_jnj-Hr.t_NR_01.png &lt;sup&gt;(NR)&lt;/sup&gt;</v>
      </c>
    </row>
    <row r="413" spans="1:12" x14ac:dyDescent="0.2">
      <c r="A413" t="s">
        <v>60</v>
      </c>
      <c r="B413" s="28">
        <v>60</v>
      </c>
      <c r="C413" t="s">
        <v>106</v>
      </c>
    </row>
    <row r="414" spans="1:12" x14ac:dyDescent="0.2">
      <c r="A414" t="s">
        <v>60</v>
      </c>
      <c r="B414" s="28">
        <v>60</v>
      </c>
      <c r="C414" t="s">
        <v>107</v>
      </c>
      <c r="L414" t="s">
        <v>131</v>
      </c>
    </row>
    <row r="415" spans="1:12" x14ac:dyDescent="0.2">
      <c r="A415" t="s">
        <v>60</v>
      </c>
      <c r="B415" s="28">
        <v>60</v>
      </c>
      <c r="C415" t="s">
        <v>108</v>
      </c>
    </row>
    <row r="416" spans="1:12" x14ac:dyDescent="0.2">
      <c r="B416" s="28"/>
    </row>
    <row r="417" spans="1:12" x14ac:dyDescent="0.2">
      <c r="B417" s="28"/>
    </row>
    <row r="418" spans="1:12" x14ac:dyDescent="0.2">
      <c r="A418" t="s">
        <v>60</v>
      </c>
      <c r="B418" s="28">
        <v>70</v>
      </c>
      <c r="C418" t="s">
        <v>39</v>
      </c>
      <c r="L418" t="s">
        <v>603</v>
      </c>
    </row>
    <row r="419" spans="1:12" x14ac:dyDescent="0.2">
      <c r="A419" t="s">
        <v>60</v>
      </c>
      <c r="B419" s="28">
        <v>70</v>
      </c>
      <c r="C419" t="s">
        <v>105</v>
      </c>
      <c r="E419" t="s">
        <v>1231</v>
      </c>
      <c r="G419" t="s">
        <v>604</v>
      </c>
      <c r="H419" t="s">
        <v>113</v>
      </c>
      <c r="L419" t="str">
        <f t="shared" ref="L419:L424" si="82">_xlfn.TEXTJOIN("", TRUE, D419:J419)</f>
        <v>02_Slots/Gottheit/Goetter-mit-Epitheta/0070_Anubis/0001_Jnpw_01.png</v>
      </c>
    </row>
    <row r="420" spans="1:12" x14ac:dyDescent="0.2">
      <c r="A420" t="s">
        <v>60</v>
      </c>
      <c r="B420" s="28">
        <v>70</v>
      </c>
      <c r="C420" t="s">
        <v>105</v>
      </c>
      <c r="E420" t="s">
        <v>1231</v>
      </c>
      <c r="G420" t="s">
        <v>605</v>
      </c>
      <c r="H420" t="s">
        <v>113</v>
      </c>
      <c r="L420" t="str">
        <f t="shared" si="82"/>
        <v>02_Slots/Gottheit/Goetter-mit-Epitheta/0070_Anubis/0010_Jnpw_02.png</v>
      </c>
    </row>
    <row r="421" spans="1:12" x14ac:dyDescent="0.2">
      <c r="A421" t="s">
        <v>60</v>
      </c>
      <c r="B421" s="28">
        <v>70</v>
      </c>
      <c r="C421" t="s">
        <v>105</v>
      </c>
      <c r="E421" t="s">
        <v>1231</v>
      </c>
      <c r="G421" t="s">
        <v>606</v>
      </c>
      <c r="H421" t="s">
        <v>113</v>
      </c>
      <c r="L421" t="str">
        <f t="shared" si="82"/>
        <v>02_Slots/Gottheit/Goetter-mit-Epitheta/0070_Anubis/0020_Jnpw_03.png</v>
      </c>
    </row>
    <row r="422" spans="1:12" x14ac:dyDescent="0.2">
      <c r="A422" t="s">
        <v>60</v>
      </c>
      <c r="B422" s="28">
        <v>70</v>
      </c>
      <c r="C422" t="s">
        <v>105</v>
      </c>
      <c r="E422" t="s">
        <v>1231</v>
      </c>
      <c r="G422" t="s">
        <v>607</v>
      </c>
      <c r="H422" t="s">
        <v>113</v>
      </c>
      <c r="L422" t="str">
        <f t="shared" si="82"/>
        <v>02_Slots/Gottheit/Goetter-mit-Epitheta/0070_Anubis/0030_Jnpw_04.png</v>
      </c>
    </row>
    <row r="423" spans="1:12" x14ac:dyDescent="0.2">
      <c r="A423" t="s">
        <v>60</v>
      </c>
      <c r="B423" s="28">
        <v>70</v>
      </c>
      <c r="C423" t="s">
        <v>105</v>
      </c>
      <c r="E423" t="s">
        <v>1231</v>
      </c>
      <c r="G423" t="s">
        <v>608</v>
      </c>
      <c r="H423" t="s">
        <v>113</v>
      </c>
      <c r="I423" t="s">
        <v>1198</v>
      </c>
      <c r="J423" t="s">
        <v>1190</v>
      </c>
      <c r="K423" t="s">
        <v>1200</v>
      </c>
      <c r="L423" t="str">
        <f>_xlfn.TEXTJOIN("", TRUE, D423:K423)</f>
        <v>02_Slots/Gottheit/Goetter-mit-Epitheta/0070_Anubis/0040_Jnpw_sp_01.png &lt;sup&gt;(Spät.)&lt;/sup&gt;</v>
      </c>
    </row>
    <row r="424" spans="1:12" x14ac:dyDescent="0.2">
      <c r="A424" t="s">
        <v>60</v>
      </c>
      <c r="B424" s="28">
        <v>70</v>
      </c>
      <c r="C424" t="s">
        <v>106</v>
      </c>
      <c r="E424" t="s">
        <v>1231</v>
      </c>
      <c r="F424" t="s">
        <v>111</v>
      </c>
      <c r="G424" t="s">
        <v>609</v>
      </c>
      <c r="H424" t="s">
        <v>113</v>
      </c>
      <c r="L424" t="str">
        <f t="shared" si="82"/>
        <v>02_Slots/Gottheit/Goetter-mit-Epitheta/0070_Anubis/det/0001_Jnpw_det_01.png</v>
      </c>
    </row>
    <row r="425" spans="1:12" x14ac:dyDescent="0.2">
      <c r="A425" t="s">
        <v>60</v>
      </c>
      <c r="B425" s="28">
        <v>70</v>
      </c>
      <c r="C425" t="s">
        <v>107</v>
      </c>
      <c r="L425" t="s">
        <v>132</v>
      </c>
    </row>
    <row r="426" spans="1:12" x14ac:dyDescent="0.2">
      <c r="A426" t="s">
        <v>60</v>
      </c>
      <c r="B426" s="28">
        <v>70</v>
      </c>
      <c r="C426" t="s">
        <v>108</v>
      </c>
      <c r="L426" t="s">
        <v>1171</v>
      </c>
    </row>
    <row r="428" spans="1:12" x14ac:dyDescent="0.2">
      <c r="A428" t="s">
        <v>611</v>
      </c>
      <c r="B428" s="27">
        <v>1</v>
      </c>
      <c r="C428" t="s">
        <v>39</v>
      </c>
      <c r="L428" t="s">
        <v>618</v>
      </c>
    </row>
    <row r="429" spans="1:12" x14ac:dyDescent="0.2">
      <c r="A429" t="s">
        <v>611</v>
      </c>
      <c r="B429" s="27">
        <v>1</v>
      </c>
      <c r="C429" t="s">
        <v>105</v>
      </c>
      <c r="E429" t="s">
        <v>1231</v>
      </c>
      <c r="F429" t="s">
        <v>612</v>
      </c>
      <c r="G429" t="s">
        <v>613</v>
      </c>
      <c r="H429" t="s">
        <v>113</v>
      </c>
      <c r="L429" t="str">
        <f>_xlfn.TEXTJOIN("", TRUE, D429:J429)</f>
        <v>02_Slots/Gottheit/Goetter-mit-Epitheta/0070_Anubis/epitheta/01_jmj-wt/0001_jmj-wt_01.png</v>
      </c>
    </row>
    <row r="430" spans="1:12" x14ac:dyDescent="0.2">
      <c r="A430" t="s">
        <v>611</v>
      </c>
      <c r="B430" s="27">
        <v>1</v>
      </c>
      <c r="C430" t="s">
        <v>105</v>
      </c>
      <c r="E430" t="s">
        <v>1231</v>
      </c>
      <c r="F430" t="s">
        <v>612</v>
      </c>
      <c r="G430" t="s">
        <v>614</v>
      </c>
      <c r="H430" t="s">
        <v>113</v>
      </c>
      <c r="L430" t="str">
        <f>_xlfn.TEXTJOIN("", TRUE, D430:J430)</f>
        <v>02_Slots/Gottheit/Goetter-mit-Epitheta/0070_Anubis/epitheta/01_jmj-wt/0010_jmj-wt_02.png</v>
      </c>
    </row>
    <row r="431" spans="1:12" x14ac:dyDescent="0.2">
      <c r="A431" t="s">
        <v>611</v>
      </c>
      <c r="B431" s="27">
        <v>1</v>
      </c>
      <c r="C431" t="s">
        <v>105</v>
      </c>
      <c r="E431" t="s">
        <v>1231</v>
      </c>
      <c r="F431" t="s">
        <v>612</v>
      </c>
      <c r="G431" t="s">
        <v>615</v>
      </c>
      <c r="H431" t="s">
        <v>113</v>
      </c>
      <c r="I431" t="s">
        <v>1198</v>
      </c>
      <c r="J431" t="s">
        <v>1199</v>
      </c>
      <c r="K431" t="s">
        <v>1200</v>
      </c>
      <c r="L431" t="str">
        <f t="shared" ref="L431:L432" si="83">_xlfn.TEXTJOIN("", TRUE, D431:K431)</f>
        <v>02_Slots/Gottheit/Goetter-mit-Epitheta/0070_Anubis/epitheta/01_jmj-wt/0020_jmj-wt_AR_01.png &lt;sup&gt;(AR)&lt;/sup&gt;</v>
      </c>
    </row>
    <row r="432" spans="1:12" x14ac:dyDescent="0.2">
      <c r="A432" t="s">
        <v>611</v>
      </c>
      <c r="B432" s="27">
        <v>1</v>
      </c>
      <c r="C432" t="s">
        <v>105</v>
      </c>
      <c r="E432" t="s">
        <v>1231</v>
      </c>
      <c r="F432" t="s">
        <v>612</v>
      </c>
      <c r="G432" t="s">
        <v>616</v>
      </c>
      <c r="H432" t="s">
        <v>113</v>
      </c>
      <c r="I432" t="s">
        <v>1198</v>
      </c>
      <c r="J432" t="s">
        <v>1199</v>
      </c>
      <c r="K432" t="s">
        <v>1200</v>
      </c>
      <c r="L432" t="str">
        <f t="shared" si="83"/>
        <v>02_Slots/Gottheit/Goetter-mit-Epitheta/0070_Anubis/epitheta/01_jmj-wt/0030_jmj-wt_AR_02.png &lt;sup&gt;(AR)&lt;/sup&gt;</v>
      </c>
    </row>
    <row r="433" spans="1:12" x14ac:dyDescent="0.2">
      <c r="A433" t="s">
        <v>611</v>
      </c>
      <c r="B433" s="27">
        <v>1</v>
      </c>
      <c r="C433" t="s">
        <v>27</v>
      </c>
      <c r="L433" t="s">
        <v>617</v>
      </c>
    </row>
    <row r="435" spans="1:12" x14ac:dyDescent="0.2">
      <c r="A435" t="s">
        <v>611</v>
      </c>
      <c r="B435" s="27">
        <v>2</v>
      </c>
      <c r="C435" t="s">
        <v>39</v>
      </c>
      <c r="L435" t="s">
        <v>621</v>
      </c>
    </row>
    <row r="436" spans="1:12" x14ac:dyDescent="0.2">
      <c r="A436" t="s">
        <v>611</v>
      </c>
      <c r="B436" s="27">
        <v>2</v>
      </c>
      <c r="C436" t="s">
        <v>105</v>
      </c>
      <c r="E436" t="s">
        <v>1231</v>
      </c>
      <c r="F436" t="s">
        <v>619</v>
      </c>
      <c r="G436" t="s">
        <v>620</v>
      </c>
      <c r="H436" t="s">
        <v>113</v>
      </c>
      <c r="L436" t="str">
        <f>_xlfn.TEXTJOIN("", TRUE, D436:J436)</f>
        <v>02_Slots/Gottheit/Goetter-mit-Epitheta/0070_Anubis/epitheta/02_nb-tA-Dsr/0001_nb-tA-Dsr_01.png</v>
      </c>
    </row>
    <row r="437" spans="1:12" x14ac:dyDescent="0.2">
      <c r="A437" t="s">
        <v>611</v>
      </c>
      <c r="B437" s="27">
        <v>2</v>
      </c>
      <c r="C437" t="s">
        <v>27</v>
      </c>
      <c r="L437" t="s">
        <v>622</v>
      </c>
    </row>
    <row r="439" spans="1:12" x14ac:dyDescent="0.2">
      <c r="A439" t="s">
        <v>611</v>
      </c>
      <c r="B439" s="27">
        <v>3</v>
      </c>
      <c r="C439" t="s">
        <v>39</v>
      </c>
      <c r="L439" t="s">
        <v>623</v>
      </c>
    </row>
    <row r="440" spans="1:12" x14ac:dyDescent="0.2">
      <c r="A440" t="s">
        <v>611</v>
      </c>
      <c r="B440" s="27">
        <v>3</v>
      </c>
      <c r="C440" t="s">
        <v>105</v>
      </c>
      <c r="E440" t="s">
        <v>1231</v>
      </c>
      <c r="F440" t="s">
        <v>625</v>
      </c>
      <c r="G440" t="s">
        <v>626</v>
      </c>
      <c r="H440" t="s">
        <v>113</v>
      </c>
      <c r="L440" t="str">
        <f>_xlfn.TEXTJOIN("", TRUE, D440:J440)</f>
        <v>02_Slots/Gottheit/Goetter-mit-Epitheta/0070_Anubis/epitheta/03_tp.j-Dw=f/0001_tp.j-Dw=f_01.png</v>
      </c>
    </row>
    <row r="441" spans="1:12" x14ac:dyDescent="0.2">
      <c r="A441" t="s">
        <v>611</v>
      </c>
      <c r="B441" s="27">
        <v>3</v>
      </c>
      <c r="C441" t="s">
        <v>105</v>
      </c>
      <c r="E441" t="s">
        <v>1231</v>
      </c>
      <c r="F441" t="s">
        <v>625</v>
      </c>
      <c r="G441" t="s">
        <v>627</v>
      </c>
      <c r="H441" t="s">
        <v>113</v>
      </c>
      <c r="L441" t="str">
        <f>_xlfn.TEXTJOIN("", TRUE, D441:J441)</f>
        <v>02_Slots/Gottheit/Goetter-mit-Epitheta/0070_Anubis/epitheta/03_tp.j-Dw=f/0010_tp.j-Dw=f_02.png</v>
      </c>
    </row>
    <row r="442" spans="1:12" x14ac:dyDescent="0.2">
      <c r="A442" t="s">
        <v>611</v>
      </c>
      <c r="B442" s="27">
        <v>3</v>
      </c>
      <c r="C442" t="s">
        <v>105</v>
      </c>
      <c r="E442" t="s">
        <v>1231</v>
      </c>
      <c r="F442" t="s">
        <v>625</v>
      </c>
      <c r="G442" t="s">
        <v>628</v>
      </c>
      <c r="H442" t="s">
        <v>113</v>
      </c>
      <c r="L442" t="str">
        <f>_xlfn.TEXTJOIN("", TRUE, D442:J442)</f>
        <v>02_Slots/Gottheit/Goetter-mit-Epitheta/0070_Anubis/epitheta/03_tp.j-Dw=f/0020_tp.j.Dw=f_03.png</v>
      </c>
    </row>
    <row r="443" spans="1:12" x14ac:dyDescent="0.2">
      <c r="A443" t="s">
        <v>611</v>
      </c>
      <c r="B443" s="27">
        <v>3</v>
      </c>
      <c r="C443" t="s">
        <v>105</v>
      </c>
      <c r="E443" t="s">
        <v>1231</v>
      </c>
      <c r="F443" t="s">
        <v>625</v>
      </c>
      <c r="G443" t="s">
        <v>629</v>
      </c>
      <c r="H443" t="s">
        <v>113</v>
      </c>
      <c r="I443" t="s">
        <v>1198</v>
      </c>
      <c r="J443" t="s">
        <v>1153</v>
      </c>
      <c r="K443" t="s">
        <v>1200</v>
      </c>
      <c r="L443" t="str">
        <f>_xlfn.TEXTJOIN("", TRUE, D443:K443)</f>
        <v>02_Slots/Gottheit/Goetter-mit-Epitheta/0070_Anubis/epitheta/03_tp.j-Dw=f/0030_tp.j-Dw=f_NR_01.png &lt;sup&gt;(NR)&lt;/sup&gt;</v>
      </c>
    </row>
    <row r="444" spans="1:12" x14ac:dyDescent="0.2">
      <c r="A444" t="s">
        <v>611</v>
      </c>
      <c r="B444" s="27">
        <v>3</v>
      </c>
      <c r="C444" t="s">
        <v>27</v>
      </c>
      <c r="L444" t="s">
        <v>624</v>
      </c>
    </row>
    <row r="446" spans="1:12" x14ac:dyDescent="0.2">
      <c r="A446" t="s">
        <v>611</v>
      </c>
      <c r="B446" s="27">
        <v>4</v>
      </c>
      <c r="C446" t="s">
        <v>39</v>
      </c>
      <c r="L446" t="s">
        <v>630</v>
      </c>
    </row>
    <row r="447" spans="1:12" x14ac:dyDescent="0.2">
      <c r="A447" t="s">
        <v>611</v>
      </c>
      <c r="B447" s="27">
        <v>4</v>
      </c>
      <c r="C447" t="s">
        <v>105</v>
      </c>
      <c r="E447" t="s">
        <v>1231</v>
      </c>
      <c r="F447" t="s">
        <v>632</v>
      </c>
      <c r="G447" t="s">
        <v>633</v>
      </c>
      <c r="H447" t="s">
        <v>113</v>
      </c>
      <c r="I447" t="s">
        <v>1198</v>
      </c>
      <c r="J447" t="s">
        <v>1199</v>
      </c>
      <c r="K447" t="s">
        <v>1200</v>
      </c>
      <c r="L447" t="str">
        <f t="shared" ref="L447:L455" si="84">_xlfn.TEXTJOIN("", TRUE, D447:K447)</f>
        <v>02_Slots/Gottheit/Goetter-mit-Epitheta/0070_Anubis/epitheta/04_xnt.j-sH-nTr/0001_xnt.j-sH-nTr_AR_01.png &lt;sup&gt;(AR)&lt;/sup&gt;</v>
      </c>
    </row>
    <row r="448" spans="1:12" x14ac:dyDescent="0.2">
      <c r="A448" t="s">
        <v>611</v>
      </c>
      <c r="B448" s="27">
        <v>4</v>
      </c>
      <c r="C448" t="s">
        <v>105</v>
      </c>
      <c r="E448" t="s">
        <v>1231</v>
      </c>
      <c r="F448" t="s">
        <v>632</v>
      </c>
      <c r="G448" t="s">
        <v>634</v>
      </c>
      <c r="H448" t="s">
        <v>113</v>
      </c>
      <c r="I448" t="s">
        <v>1198</v>
      </c>
      <c r="J448" t="s">
        <v>1199</v>
      </c>
      <c r="K448" t="s">
        <v>1200</v>
      </c>
      <c r="L448" t="str">
        <f t="shared" si="84"/>
        <v>02_Slots/Gottheit/Goetter-mit-Epitheta/0070_Anubis/epitheta/04_xnt.j-sH-nTr/0010_xnt.j-sH-nTr_AR_02.png &lt;sup&gt;(AR)&lt;/sup&gt;</v>
      </c>
    </row>
    <row r="449" spans="1:12" x14ac:dyDescent="0.2">
      <c r="A449" t="s">
        <v>611</v>
      </c>
      <c r="B449" s="27">
        <v>4</v>
      </c>
      <c r="C449" t="s">
        <v>105</v>
      </c>
      <c r="E449" t="s">
        <v>1231</v>
      </c>
      <c r="F449" t="s">
        <v>632</v>
      </c>
      <c r="G449" t="s">
        <v>635</v>
      </c>
      <c r="H449" t="s">
        <v>113</v>
      </c>
      <c r="I449" t="s">
        <v>1198</v>
      </c>
      <c r="J449" t="s">
        <v>1199</v>
      </c>
      <c r="K449" t="s">
        <v>1200</v>
      </c>
      <c r="L449" t="str">
        <f t="shared" si="84"/>
        <v>02_Slots/Gottheit/Goetter-mit-Epitheta/0070_Anubis/epitheta/04_xnt.j-sH-nTr/0020_xnt.j-sH-nTr_AR_03.png &lt;sup&gt;(AR)&lt;/sup&gt;</v>
      </c>
    </row>
    <row r="450" spans="1:12" x14ac:dyDescent="0.2">
      <c r="A450" t="s">
        <v>611</v>
      </c>
      <c r="B450" s="27">
        <v>4</v>
      </c>
      <c r="C450" t="s">
        <v>105</v>
      </c>
      <c r="E450" t="s">
        <v>1231</v>
      </c>
      <c r="F450" t="s">
        <v>632</v>
      </c>
      <c r="G450" t="s">
        <v>636</v>
      </c>
      <c r="H450" t="s">
        <v>113</v>
      </c>
      <c r="I450" t="s">
        <v>1198</v>
      </c>
      <c r="J450" t="s">
        <v>1202</v>
      </c>
      <c r="K450" t="s">
        <v>1200</v>
      </c>
      <c r="L450" t="str">
        <f t="shared" si="84"/>
        <v>02_Slots/Gottheit/Goetter-mit-Epitheta/0070_Anubis/epitheta/04_xnt.j-sH-nTr/0030_xnt.j-sH-nTr_MR_01.png &lt;sup&gt;(MR)&lt;/sup&gt;</v>
      </c>
    </row>
    <row r="451" spans="1:12" x14ac:dyDescent="0.2">
      <c r="A451" t="s">
        <v>611</v>
      </c>
      <c r="B451" s="27">
        <v>4</v>
      </c>
      <c r="C451" t="s">
        <v>105</v>
      </c>
      <c r="E451" t="s">
        <v>1231</v>
      </c>
      <c r="F451" t="s">
        <v>632</v>
      </c>
      <c r="G451" t="s">
        <v>637</v>
      </c>
      <c r="H451" t="s">
        <v>113</v>
      </c>
      <c r="I451" t="s">
        <v>1198</v>
      </c>
      <c r="J451" t="s">
        <v>1202</v>
      </c>
      <c r="K451" t="s">
        <v>1200</v>
      </c>
      <c r="L451" t="str">
        <f t="shared" si="84"/>
        <v>02_Slots/Gottheit/Goetter-mit-Epitheta/0070_Anubis/epitheta/04_xnt.j-sH-nTr/0040_xnt.j-sH-nTr_MR_02.png &lt;sup&gt;(MR)&lt;/sup&gt;</v>
      </c>
    </row>
    <row r="452" spans="1:12" x14ac:dyDescent="0.2">
      <c r="A452" t="s">
        <v>611</v>
      </c>
      <c r="B452" s="27">
        <v>4</v>
      </c>
      <c r="C452" t="s">
        <v>105</v>
      </c>
      <c r="E452" t="s">
        <v>1231</v>
      </c>
      <c r="F452" t="s">
        <v>632</v>
      </c>
      <c r="G452" t="s">
        <v>638</v>
      </c>
      <c r="H452" t="s">
        <v>113</v>
      </c>
      <c r="I452" t="s">
        <v>1198</v>
      </c>
      <c r="J452" t="s">
        <v>1206</v>
      </c>
      <c r="K452" t="s">
        <v>1200</v>
      </c>
      <c r="L452" t="str">
        <f t="shared" si="84"/>
        <v>02_Slots/Gottheit/Goetter-mit-Epitheta/0070_Anubis/epitheta/04_xnt.j-sH-nTr/0050_xnt.j-sH-nTr_D.18_01.png &lt;sup&gt;(D.18)&lt;/sup&gt;</v>
      </c>
    </row>
    <row r="453" spans="1:12" x14ac:dyDescent="0.2">
      <c r="A453" t="s">
        <v>611</v>
      </c>
      <c r="B453" s="27">
        <v>4</v>
      </c>
      <c r="C453" t="s">
        <v>105</v>
      </c>
      <c r="E453" t="s">
        <v>1231</v>
      </c>
      <c r="F453" t="s">
        <v>632</v>
      </c>
      <c r="G453" t="s">
        <v>639</v>
      </c>
      <c r="H453" t="s">
        <v>113</v>
      </c>
      <c r="I453" t="s">
        <v>1198</v>
      </c>
      <c r="J453" t="s">
        <v>1201</v>
      </c>
      <c r="K453" t="s">
        <v>1200</v>
      </c>
      <c r="L453" t="str">
        <f t="shared" si="84"/>
        <v>02_Slots/Gottheit/Goetter-mit-Epitheta/0070_Anubis/epitheta/04_xnt.j-sH-nTr/0060_xnt.j-sH-nTr_GR_01.png &lt;sup&gt;(Gr.)&lt;/sup&gt;</v>
      </c>
    </row>
    <row r="454" spans="1:12" x14ac:dyDescent="0.2">
      <c r="A454" t="s">
        <v>611</v>
      </c>
      <c r="B454" s="27">
        <v>4</v>
      </c>
      <c r="C454" t="s">
        <v>105</v>
      </c>
      <c r="E454" t="s">
        <v>1231</v>
      </c>
      <c r="F454" t="s">
        <v>632</v>
      </c>
      <c r="G454" t="s">
        <v>640</v>
      </c>
      <c r="H454" t="s">
        <v>113</v>
      </c>
      <c r="I454" t="s">
        <v>1198</v>
      </c>
      <c r="J454" t="s">
        <v>1201</v>
      </c>
      <c r="K454" t="s">
        <v>1200</v>
      </c>
      <c r="L454" t="str">
        <f t="shared" si="84"/>
        <v>02_Slots/Gottheit/Goetter-mit-Epitheta/0070_Anubis/epitheta/04_xnt.j-sH-nTr/0070_xnt.j-sH-nTr_GR_02.png &lt;sup&gt;(Gr.)&lt;/sup&gt;</v>
      </c>
    </row>
    <row r="455" spans="1:12" x14ac:dyDescent="0.2">
      <c r="A455" t="s">
        <v>611</v>
      </c>
      <c r="B455" s="27">
        <v>4</v>
      </c>
      <c r="C455" t="s">
        <v>105</v>
      </c>
      <c r="E455" t="s">
        <v>1231</v>
      </c>
      <c r="F455" t="s">
        <v>632</v>
      </c>
      <c r="G455" t="s">
        <v>641</v>
      </c>
      <c r="H455" t="s">
        <v>113</v>
      </c>
      <c r="I455" t="s">
        <v>1198</v>
      </c>
      <c r="J455" t="s">
        <v>1201</v>
      </c>
      <c r="K455" t="s">
        <v>1200</v>
      </c>
      <c r="L455" t="str">
        <f t="shared" si="84"/>
        <v>02_Slots/Gottheit/Goetter-mit-Epitheta/0070_Anubis/epitheta/04_xnt.j-sH-nTr/0080_xnt.j-sH-nTr_GR_03.png &lt;sup&gt;(Gr.)&lt;/sup&gt;</v>
      </c>
    </row>
    <row r="456" spans="1:12" x14ac:dyDescent="0.2">
      <c r="A456" t="s">
        <v>611</v>
      </c>
      <c r="B456" s="27">
        <v>4</v>
      </c>
      <c r="C456" t="s">
        <v>27</v>
      </c>
      <c r="L456" t="s">
        <v>631</v>
      </c>
    </row>
    <row r="462" spans="1:12" x14ac:dyDescent="0.2">
      <c r="A462" t="s">
        <v>60</v>
      </c>
      <c r="B462" s="28">
        <v>80</v>
      </c>
      <c r="C462" t="s">
        <v>39</v>
      </c>
      <c r="L462" t="s">
        <v>642</v>
      </c>
    </row>
    <row r="463" spans="1:12" x14ac:dyDescent="0.2">
      <c r="A463" t="s">
        <v>60</v>
      </c>
      <c r="B463" s="28">
        <v>80</v>
      </c>
      <c r="C463" t="s">
        <v>105</v>
      </c>
      <c r="E463" t="s">
        <v>1232</v>
      </c>
      <c r="G463" t="s">
        <v>643</v>
      </c>
      <c r="H463" t="s">
        <v>113</v>
      </c>
      <c r="L463" t="str">
        <f t="shared" ref="L463:L465" si="85">_xlfn.TEXTJOIN("", TRUE, D463:J463)</f>
        <v>02_Slots/Gottheit/Goetter-mit-Epitheta/0080_Atum/0001_Jtm_01.png</v>
      </c>
    </row>
    <row r="464" spans="1:12" x14ac:dyDescent="0.2">
      <c r="A464" t="s">
        <v>60</v>
      </c>
      <c r="B464" s="28">
        <v>80</v>
      </c>
      <c r="C464" t="s">
        <v>105</v>
      </c>
      <c r="E464" t="s">
        <v>1232</v>
      </c>
      <c r="G464" t="s">
        <v>644</v>
      </c>
      <c r="H464" t="s">
        <v>113</v>
      </c>
      <c r="L464" t="str">
        <f t="shared" si="85"/>
        <v>02_Slots/Gottheit/Goetter-mit-Epitheta/0080_Atum/0010_Jtm_02.png</v>
      </c>
    </row>
    <row r="465" spans="1:12" x14ac:dyDescent="0.2">
      <c r="A465" t="s">
        <v>60</v>
      </c>
      <c r="B465" s="28">
        <v>80</v>
      </c>
      <c r="C465" t="s">
        <v>105</v>
      </c>
      <c r="E465" t="s">
        <v>1232</v>
      </c>
      <c r="G465" t="s">
        <v>645</v>
      </c>
      <c r="H465" t="s">
        <v>113</v>
      </c>
      <c r="L465" t="str">
        <f t="shared" si="85"/>
        <v>02_Slots/Gottheit/Goetter-mit-Epitheta/0080_Atum/0020_Jtm_03.png</v>
      </c>
    </row>
    <row r="466" spans="1:12" x14ac:dyDescent="0.2">
      <c r="A466" t="s">
        <v>60</v>
      </c>
      <c r="B466" s="28">
        <v>80</v>
      </c>
      <c r="C466" t="s">
        <v>105</v>
      </c>
      <c r="E466" t="s">
        <v>1232</v>
      </c>
      <c r="G466" t="s">
        <v>646</v>
      </c>
      <c r="H466" t="s">
        <v>113</v>
      </c>
      <c r="I466" t="s">
        <v>1198</v>
      </c>
      <c r="J466" t="s">
        <v>1202</v>
      </c>
      <c r="K466" t="s">
        <v>1200</v>
      </c>
      <c r="L466" t="str">
        <f t="shared" ref="L466:L469" si="86">_xlfn.TEXTJOIN("", TRUE, D466:K466)</f>
        <v>02_Slots/Gottheit/Goetter-mit-Epitheta/0080_Atum/0030_Jtm_MR_01.png &lt;sup&gt;(MR)&lt;/sup&gt;</v>
      </c>
    </row>
    <row r="467" spans="1:12" x14ac:dyDescent="0.2">
      <c r="A467" t="s">
        <v>60</v>
      </c>
      <c r="B467" s="28">
        <v>80</v>
      </c>
      <c r="C467" t="s">
        <v>105</v>
      </c>
      <c r="E467" t="s">
        <v>1232</v>
      </c>
      <c r="G467" t="s">
        <v>647</v>
      </c>
      <c r="H467" t="s">
        <v>113</v>
      </c>
      <c r="I467" t="s">
        <v>1198</v>
      </c>
      <c r="J467" t="s">
        <v>1202</v>
      </c>
      <c r="K467" t="s">
        <v>1200</v>
      </c>
      <c r="L467" t="str">
        <f t="shared" si="86"/>
        <v>02_Slots/Gottheit/Goetter-mit-Epitheta/0080_Atum/0040_Jtm_MR_02.png &lt;sup&gt;(MR)&lt;/sup&gt;</v>
      </c>
    </row>
    <row r="468" spans="1:12" x14ac:dyDescent="0.2">
      <c r="A468" t="s">
        <v>60</v>
      </c>
      <c r="B468" s="28">
        <v>80</v>
      </c>
      <c r="C468" t="s">
        <v>105</v>
      </c>
      <c r="E468" t="s">
        <v>1232</v>
      </c>
      <c r="G468" t="s">
        <v>648</v>
      </c>
      <c r="H468" t="s">
        <v>113</v>
      </c>
      <c r="I468" t="s">
        <v>1198</v>
      </c>
      <c r="J468" t="s">
        <v>1153</v>
      </c>
      <c r="K468" t="s">
        <v>1200</v>
      </c>
      <c r="L468" t="str">
        <f t="shared" si="86"/>
        <v>02_Slots/Gottheit/Goetter-mit-Epitheta/0080_Atum/0050_Jtm_NR_01.png &lt;sup&gt;(NR)&lt;/sup&gt;</v>
      </c>
    </row>
    <row r="469" spans="1:12" x14ac:dyDescent="0.2">
      <c r="A469" t="s">
        <v>60</v>
      </c>
      <c r="B469" s="28">
        <v>80</v>
      </c>
      <c r="C469" t="s">
        <v>105</v>
      </c>
      <c r="E469" t="s">
        <v>1232</v>
      </c>
      <c r="G469" t="s">
        <v>649</v>
      </c>
      <c r="H469" t="s">
        <v>113</v>
      </c>
      <c r="I469" t="s">
        <v>1198</v>
      </c>
      <c r="J469" t="s">
        <v>1207</v>
      </c>
      <c r="K469" t="s">
        <v>1200</v>
      </c>
      <c r="L469" t="str">
        <f t="shared" si="86"/>
        <v>02_Slots/Gottheit/Goetter-mit-Epitheta/0080_Atum/0060_Jtm_SP_01.png &lt;sup&gt;(Sp.)&lt;/sup&gt;</v>
      </c>
    </row>
    <row r="470" spans="1:12" x14ac:dyDescent="0.2">
      <c r="A470" t="s">
        <v>60</v>
      </c>
      <c r="B470" s="28">
        <v>80</v>
      </c>
      <c r="C470" t="s">
        <v>106</v>
      </c>
    </row>
    <row r="471" spans="1:12" x14ac:dyDescent="0.2">
      <c r="A471" t="s">
        <v>60</v>
      </c>
      <c r="B471" s="28">
        <v>80</v>
      </c>
      <c r="C471" t="s">
        <v>107</v>
      </c>
      <c r="L471" t="s">
        <v>133</v>
      </c>
    </row>
    <row r="472" spans="1:12" x14ac:dyDescent="0.2">
      <c r="A472" t="s">
        <v>60</v>
      </c>
      <c r="B472" s="28">
        <v>80</v>
      </c>
      <c r="C472" t="s">
        <v>108</v>
      </c>
      <c r="L472" t="s">
        <v>1172</v>
      </c>
    </row>
    <row r="474" spans="1:12" x14ac:dyDescent="0.2">
      <c r="A474" t="s">
        <v>651</v>
      </c>
      <c r="B474" s="27">
        <v>1</v>
      </c>
      <c r="C474" t="s">
        <v>39</v>
      </c>
      <c r="L474" t="s">
        <v>654</v>
      </c>
    </row>
    <row r="475" spans="1:12" x14ac:dyDescent="0.2">
      <c r="A475" t="s">
        <v>651</v>
      </c>
      <c r="B475" s="27">
        <v>1</v>
      </c>
      <c r="C475" t="s">
        <v>105</v>
      </c>
      <c r="E475" t="s">
        <v>1232</v>
      </c>
      <c r="F475" t="s">
        <v>652</v>
      </c>
      <c r="G475" t="s">
        <v>653</v>
      </c>
      <c r="H475" t="s">
        <v>113</v>
      </c>
      <c r="L475" t="str">
        <f>_xlfn.TEXTJOIN("", TRUE, D475:J475)</f>
        <v>02_Slots/Gottheit/Goetter-mit-Epitheta/0080_Atum/epitheta/01_jwnwy/0001_jwnwy_01.png</v>
      </c>
    </row>
    <row r="476" spans="1:12" x14ac:dyDescent="0.2">
      <c r="A476" t="s">
        <v>651</v>
      </c>
      <c r="B476" s="27">
        <v>1</v>
      </c>
      <c r="C476" t="s">
        <v>105</v>
      </c>
      <c r="E476" t="s">
        <v>1232</v>
      </c>
      <c r="F476" t="s">
        <v>652</v>
      </c>
      <c r="G476" t="s">
        <v>655</v>
      </c>
      <c r="H476" t="s">
        <v>113</v>
      </c>
      <c r="L476" t="str">
        <f>_xlfn.TEXTJOIN("", TRUE, D476:J476)</f>
        <v>02_Slots/Gottheit/Goetter-mit-Epitheta/0080_Atum/epitheta/01_jwnwy/0010_jwnwy_02.png</v>
      </c>
    </row>
    <row r="477" spans="1:12" x14ac:dyDescent="0.2">
      <c r="A477" t="s">
        <v>651</v>
      </c>
      <c r="B477" s="27">
        <v>1</v>
      </c>
      <c r="C477" t="s">
        <v>27</v>
      </c>
      <c r="L477" t="s">
        <v>693</v>
      </c>
    </row>
    <row r="480" spans="1:12" x14ac:dyDescent="0.2">
      <c r="A480" t="s">
        <v>60</v>
      </c>
      <c r="B480" s="28">
        <v>90</v>
      </c>
      <c r="C480" t="s">
        <v>39</v>
      </c>
      <c r="L480" t="s">
        <v>656</v>
      </c>
    </row>
    <row r="481" spans="1:12" x14ac:dyDescent="0.2">
      <c r="A481" t="s">
        <v>60</v>
      </c>
      <c r="B481" s="28">
        <v>90</v>
      </c>
      <c r="C481" t="s">
        <v>105</v>
      </c>
      <c r="E481" t="s">
        <v>1233</v>
      </c>
      <c r="G481" t="s">
        <v>657</v>
      </c>
      <c r="H481" t="s">
        <v>113</v>
      </c>
      <c r="L481" t="str">
        <f>_xlfn.TEXTJOIN("", TRUE, D481:J481)</f>
        <v>02_Slots/Gottheit/Goetter-mit-Epitheta/0090_Aton/0001_jtn_01.png</v>
      </c>
    </row>
    <row r="482" spans="1:12" x14ac:dyDescent="0.2">
      <c r="A482" t="s">
        <v>60</v>
      </c>
      <c r="B482" s="28">
        <v>90</v>
      </c>
      <c r="C482" t="s">
        <v>105</v>
      </c>
      <c r="E482" t="s">
        <v>1233</v>
      </c>
      <c r="G482" t="s">
        <v>658</v>
      </c>
      <c r="H482" t="s">
        <v>113</v>
      </c>
      <c r="L482" t="str">
        <f>_xlfn.TEXTJOIN("", TRUE, D482:J482)</f>
        <v>02_Slots/Gottheit/Goetter-mit-Epitheta/0090_Aton/0010_jtn_02.png</v>
      </c>
    </row>
    <row r="483" spans="1:12" x14ac:dyDescent="0.2">
      <c r="A483" t="s">
        <v>60</v>
      </c>
      <c r="B483" s="28">
        <v>90</v>
      </c>
      <c r="C483" t="s">
        <v>105</v>
      </c>
      <c r="E483" t="s">
        <v>1233</v>
      </c>
      <c r="G483" t="s">
        <v>659</v>
      </c>
      <c r="H483" t="s">
        <v>113</v>
      </c>
      <c r="I483" t="s">
        <v>1198</v>
      </c>
      <c r="J483" t="s">
        <v>1206</v>
      </c>
      <c r="K483" t="s">
        <v>1200</v>
      </c>
      <c r="L483" t="str">
        <f t="shared" ref="L483:L485" si="87">_xlfn.TEXTJOIN("", TRUE, D483:K483)</f>
        <v>02_Slots/Gottheit/Goetter-mit-Epitheta/0090_Aton/0020_jtn_D.18_01.png &lt;sup&gt;(D.18)&lt;/sup&gt;</v>
      </c>
    </row>
    <row r="484" spans="1:12" x14ac:dyDescent="0.2">
      <c r="A484" t="s">
        <v>60</v>
      </c>
      <c r="B484" s="28">
        <v>90</v>
      </c>
      <c r="C484" t="s">
        <v>105</v>
      </c>
      <c r="E484" t="s">
        <v>1233</v>
      </c>
      <c r="G484" t="s">
        <v>660</v>
      </c>
      <c r="H484" t="s">
        <v>113</v>
      </c>
      <c r="I484" t="s">
        <v>1198</v>
      </c>
      <c r="J484" t="s">
        <v>1201</v>
      </c>
      <c r="K484" t="s">
        <v>1200</v>
      </c>
      <c r="L484" t="str">
        <f t="shared" si="87"/>
        <v>02_Slots/Gottheit/Goetter-mit-Epitheta/0090_Aton/0030_jtn_GR_01.png &lt;sup&gt;(Gr.)&lt;/sup&gt;</v>
      </c>
    </row>
    <row r="485" spans="1:12" x14ac:dyDescent="0.2">
      <c r="A485" t="s">
        <v>60</v>
      </c>
      <c r="B485" s="28">
        <v>90</v>
      </c>
      <c r="C485" t="s">
        <v>105</v>
      </c>
      <c r="E485" t="s">
        <v>1233</v>
      </c>
      <c r="G485" t="s">
        <v>661</v>
      </c>
      <c r="H485" t="s">
        <v>113</v>
      </c>
      <c r="I485" t="s">
        <v>1198</v>
      </c>
      <c r="J485" t="s">
        <v>1201</v>
      </c>
      <c r="K485" t="s">
        <v>1200</v>
      </c>
      <c r="L485" t="str">
        <f t="shared" si="87"/>
        <v>02_Slots/Gottheit/Goetter-mit-Epitheta/0090_Aton/0040_jtn_GR_02.png &lt;sup&gt;(Gr.)&lt;/sup&gt;</v>
      </c>
    </row>
    <row r="486" spans="1:12" x14ac:dyDescent="0.2">
      <c r="A486" t="s">
        <v>60</v>
      </c>
      <c r="B486" s="28">
        <v>90</v>
      </c>
      <c r="C486" t="s">
        <v>106</v>
      </c>
    </row>
    <row r="487" spans="1:12" x14ac:dyDescent="0.2">
      <c r="A487" t="s">
        <v>60</v>
      </c>
      <c r="B487" s="28">
        <v>90</v>
      </c>
      <c r="C487" t="s">
        <v>107</v>
      </c>
      <c r="L487" t="s">
        <v>134</v>
      </c>
    </row>
    <row r="488" spans="1:12" x14ac:dyDescent="0.2">
      <c r="A488" t="s">
        <v>60</v>
      </c>
      <c r="B488" s="28">
        <v>90</v>
      </c>
      <c r="C488" t="s">
        <v>108</v>
      </c>
      <c r="L488" t="s">
        <v>1173</v>
      </c>
    </row>
    <row r="490" spans="1:12" x14ac:dyDescent="0.2">
      <c r="A490" t="s">
        <v>650</v>
      </c>
      <c r="B490" s="27">
        <v>1</v>
      </c>
      <c r="C490" t="s">
        <v>39</v>
      </c>
      <c r="L490" t="s">
        <v>664</v>
      </c>
    </row>
    <row r="491" spans="1:12" x14ac:dyDescent="0.2">
      <c r="A491" t="s">
        <v>650</v>
      </c>
      <c r="B491" s="27">
        <v>1</v>
      </c>
      <c r="C491" t="s">
        <v>105</v>
      </c>
      <c r="E491" t="s">
        <v>1233</v>
      </c>
      <c r="F491" t="s">
        <v>662</v>
      </c>
      <c r="G491" t="s">
        <v>663</v>
      </c>
      <c r="H491" t="s">
        <v>113</v>
      </c>
      <c r="L491" t="str">
        <f>_xlfn.TEXTJOIN("", TRUE, D491:J491)</f>
        <v>02_Slots/Gottheit/Goetter-mit-Epitheta/0090_Aton/epitheta/01_anx-Hr-Ax.tj-Hay-m-Ax.t/0001_anx-Hr-Ax.tj-Hay-m-Ax.t_01.png</v>
      </c>
    </row>
    <row r="492" spans="1:12" x14ac:dyDescent="0.2">
      <c r="A492" t="s">
        <v>650</v>
      </c>
      <c r="B492" s="27">
        <v>1</v>
      </c>
      <c r="C492" t="s">
        <v>27</v>
      </c>
      <c r="L492" t="s">
        <v>694</v>
      </c>
    </row>
    <row r="494" spans="1:12" x14ac:dyDescent="0.2">
      <c r="A494" t="s">
        <v>650</v>
      </c>
      <c r="B494" s="27">
        <v>2</v>
      </c>
      <c r="C494" t="s">
        <v>39</v>
      </c>
      <c r="L494" t="s">
        <v>667</v>
      </c>
    </row>
    <row r="495" spans="1:12" x14ac:dyDescent="0.2">
      <c r="A495" t="s">
        <v>650</v>
      </c>
      <c r="B495" s="27">
        <v>2</v>
      </c>
      <c r="C495" t="s">
        <v>105</v>
      </c>
      <c r="E495" t="s">
        <v>1233</v>
      </c>
      <c r="F495" t="s">
        <v>665</v>
      </c>
      <c r="G495" t="s">
        <v>666</v>
      </c>
      <c r="H495" t="s">
        <v>113</v>
      </c>
      <c r="L495" t="str">
        <f>_xlfn.TEXTJOIN("", TRUE, D495:J495)</f>
        <v>02_Slots/Gottheit/Goetter-mit-Epitheta/0090_Aton/epitheta/02_anx-ra-HqA-Ax.tj-Hay-m-Ax.t/0001_anx-ra-HqA-Ax.tj-Hay-m-Ax.t_01.png</v>
      </c>
    </row>
    <row r="496" spans="1:12" x14ac:dyDescent="0.2">
      <c r="A496" t="s">
        <v>650</v>
      </c>
      <c r="B496" s="27">
        <v>2</v>
      </c>
      <c r="C496" t="s">
        <v>27</v>
      </c>
      <c r="L496" t="s">
        <v>695</v>
      </c>
    </row>
    <row r="498" spans="1:12" x14ac:dyDescent="0.2">
      <c r="A498" t="s">
        <v>650</v>
      </c>
      <c r="B498" s="27">
        <v>3</v>
      </c>
      <c r="C498" t="s">
        <v>39</v>
      </c>
      <c r="L498" t="s">
        <v>669</v>
      </c>
    </row>
    <row r="499" spans="1:12" x14ac:dyDescent="0.2">
      <c r="A499" t="s">
        <v>650</v>
      </c>
      <c r="B499" s="27">
        <v>3</v>
      </c>
      <c r="C499" t="s">
        <v>105</v>
      </c>
      <c r="E499" t="s">
        <v>1233</v>
      </c>
      <c r="F499" t="s">
        <v>668</v>
      </c>
      <c r="G499" t="s">
        <v>672</v>
      </c>
      <c r="H499" t="s">
        <v>113</v>
      </c>
      <c r="L499" t="str">
        <f>_xlfn.TEXTJOIN("", TRUE, D499:J499)</f>
        <v>02_Slots/Gottheit/Goetter-mit-Epitheta/0090_Aton/epitheta/03_m-rn=f-m-jt-Ra-jj-m-jtn/0001_m-rn=f-m-jt-Ra-jj-m-jtn_01.png</v>
      </c>
    </row>
    <row r="500" spans="1:12" x14ac:dyDescent="0.2">
      <c r="A500" t="s">
        <v>650</v>
      </c>
      <c r="B500" s="27">
        <v>3</v>
      </c>
      <c r="C500" t="s">
        <v>27</v>
      </c>
      <c r="L500" t="s">
        <v>697</v>
      </c>
    </row>
    <row r="502" spans="1:12" x14ac:dyDescent="0.2">
      <c r="A502" t="s">
        <v>650</v>
      </c>
      <c r="B502" s="27">
        <v>4</v>
      </c>
      <c r="C502" t="s">
        <v>39</v>
      </c>
      <c r="L502" t="s">
        <v>673</v>
      </c>
    </row>
    <row r="503" spans="1:12" x14ac:dyDescent="0.2">
      <c r="A503" t="s">
        <v>650</v>
      </c>
      <c r="B503" s="27">
        <v>4</v>
      </c>
      <c r="C503" t="s">
        <v>105</v>
      </c>
      <c r="E503" t="s">
        <v>1233</v>
      </c>
      <c r="F503" t="s">
        <v>670</v>
      </c>
      <c r="G503" t="s">
        <v>671</v>
      </c>
      <c r="H503" t="s">
        <v>113</v>
      </c>
      <c r="L503" t="str">
        <f>_xlfn.TEXTJOIN("", TRUE, D503:J503)</f>
        <v>02_Slots/Gottheit/Goetter-mit-Epitheta/0090_Aton/epitheta/04_m-rn=f-m-Sw-nty-m-jtn_01/0001_m-rn=f-m-Sw-nty-m-jtn_01.png</v>
      </c>
    </row>
    <row r="504" spans="1:12" x14ac:dyDescent="0.2">
      <c r="A504" t="s">
        <v>650</v>
      </c>
      <c r="B504" s="27">
        <v>4</v>
      </c>
      <c r="C504" t="s">
        <v>27</v>
      </c>
      <c r="L504" t="s">
        <v>696</v>
      </c>
    </row>
    <row r="506" spans="1:12" x14ac:dyDescent="0.2">
      <c r="A506" t="s">
        <v>650</v>
      </c>
      <c r="B506" s="27">
        <v>5</v>
      </c>
      <c r="C506" t="s">
        <v>39</v>
      </c>
      <c r="L506" t="s">
        <v>682</v>
      </c>
    </row>
    <row r="507" spans="1:12" x14ac:dyDescent="0.2">
      <c r="A507" t="s">
        <v>650</v>
      </c>
      <c r="B507" s="27">
        <v>5</v>
      </c>
      <c r="C507" t="s">
        <v>105</v>
      </c>
      <c r="E507" t="s">
        <v>1233</v>
      </c>
      <c r="F507" t="s">
        <v>674</v>
      </c>
      <c r="G507" t="s">
        <v>678</v>
      </c>
      <c r="H507" t="s">
        <v>113</v>
      </c>
      <c r="I507" t="s">
        <v>1198</v>
      </c>
      <c r="J507" t="s">
        <v>1206</v>
      </c>
      <c r="K507" t="s">
        <v>1200</v>
      </c>
      <c r="L507" t="str">
        <f>_xlfn.TEXTJOIN("", TRUE, D507:K507)</f>
        <v>02_Slots/Gottheit/Goetter-mit-Epitheta/0090_Aton/epitheta/05_pA-jtn/0001_pA-jtn_D.18_01.png &lt;sup&gt;(D.18)&lt;/sup&gt;</v>
      </c>
    </row>
    <row r="508" spans="1:12" x14ac:dyDescent="0.2">
      <c r="A508" t="s">
        <v>650</v>
      </c>
      <c r="B508" s="27">
        <v>5</v>
      </c>
      <c r="C508" t="s">
        <v>27</v>
      </c>
      <c r="L508" t="s">
        <v>686</v>
      </c>
    </row>
    <row r="510" spans="1:12" x14ac:dyDescent="0.2">
      <c r="A510" t="s">
        <v>650</v>
      </c>
      <c r="B510" s="27">
        <v>6</v>
      </c>
      <c r="C510" t="s">
        <v>39</v>
      </c>
      <c r="L510" t="s">
        <v>683</v>
      </c>
    </row>
    <row r="511" spans="1:12" x14ac:dyDescent="0.2">
      <c r="A511" t="s">
        <v>650</v>
      </c>
      <c r="B511" s="27">
        <v>6</v>
      </c>
      <c r="C511" t="s">
        <v>105</v>
      </c>
      <c r="E511" t="s">
        <v>1233</v>
      </c>
      <c r="F511" t="s">
        <v>675</v>
      </c>
      <c r="G511" t="s">
        <v>679</v>
      </c>
      <c r="H511" t="s">
        <v>113</v>
      </c>
      <c r="I511" t="s">
        <v>1198</v>
      </c>
      <c r="J511" t="s">
        <v>1206</v>
      </c>
      <c r="K511" t="s">
        <v>1200</v>
      </c>
      <c r="L511" t="str">
        <f>_xlfn.TEXTJOIN("", TRUE, D511:K511)</f>
        <v>02_Slots/Gottheit/Goetter-mit-Epitheta/0090_Aton/epitheta/06_pA-jtn-anx/0001_pA-jtn-anx_D.18_01.png &lt;sup&gt;(D.18)&lt;/sup&gt;</v>
      </c>
    </row>
    <row r="512" spans="1:12" x14ac:dyDescent="0.2">
      <c r="A512" t="s">
        <v>650</v>
      </c>
      <c r="B512" s="27">
        <v>6</v>
      </c>
      <c r="C512" t="s">
        <v>27</v>
      </c>
      <c r="L512" t="s">
        <v>698</v>
      </c>
    </row>
    <row r="514" spans="1:12" x14ac:dyDescent="0.2">
      <c r="A514" t="s">
        <v>650</v>
      </c>
      <c r="B514" s="27">
        <v>7</v>
      </c>
      <c r="C514" t="s">
        <v>39</v>
      </c>
      <c r="L514" t="s">
        <v>684</v>
      </c>
    </row>
    <row r="515" spans="1:12" x14ac:dyDescent="0.2">
      <c r="A515" t="s">
        <v>650</v>
      </c>
      <c r="B515" s="27">
        <v>7</v>
      </c>
      <c r="C515" t="s">
        <v>105</v>
      </c>
      <c r="E515" t="s">
        <v>1233</v>
      </c>
      <c r="F515" t="s">
        <v>676</v>
      </c>
      <c r="G515" t="s">
        <v>680</v>
      </c>
      <c r="H515" t="s">
        <v>113</v>
      </c>
      <c r="I515" t="s">
        <v>1198</v>
      </c>
      <c r="J515" t="s">
        <v>1206</v>
      </c>
      <c r="K515" t="s">
        <v>1200</v>
      </c>
      <c r="L515" t="str">
        <f>_xlfn.TEXTJOIN("", TRUE, D515:K515)</f>
        <v>02_Slots/Gottheit/Goetter-mit-Epitheta/0090_Aton/epitheta/07_anx/0001_anx_D.18_01.png &lt;sup&gt;(D.18)&lt;/sup&gt;</v>
      </c>
    </row>
    <row r="516" spans="1:12" x14ac:dyDescent="0.2">
      <c r="A516" t="s">
        <v>650</v>
      </c>
      <c r="B516" s="27">
        <v>7</v>
      </c>
      <c r="C516" t="s">
        <v>27</v>
      </c>
      <c r="L516" t="s">
        <v>687</v>
      </c>
    </row>
    <row r="518" spans="1:12" x14ac:dyDescent="0.2">
      <c r="A518" t="s">
        <v>650</v>
      </c>
      <c r="B518" s="27">
        <v>8</v>
      </c>
      <c r="C518" t="s">
        <v>39</v>
      </c>
      <c r="L518" t="s">
        <v>685</v>
      </c>
    </row>
    <row r="519" spans="1:12" x14ac:dyDescent="0.2">
      <c r="A519" t="s">
        <v>650</v>
      </c>
      <c r="B519" s="27">
        <v>8</v>
      </c>
      <c r="C519" t="s">
        <v>105</v>
      </c>
      <c r="E519" t="s">
        <v>1233</v>
      </c>
      <c r="F519" t="s">
        <v>677</v>
      </c>
      <c r="G519" t="s">
        <v>681</v>
      </c>
      <c r="H519" t="s">
        <v>113</v>
      </c>
      <c r="L519" t="str">
        <f>_xlfn.TEXTJOIN("", TRUE, D519:J519)</f>
        <v>02_Slots/Gottheit/Goetter-mit-Epitheta/0090_Aton/epitheta/08_jmj-jtn=f/0001_jmj-jtn=f_01.png</v>
      </c>
    </row>
    <row r="520" spans="1:12" x14ac:dyDescent="0.2">
      <c r="A520" t="s">
        <v>650</v>
      </c>
      <c r="B520" s="27">
        <v>8</v>
      </c>
      <c r="C520" t="s">
        <v>27</v>
      </c>
      <c r="L520" t="s">
        <v>699</v>
      </c>
    </row>
    <row r="524" spans="1:12" x14ac:dyDescent="0.2">
      <c r="A524" t="s">
        <v>60</v>
      </c>
      <c r="B524" s="28">
        <v>100</v>
      </c>
      <c r="C524" t="s">
        <v>39</v>
      </c>
      <c r="L524" t="s">
        <v>692</v>
      </c>
    </row>
    <row r="525" spans="1:12" x14ac:dyDescent="0.2">
      <c r="A525" t="s">
        <v>60</v>
      </c>
      <c r="B525" s="28">
        <v>100</v>
      </c>
      <c r="C525" t="s">
        <v>105</v>
      </c>
      <c r="E525" t="s">
        <v>1234</v>
      </c>
      <c r="G525" t="s">
        <v>688</v>
      </c>
      <c r="H525" t="s">
        <v>113</v>
      </c>
      <c r="L525" t="str">
        <f>_xlfn.TEXTJOIN("", TRUE, D525:J525)</f>
        <v>02_Slots/Gottheit/Goetter-mit-Epitheta/0100_Wepwaut/0001_wpj-wA.wt_01.png</v>
      </c>
    </row>
    <row r="526" spans="1:12" x14ac:dyDescent="0.2">
      <c r="A526" t="s">
        <v>60</v>
      </c>
      <c r="B526" s="28">
        <v>100</v>
      </c>
      <c r="C526" t="s">
        <v>105</v>
      </c>
      <c r="E526" t="s">
        <v>1234</v>
      </c>
      <c r="G526" t="s">
        <v>689</v>
      </c>
      <c r="H526" t="s">
        <v>113</v>
      </c>
      <c r="L526" t="str">
        <f>_xlfn.TEXTJOIN("", TRUE, D526:J526)</f>
        <v>02_Slots/Gottheit/Goetter-mit-Epitheta/0100_Wepwaut/0010_wpj-wA.wt_02.png</v>
      </c>
    </row>
    <row r="527" spans="1:12" x14ac:dyDescent="0.2">
      <c r="A527" t="s">
        <v>60</v>
      </c>
      <c r="B527" s="28">
        <v>100</v>
      </c>
      <c r="C527" t="s">
        <v>105</v>
      </c>
      <c r="E527" t="s">
        <v>1234</v>
      </c>
      <c r="G527" t="s">
        <v>690</v>
      </c>
      <c r="H527" t="s">
        <v>113</v>
      </c>
      <c r="L527" t="str">
        <f>_xlfn.TEXTJOIN("", TRUE, D527:J527)</f>
        <v>02_Slots/Gottheit/Goetter-mit-Epitheta/0100_Wepwaut/0020_wpj-wA.wt_03.png</v>
      </c>
    </row>
    <row r="528" spans="1:12" x14ac:dyDescent="0.2">
      <c r="A528" t="s">
        <v>60</v>
      </c>
      <c r="B528" s="28">
        <v>100</v>
      </c>
      <c r="C528" t="s">
        <v>105</v>
      </c>
      <c r="E528" t="s">
        <v>1234</v>
      </c>
      <c r="G528" t="s">
        <v>691</v>
      </c>
      <c r="H528" t="s">
        <v>113</v>
      </c>
      <c r="L528" t="str">
        <f>_xlfn.TEXTJOIN("", TRUE, D528:J528)</f>
        <v>02_Slots/Gottheit/Goetter-mit-Epitheta/0100_Wepwaut/0040_wpj-wA.wt_04.png</v>
      </c>
    </row>
    <row r="529" spans="1:12" x14ac:dyDescent="0.2">
      <c r="A529" t="s">
        <v>60</v>
      </c>
      <c r="B529" s="28">
        <v>100</v>
      </c>
      <c r="C529" t="s">
        <v>106</v>
      </c>
    </row>
    <row r="530" spans="1:12" x14ac:dyDescent="0.2">
      <c r="A530" t="s">
        <v>60</v>
      </c>
      <c r="B530" s="28">
        <v>100</v>
      </c>
      <c r="C530" t="s">
        <v>107</v>
      </c>
      <c r="L530" t="s">
        <v>135</v>
      </c>
    </row>
    <row r="531" spans="1:12" x14ac:dyDescent="0.2">
      <c r="A531" t="s">
        <v>60</v>
      </c>
      <c r="B531" s="28">
        <v>100</v>
      </c>
      <c r="C531" t="s">
        <v>108</v>
      </c>
    </row>
    <row r="532" spans="1:12" x14ac:dyDescent="0.2">
      <c r="B532" s="28"/>
    </row>
    <row r="533" spans="1:12" x14ac:dyDescent="0.2">
      <c r="B533" s="28"/>
    </row>
    <row r="534" spans="1:12" x14ac:dyDescent="0.2">
      <c r="A534" t="s">
        <v>60</v>
      </c>
      <c r="B534" s="28">
        <v>110</v>
      </c>
      <c r="C534" t="s">
        <v>39</v>
      </c>
      <c r="L534" t="s">
        <v>405</v>
      </c>
    </row>
    <row r="535" spans="1:12" x14ac:dyDescent="0.2">
      <c r="A535" t="s">
        <v>60</v>
      </c>
      <c r="B535" s="28">
        <v>110</v>
      </c>
      <c r="C535" t="s">
        <v>105</v>
      </c>
      <c r="E535" t="s">
        <v>1235</v>
      </c>
      <c r="G535" t="s">
        <v>732</v>
      </c>
      <c r="H535" t="s">
        <v>113</v>
      </c>
      <c r="L535" t="str">
        <f t="shared" ref="L535:L545" si="88">_xlfn.TEXTJOIN("", TRUE, D535:J535)</f>
        <v>02_Slots/Gottheit/Goetter-mit-Epitheta/0110_Osiris/0001_wsjr_01.png</v>
      </c>
    </row>
    <row r="536" spans="1:12" x14ac:dyDescent="0.2">
      <c r="A536" t="s">
        <v>60</v>
      </c>
      <c r="B536" s="28">
        <v>110</v>
      </c>
      <c r="C536" t="s">
        <v>105</v>
      </c>
      <c r="E536" t="s">
        <v>1235</v>
      </c>
      <c r="G536" t="s">
        <v>733</v>
      </c>
      <c r="H536" t="s">
        <v>113</v>
      </c>
      <c r="L536" t="str">
        <f t="shared" si="88"/>
        <v>02_Slots/Gottheit/Goetter-mit-Epitheta/0110_Osiris/0010_wsjr_02.png</v>
      </c>
    </row>
    <row r="537" spans="1:12" x14ac:dyDescent="0.2">
      <c r="A537" t="s">
        <v>60</v>
      </c>
      <c r="B537" s="28">
        <v>110</v>
      </c>
      <c r="C537" t="s">
        <v>105</v>
      </c>
      <c r="E537" t="s">
        <v>1235</v>
      </c>
      <c r="G537" t="s">
        <v>734</v>
      </c>
      <c r="H537" t="s">
        <v>113</v>
      </c>
      <c r="L537" t="str">
        <f t="shared" si="88"/>
        <v>02_Slots/Gottheit/Goetter-mit-Epitheta/0110_Osiris/0020_wsjr_03.png</v>
      </c>
    </row>
    <row r="538" spans="1:12" x14ac:dyDescent="0.2">
      <c r="A538" t="s">
        <v>60</v>
      </c>
      <c r="B538" s="28">
        <v>110</v>
      </c>
      <c r="C538" t="s">
        <v>105</v>
      </c>
      <c r="E538" t="s">
        <v>1235</v>
      </c>
      <c r="G538" t="s">
        <v>735</v>
      </c>
      <c r="H538" t="s">
        <v>113</v>
      </c>
      <c r="I538" t="s">
        <v>1198</v>
      </c>
      <c r="J538" t="s">
        <v>1202</v>
      </c>
      <c r="K538" t="s">
        <v>1200</v>
      </c>
      <c r="L538" t="str">
        <f t="shared" ref="L538:L544" si="89">_xlfn.TEXTJOIN("", TRUE, D538:K538)</f>
        <v>02_Slots/Gottheit/Goetter-mit-Epitheta/0110_Osiris/0030_wsjr_MR_01.png &lt;sup&gt;(MR)&lt;/sup&gt;</v>
      </c>
    </row>
    <row r="539" spans="1:12" x14ac:dyDescent="0.2">
      <c r="A539" t="s">
        <v>60</v>
      </c>
      <c r="B539" s="28">
        <v>110</v>
      </c>
      <c r="C539" t="s">
        <v>105</v>
      </c>
      <c r="E539" t="s">
        <v>1235</v>
      </c>
      <c r="G539" t="s">
        <v>736</v>
      </c>
      <c r="H539" t="s">
        <v>113</v>
      </c>
      <c r="I539" t="s">
        <v>1198</v>
      </c>
      <c r="J539" t="s">
        <v>1202</v>
      </c>
      <c r="K539" t="s">
        <v>1200</v>
      </c>
      <c r="L539" t="str">
        <f t="shared" si="89"/>
        <v>02_Slots/Gottheit/Goetter-mit-Epitheta/0110_Osiris/0040_wsjr_MR_02.png &lt;sup&gt;(MR)&lt;/sup&gt;</v>
      </c>
    </row>
    <row r="540" spans="1:12" x14ac:dyDescent="0.2">
      <c r="A540" t="s">
        <v>60</v>
      </c>
      <c r="B540" s="28">
        <v>110</v>
      </c>
      <c r="C540" t="s">
        <v>105</v>
      </c>
      <c r="E540" t="s">
        <v>1235</v>
      </c>
      <c r="G540" t="s">
        <v>737</v>
      </c>
      <c r="H540" t="s">
        <v>113</v>
      </c>
      <c r="I540" t="s">
        <v>1198</v>
      </c>
      <c r="J540" t="s">
        <v>1202</v>
      </c>
      <c r="K540" t="s">
        <v>1200</v>
      </c>
      <c r="L540" t="str">
        <f t="shared" si="89"/>
        <v>02_Slots/Gottheit/Goetter-mit-Epitheta/0110_Osiris/0050_wsjr_MR_03.png &lt;sup&gt;(MR)&lt;/sup&gt;</v>
      </c>
    </row>
    <row r="541" spans="1:12" x14ac:dyDescent="0.2">
      <c r="A541" t="s">
        <v>60</v>
      </c>
      <c r="B541" s="28">
        <v>110</v>
      </c>
      <c r="C541" t="s">
        <v>105</v>
      </c>
      <c r="E541" t="s">
        <v>1235</v>
      </c>
      <c r="G541" t="s">
        <v>738</v>
      </c>
      <c r="H541" t="s">
        <v>113</v>
      </c>
      <c r="I541" t="s">
        <v>1198</v>
      </c>
      <c r="J541" t="s">
        <v>1201</v>
      </c>
      <c r="K541" t="s">
        <v>1200</v>
      </c>
      <c r="L541" t="str">
        <f t="shared" si="89"/>
        <v>02_Slots/Gottheit/Goetter-mit-Epitheta/0110_Osiris/0060_wsjr_GR_01.png &lt;sup&gt;(Gr.)&lt;/sup&gt;</v>
      </c>
    </row>
    <row r="542" spans="1:12" x14ac:dyDescent="0.2">
      <c r="A542" t="s">
        <v>60</v>
      </c>
      <c r="B542" s="28">
        <v>110</v>
      </c>
      <c r="C542" t="s">
        <v>105</v>
      </c>
      <c r="E542" t="s">
        <v>1235</v>
      </c>
      <c r="G542" t="s">
        <v>739</v>
      </c>
      <c r="H542" t="s">
        <v>113</v>
      </c>
      <c r="I542" t="s">
        <v>1198</v>
      </c>
      <c r="J542" t="s">
        <v>1201</v>
      </c>
      <c r="K542" t="s">
        <v>1200</v>
      </c>
      <c r="L542" t="str">
        <f t="shared" si="89"/>
        <v>02_Slots/Gottheit/Goetter-mit-Epitheta/0110_Osiris/0070_wsjr_GR_02.png &lt;sup&gt;(Gr.)&lt;/sup&gt;</v>
      </c>
    </row>
    <row r="543" spans="1:12" x14ac:dyDescent="0.2">
      <c r="A543" t="s">
        <v>60</v>
      </c>
      <c r="B543" s="28">
        <v>110</v>
      </c>
      <c r="C543" t="s">
        <v>105</v>
      </c>
      <c r="E543" t="s">
        <v>1235</v>
      </c>
      <c r="G543" t="s">
        <v>740</v>
      </c>
      <c r="H543" t="s">
        <v>113</v>
      </c>
      <c r="I543" t="s">
        <v>1198</v>
      </c>
      <c r="J543" t="s">
        <v>1201</v>
      </c>
      <c r="K543" t="s">
        <v>1200</v>
      </c>
      <c r="L543" t="str">
        <f t="shared" si="89"/>
        <v>02_Slots/Gottheit/Goetter-mit-Epitheta/0110_Osiris/0080_wsjr_GR_03.png &lt;sup&gt;(Gr.)&lt;/sup&gt;</v>
      </c>
    </row>
    <row r="544" spans="1:12" x14ac:dyDescent="0.2">
      <c r="A544" t="s">
        <v>60</v>
      </c>
      <c r="B544" s="28">
        <v>110</v>
      </c>
      <c r="C544" t="s">
        <v>105</v>
      </c>
      <c r="E544" t="s">
        <v>1235</v>
      </c>
      <c r="G544" t="s">
        <v>741</v>
      </c>
      <c r="H544" t="s">
        <v>113</v>
      </c>
      <c r="I544" t="s">
        <v>1198</v>
      </c>
      <c r="J544" t="s">
        <v>1201</v>
      </c>
      <c r="K544" t="s">
        <v>1200</v>
      </c>
      <c r="L544" t="str">
        <f t="shared" si="89"/>
        <v>02_Slots/Gottheit/Goetter-mit-Epitheta/0110_Osiris/0090_wsjr_GR_04.png &lt;sup&gt;(Gr.)&lt;/sup&gt;</v>
      </c>
    </row>
    <row r="545" spans="1:12" x14ac:dyDescent="0.2">
      <c r="A545" t="s">
        <v>60</v>
      </c>
      <c r="B545" s="28">
        <v>110</v>
      </c>
      <c r="C545" t="s">
        <v>106</v>
      </c>
      <c r="E545" t="s">
        <v>1235</v>
      </c>
      <c r="F545" t="s">
        <v>111</v>
      </c>
      <c r="G545" t="s">
        <v>742</v>
      </c>
      <c r="H545" t="s">
        <v>113</v>
      </c>
      <c r="L545" t="str">
        <f t="shared" si="88"/>
        <v>02_Slots/Gottheit/Goetter-mit-Epitheta/0110_Osiris/det/0001_wsjr_det_01.png</v>
      </c>
    </row>
    <row r="546" spans="1:12" x14ac:dyDescent="0.2">
      <c r="A546" t="s">
        <v>60</v>
      </c>
      <c r="B546" s="28">
        <v>110</v>
      </c>
      <c r="C546" t="s">
        <v>107</v>
      </c>
      <c r="L546" t="s">
        <v>136</v>
      </c>
    </row>
    <row r="547" spans="1:12" x14ac:dyDescent="0.2">
      <c r="A547" t="s">
        <v>60</v>
      </c>
      <c r="B547" s="28">
        <v>110</v>
      </c>
      <c r="C547" t="s">
        <v>108</v>
      </c>
      <c r="L547" t="s">
        <v>1174</v>
      </c>
    </row>
    <row r="549" spans="1:12" x14ac:dyDescent="0.2">
      <c r="A549" t="s">
        <v>743</v>
      </c>
      <c r="B549" s="27">
        <v>1</v>
      </c>
      <c r="C549" t="s">
        <v>39</v>
      </c>
      <c r="L549" t="s">
        <v>744</v>
      </c>
    </row>
    <row r="550" spans="1:12" x14ac:dyDescent="0.2">
      <c r="A550" t="s">
        <v>743</v>
      </c>
      <c r="B550" s="27">
        <v>1</v>
      </c>
      <c r="C550" t="s">
        <v>105</v>
      </c>
      <c r="E550" t="s">
        <v>1235</v>
      </c>
      <c r="F550" t="s">
        <v>755</v>
      </c>
      <c r="G550" t="s">
        <v>762</v>
      </c>
      <c r="H550" t="s">
        <v>113</v>
      </c>
      <c r="L550" t="str">
        <f>_xlfn.TEXTJOIN("", TRUE, D550:J550)</f>
        <v>02_Slots/Gottheit/Goetter-mit-Epitheta/0110_Osiris/epitheta/01_nb-AbDw/0001_nb-AbDw_01.png</v>
      </c>
    </row>
    <row r="551" spans="1:12" x14ac:dyDescent="0.2">
      <c r="A551" t="s">
        <v>743</v>
      </c>
      <c r="B551" s="27">
        <v>1</v>
      </c>
      <c r="C551" t="s">
        <v>105</v>
      </c>
      <c r="E551" t="s">
        <v>1235</v>
      </c>
      <c r="F551" t="s">
        <v>755</v>
      </c>
      <c r="G551" t="s">
        <v>763</v>
      </c>
      <c r="H551" t="s">
        <v>113</v>
      </c>
      <c r="L551" t="str">
        <f>_xlfn.TEXTJOIN("", TRUE, D551:J551)</f>
        <v>02_Slots/Gottheit/Goetter-mit-Epitheta/0110_Osiris/epitheta/01_nb-AbDw/0010_nb-AbDw_02.png</v>
      </c>
    </row>
    <row r="552" spans="1:12" x14ac:dyDescent="0.2">
      <c r="A552" t="s">
        <v>743</v>
      </c>
      <c r="B552" s="27">
        <v>1</v>
      </c>
      <c r="C552" t="s">
        <v>105</v>
      </c>
      <c r="E552" t="s">
        <v>1235</v>
      </c>
      <c r="F552" t="s">
        <v>755</v>
      </c>
      <c r="G552" t="s">
        <v>764</v>
      </c>
      <c r="H552" t="s">
        <v>113</v>
      </c>
      <c r="L552" t="str">
        <f>_xlfn.TEXTJOIN("", TRUE, D552:J552)</f>
        <v>02_Slots/Gottheit/Goetter-mit-Epitheta/0110_Osiris/epitheta/01_nb-AbDw/0020_nb-AbDw_03.png</v>
      </c>
    </row>
    <row r="553" spans="1:12" x14ac:dyDescent="0.2">
      <c r="A553" t="s">
        <v>743</v>
      </c>
      <c r="B553" s="27">
        <v>1</v>
      </c>
      <c r="C553" t="s">
        <v>105</v>
      </c>
      <c r="E553" t="s">
        <v>1235</v>
      </c>
      <c r="F553" t="s">
        <v>755</v>
      </c>
      <c r="G553" t="s">
        <v>765</v>
      </c>
      <c r="H553" t="s">
        <v>113</v>
      </c>
      <c r="I553" t="s">
        <v>1198</v>
      </c>
      <c r="J553" t="s">
        <v>1153</v>
      </c>
      <c r="K553" t="s">
        <v>1200</v>
      </c>
      <c r="L553" t="str">
        <f t="shared" ref="L553:L554" si="90">_xlfn.TEXTJOIN("", TRUE, D553:K553)</f>
        <v>02_Slots/Gottheit/Goetter-mit-Epitheta/0110_Osiris/epitheta/01_nb-AbDw/0030_nb-AbDw_NR_01.png &lt;sup&gt;(NR)&lt;/sup&gt;</v>
      </c>
    </row>
    <row r="554" spans="1:12" x14ac:dyDescent="0.2">
      <c r="A554" t="s">
        <v>743</v>
      </c>
      <c r="B554" s="27">
        <v>1</v>
      </c>
      <c r="C554" t="s">
        <v>105</v>
      </c>
      <c r="E554" t="s">
        <v>1235</v>
      </c>
      <c r="F554" t="s">
        <v>755</v>
      </c>
      <c r="G554" t="s">
        <v>766</v>
      </c>
      <c r="H554" t="s">
        <v>113</v>
      </c>
      <c r="I554" t="s">
        <v>1198</v>
      </c>
      <c r="J554" t="s">
        <v>1201</v>
      </c>
      <c r="K554" t="s">
        <v>1200</v>
      </c>
      <c r="L554" t="str">
        <f t="shared" si="90"/>
        <v>02_Slots/Gottheit/Goetter-mit-Epitheta/0110_Osiris/epitheta/01_nb-AbDw/0040_nb-AbDw_GR_01.png &lt;sup&gt;(Gr.)&lt;/sup&gt;</v>
      </c>
    </row>
    <row r="555" spans="1:12" x14ac:dyDescent="0.2">
      <c r="A555" t="s">
        <v>743</v>
      </c>
      <c r="B555" s="27">
        <v>1</v>
      </c>
      <c r="C555" t="s">
        <v>27</v>
      </c>
      <c r="L555" t="s">
        <v>745</v>
      </c>
    </row>
    <row r="557" spans="1:12" x14ac:dyDescent="0.2">
      <c r="A557" t="s">
        <v>743</v>
      </c>
      <c r="B557" s="27">
        <v>2</v>
      </c>
      <c r="C557" t="s">
        <v>39</v>
      </c>
      <c r="L557" t="s">
        <v>746</v>
      </c>
    </row>
    <row r="558" spans="1:12" x14ac:dyDescent="0.2">
      <c r="A558" t="s">
        <v>743</v>
      </c>
      <c r="B558" s="27">
        <v>2</v>
      </c>
      <c r="C558" t="s">
        <v>105</v>
      </c>
      <c r="E558" t="s">
        <v>1235</v>
      </c>
      <c r="F558" t="s">
        <v>756</v>
      </c>
      <c r="G558" t="s">
        <v>767</v>
      </c>
      <c r="H558" t="s">
        <v>113</v>
      </c>
      <c r="L558" t="str">
        <f t="shared" ref="L558:L565" si="91">_xlfn.TEXTJOIN("", TRUE, D558:J558)</f>
        <v>02_Slots/Gottheit/Goetter-mit-Epitheta/0110_Osiris/epitheta/02_nb-Dd.w/0001_nb-Dd.w_01.png</v>
      </c>
    </row>
    <row r="559" spans="1:12" x14ac:dyDescent="0.2">
      <c r="A559" t="s">
        <v>743</v>
      </c>
      <c r="B559" s="27">
        <v>2</v>
      </c>
      <c r="C559" t="s">
        <v>105</v>
      </c>
      <c r="E559" t="s">
        <v>1235</v>
      </c>
      <c r="F559" t="s">
        <v>756</v>
      </c>
      <c r="G559" t="s">
        <v>768</v>
      </c>
      <c r="L559" t="str">
        <f t="shared" si="91"/>
        <v>02_Slots/Gottheit/Goetter-mit-Epitheta/0110_Osiris/epitheta/02_nb-Dd.w/0010_nb-Dd.w_02.png</v>
      </c>
    </row>
    <row r="560" spans="1:12" x14ac:dyDescent="0.2">
      <c r="A560" t="s">
        <v>743</v>
      </c>
      <c r="B560" s="27">
        <v>2</v>
      </c>
      <c r="C560" t="s">
        <v>105</v>
      </c>
      <c r="E560" t="s">
        <v>1235</v>
      </c>
      <c r="F560" t="s">
        <v>756</v>
      </c>
      <c r="G560" t="s">
        <v>769</v>
      </c>
      <c r="L560" t="str">
        <f t="shared" si="91"/>
        <v>02_Slots/Gottheit/Goetter-mit-Epitheta/0110_Osiris/epitheta/02_nb-Dd.w/0020_nb-Dd.w_03.png</v>
      </c>
    </row>
    <row r="561" spans="1:12" x14ac:dyDescent="0.2">
      <c r="A561" t="s">
        <v>743</v>
      </c>
      <c r="B561" s="27">
        <v>2</v>
      </c>
      <c r="C561" t="s">
        <v>105</v>
      </c>
      <c r="E561" t="s">
        <v>1235</v>
      </c>
      <c r="F561" t="s">
        <v>756</v>
      </c>
      <c r="G561" t="s">
        <v>770</v>
      </c>
      <c r="L561" t="str">
        <f t="shared" si="91"/>
        <v>02_Slots/Gottheit/Goetter-mit-Epitheta/0110_Osiris/epitheta/02_nb-Dd.w/0030_nb-Dd.w_04.png</v>
      </c>
    </row>
    <row r="562" spans="1:12" x14ac:dyDescent="0.2">
      <c r="A562" t="s">
        <v>743</v>
      </c>
      <c r="B562" s="27">
        <v>2</v>
      </c>
      <c r="C562" t="s">
        <v>105</v>
      </c>
      <c r="E562" t="s">
        <v>1235</v>
      </c>
      <c r="F562" t="s">
        <v>756</v>
      </c>
      <c r="G562" t="s">
        <v>771</v>
      </c>
      <c r="L562" t="str">
        <f t="shared" si="91"/>
        <v>02_Slots/Gottheit/Goetter-mit-Epitheta/0110_Osiris/epitheta/02_nb-Dd.w/0040_nb-Dd.w_05.png</v>
      </c>
    </row>
    <row r="563" spans="1:12" x14ac:dyDescent="0.2">
      <c r="A563" t="s">
        <v>743</v>
      </c>
      <c r="B563" s="27">
        <v>2</v>
      </c>
      <c r="C563" t="s">
        <v>105</v>
      </c>
      <c r="E563" t="s">
        <v>1235</v>
      </c>
      <c r="F563" t="s">
        <v>756</v>
      </c>
      <c r="G563" t="s">
        <v>772</v>
      </c>
      <c r="L563" t="str">
        <f t="shared" si="91"/>
        <v>02_Slots/Gottheit/Goetter-mit-Epitheta/0110_Osiris/epitheta/02_nb-Dd.w/0050_nb-Dd.w_06.png</v>
      </c>
    </row>
    <row r="564" spans="1:12" x14ac:dyDescent="0.2">
      <c r="A564" t="s">
        <v>743</v>
      </c>
      <c r="B564" s="27">
        <v>2</v>
      </c>
      <c r="C564" t="s">
        <v>105</v>
      </c>
      <c r="E564" t="s">
        <v>1235</v>
      </c>
      <c r="F564" t="s">
        <v>756</v>
      </c>
      <c r="G564" t="s">
        <v>773</v>
      </c>
      <c r="L564" t="str">
        <f t="shared" si="91"/>
        <v>02_Slots/Gottheit/Goetter-mit-Epitheta/0110_Osiris/epitheta/02_nb-Dd.w/0060_nb-Dd.w_07.png</v>
      </c>
    </row>
    <row r="565" spans="1:12" x14ac:dyDescent="0.2">
      <c r="A565" t="s">
        <v>743</v>
      </c>
      <c r="B565" s="27">
        <v>2</v>
      </c>
      <c r="C565" t="s">
        <v>105</v>
      </c>
      <c r="E565" t="s">
        <v>1235</v>
      </c>
      <c r="F565" t="s">
        <v>756</v>
      </c>
      <c r="G565" t="s">
        <v>774</v>
      </c>
      <c r="L565" t="str">
        <f t="shared" si="91"/>
        <v>02_Slots/Gottheit/Goetter-mit-Epitheta/0110_Osiris/epitheta/02_nb-Dd.w/0070_nb-Dd.w_08.png</v>
      </c>
    </row>
    <row r="566" spans="1:12" x14ac:dyDescent="0.2">
      <c r="A566" t="s">
        <v>743</v>
      </c>
      <c r="B566" s="27">
        <v>2</v>
      </c>
      <c r="C566" t="s">
        <v>105</v>
      </c>
      <c r="E566" t="s">
        <v>1235</v>
      </c>
      <c r="F566" t="s">
        <v>756</v>
      </c>
      <c r="G566" t="s">
        <v>775</v>
      </c>
      <c r="I566" t="s">
        <v>1198</v>
      </c>
      <c r="J566" t="s">
        <v>1208</v>
      </c>
      <c r="K566" t="s">
        <v>1200</v>
      </c>
      <c r="L566" t="str">
        <f>_xlfn.TEXTJOIN("", TRUE, D566:K566)</f>
        <v>02_Slots/Gottheit/Goetter-mit-Epitheta/0110_Osiris/epitheta/02_nb-Dd.w/0080_nb-Dd.w_Pyr._01.png &lt;sup&gt;(Pyr.)&lt;/sup&gt;</v>
      </c>
    </row>
    <row r="567" spans="1:12" x14ac:dyDescent="0.2">
      <c r="A567" t="s">
        <v>743</v>
      </c>
      <c r="B567" s="27">
        <v>2</v>
      </c>
      <c r="C567" t="s">
        <v>27</v>
      </c>
      <c r="L567" t="s">
        <v>747</v>
      </c>
    </row>
    <row r="569" spans="1:12" x14ac:dyDescent="0.2">
      <c r="A569" t="s">
        <v>743</v>
      </c>
      <c r="B569" s="27">
        <v>3</v>
      </c>
      <c r="C569" t="s">
        <v>39</v>
      </c>
      <c r="L569" t="s">
        <v>621</v>
      </c>
    </row>
    <row r="570" spans="1:12" x14ac:dyDescent="0.2">
      <c r="A570" t="s">
        <v>743</v>
      </c>
      <c r="B570" s="27">
        <v>3</v>
      </c>
      <c r="C570" t="s">
        <v>105</v>
      </c>
      <c r="E570" t="s">
        <v>1235</v>
      </c>
      <c r="F570" t="s">
        <v>757</v>
      </c>
      <c r="G570" t="s">
        <v>776</v>
      </c>
      <c r="L570" t="str">
        <f>_xlfn.TEXTJOIN("", TRUE, D570:J570)</f>
        <v>02_Slots/Gottheit/Goetter-mit-Epitheta/0110_Osiris/epitheta/03_nb-tA-Dsr/0001_nb-tA-Dsr_01.png</v>
      </c>
    </row>
    <row r="571" spans="1:12" x14ac:dyDescent="0.2">
      <c r="A571" t="s">
        <v>743</v>
      </c>
      <c r="B571" s="27">
        <v>3</v>
      </c>
      <c r="C571" t="s">
        <v>27</v>
      </c>
      <c r="L571" t="s">
        <v>622</v>
      </c>
    </row>
    <row r="573" spans="1:12" x14ac:dyDescent="0.2">
      <c r="A573" t="s">
        <v>743</v>
      </c>
      <c r="B573" s="27">
        <v>4</v>
      </c>
      <c r="C573" t="s">
        <v>39</v>
      </c>
      <c r="L573" t="s">
        <v>748</v>
      </c>
    </row>
    <row r="574" spans="1:12" x14ac:dyDescent="0.2">
      <c r="A574" t="s">
        <v>743</v>
      </c>
      <c r="B574" s="27">
        <v>4</v>
      </c>
      <c r="C574" t="s">
        <v>105</v>
      </c>
      <c r="E574" t="s">
        <v>1235</v>
      </c>
      <c r="F574" t="s">
        <v>758</v>
      </c>
      <c r="G574" t="s">
        <v>777</v>
      </c>
      <c r="H574" t="s">
        <v>113</v>
      </c>
      <c r="L574" t="str">
        <f>_xlfn.TEXTJOIN("", TRUE, D574:J574)</f>
        <v>02_Slots/Gottheit/Goetter-mit-Epitheta/0110_Osiris/epitheta/04_m-tA-Dsr/0001_m-tA-Dsr_01.png</v>
      </c>
    </row>
    <row r="575" spans="1:12" x14ac:dyDescent="0.2">
      <c r="A575" t="s">
        <v>743</v>
      </c>
      <c r="B575" s="27">
        <v>4</v>
      </c>
      <c r="C575" t="s">
        <v>27</v>
      </c>
      <c r="L575" t="s">
        <v>749</v>
      </c>
    </row>
    <row r="577" spans="1:12" x14ac:dyDescent="0.2">
      <c r="A577" t="s">
        <v>743</v>
      </c>
      <c r="B577" s="27">
        <v>5</v>
      </c>
      <c r="C577" t="s">
        <v>39</v>
      </c>
      <c r="L577" t="s">
        <v>750</v>
      </c>
    </row>
    <row r="578" spans="1:12" x14ac:dyDescent="0.2">
      <c r="A578" t="s">
        <v>743</v>
      </c>
      <c r="B578" s="27">
        <v>5</v>
      </c>
      <c r="C578" t="s">
        <v>105</v>
      </c>
      <c r="E578" t="s">
        <v>1235</v>
      </c>
      <c r="F578" t="s">
        <v>759</v>
      </c>
      <c r="G578" t="s">
        <v>778</v>
      </c>
      <c r="L578" t="str">
        <f t="shared" ref="L578:L579" si="92">_xlfn.TEXTJOIN("", TRUE, D578:J578)</f>
        <v>02_Slots/Gottheit/Goetter-mit-Epitheta/0110_Osiris/epitheta/05_xnt.y-jmn.ty.w/0001_xnt.y-jmn.ty.w_01.png</v>
      </c>
    </row>
    <row r="579" spans="1:12" x14ac:dyDescent="0.2">
      <c r="A579" t="s">
        <v>743</v>
      </c>
      <c r="B579" s="27">
        <v>5</v>
      </c>
      <c r="C579" t="s">
        <v>105</v>
      </c>
      <c r="E579" t="s">
        <v>1235</v>
      </c>
      <c r="F579" t="s">
        <v>759</v>
      </c>
      <c r="G579" t="s">
        <v>779</v>
      </c>
      <c r="L579" t="str">
        <f t="shared" si="92"/>
        <v>02_Slots/Gottheit/Goetter-mit-Epitheta/0110_Osiris/epitheta/05_xnt.y-jmn.ty.w/0010_xnt.y-jmn.ty.w_02.png</v>
      </c>
    </row>
    <row r="580" spans="1:12" x14ac:dyDescent="0.2">
      <c r="A580" t="s">
        <v>743</v>
      </c>
      <c r="B580" s="27">
        <v>5</v>
      </c>
      <c r="C580" t="s">
        <v>105</v>
      </c>
      <c r="E580" t="s">
        <v>1235</v>
      </c>
      <c r="F580" t="s">
        <v>759</v>
      </c>
      <c r="G580" t="s">
        <v>780</v>
      </c>
      <c r="I580" t="s">
        <v>1198</v>
      </c>
      <c r="J580" t="s">
        <v>1199</v>
      </c>
      <c r="K580" t="s">
        <v>1200</v>
      </c>
      <c r="L580" t="str">
        <f t="shared" ref="L580:L584" si="93">_xlfn.TEXTJOIN("", TRUE, D580:K580)</f>
        <v>02_Slots/Gottheit/Goetter-mit-Epitheta/0110_Osiris/epitheta/05_xnt.y-jmn.ty.w/0020_xnt.y-jmn.ty.w_AR_01.png &lt;sup&gt;(AR)&lt;/sup&gt;</v>
      </c>
    </row>
    <row r="581" spans="1:12" x14ac:dyDescent="0.2">
      <c r="A581" t="s">
        <v>743</v>
      </c>
      <c r="B581" s="27">
        <v>5</v>
      </c>
      <c r="C581" t="s">
        <v>105</v>
      </c>
      <c r="E581" t="s">
        <v>1235</v>
      </c>
      <c r="F581" t="s">
        <v>759</v>
      </c>
      <c r="G581" t="s">
        <v>781</v>
      </c>
      <c r="I581" t="s">
        <v>1198</v>
      </c>
      <c r="J581" t="s">
        <v>1199</v>
      </c>
      <c r="K581" t="s">
        <v>1200</v>
      </c>
      <c r="L581" t="str">
        <f t="shared" si="93"/>
        <v>02_Slots/Gottheit/Goetter-mit-Epitheta/0110_Osiris/epitheta/05_xnt.y-jmn.ty.w/0030_xnt.y-jmn.ty.w_AR_02.png &lt;sup&gt;(AR)&lt;/sup&gt;</v>
      </c>
    </row>
    <row r="582" spans="1:12" x14ac:dyDescent="0.2">
      <c r="A582" t="s">
        <v>743</v>
      </c>
      <c r="B582" s="27">
        <v>5</v>
      </c>
      <c r="C582" t="s">
        <v>105</v>
      </c>
      <c r="E582" t="s">
        <v>1235</v>
      </c>
      <c r="F582" t="s">
        <v>759</v>
      </c>
      <c r="G582" t="s">
        <v>782</v>
      </c>
      <c r="I582" t="s">
        <v>1198</v>
      </c>
      <c r="J582" t="s">
        <v>1208</v>
      </c>
      <c r="K582" t="s">
        <v>1200</v>
      </c>
      <c r="L582" t="str">
        <f t="shared" si="93"/>
        <v>02_Slots/Gottheit/Goetter-mit-Epitheta/0110_Osiris/epitheta/05_xnt.y-jmn.ty.w/0040_xnt.y-jmn.ty.w_Pyr._01.png &lt;sup&gt;(Pyr.)&lt;/sup&gt;</v>
      </c>
    </row>
    <row r="583" spans="1:12" x14ac:dyDescent="0.2">
      <c r="A583" t="s">
        <v>743</v>
      </c>
      <c r="B583" s="27">
        <v>5</v>
      </c>
      <c r="C583" t="s">
        <v>105</v>
      </c>
      <c r="E583" t="s">
        <v>1235</v>
      </c>
      <c r="F583" t="s">
        <v>759</v>
      </c>
      <c r="G583" t="s">
        <v>783</v>
      </c>
      <c r="I583" t="s">
        <v>1198</v>
      </c>
      <c r="J583" t="s">
        <v>1202</v>
      </c>
      <c r="K583" t="s">
        <v>1200</v>
      </c>
      <c r="L583" t="str">
        <f t="shared" si="93"/>
        <v>02_Slots/Gottheit/Goetter-mit-Epitheta/0110_Osiris/epitheta/05_xnt.y-jmn.ty.w/0050_xnt.y-jmn.ty.w_MR_01.png &lt;sup&gt;(MR)&lt;/sup&gt;</v>
      </c>
    </row>
    <row r="584" spans="1:12" x14ac:dyDescent="0.2">
      <c r="A584" t="s">
        <v>743</v>
      </c>
      <c r="B584" s="27">
        <v>5</v>
      </c>
      <c r="C584" t="s">
        <v>105</v>
      </c>
      <c r="E584" t="s">
        <v>1235</v>
      </c>
      <c r="F584" t="s">
        <v>759</v>
      </c>
      <c r="G584" t="s">
        <v>784</v>
      </c>
      <c r="I584" t="s">
        <v>1198</v>
      </c>
      <c r="J584" t="s">
        <v>1218</v>
      </c>
      <c r="K584" t="s">
        <v>1200</v>
      </c>
      <c r="L584" t="str">
        <f t="shared" si="93"/>
        <v>02_Slots/Gottheit/Goetter-mit-Epitheta/0110_Osiris/epitheta/05_xnt.y-jmn.ty.w/0060_xnt.y-jmn.ty.w_typ.-ab-NR_01.png &lt;sup&gt;(ab NR)&lt;/sup&gt;</v>
      </c>
    </row>
    <row r="585" spans="1:12" x14ac:dyDescent="0.2">
      <c r="A585" t="s">
        <v>743</v>
      </c>
      <c r="B585" s="27">
        <v>5</v>
      </c>
      <c r="C585" t="s">
        <v>27</v>
      </c>
      <c r="L585" t="s">
        <v>751</v>
      </c>
    </row>
    <row r="587" spans="1:12" x14ac:dyDescent="0.2">
      <c r="A587" t="s">
        <v>743</v>
      </c>
      <c r="B587" s="27">
        <v>6</v>
      </c>
      <c r="C587" t="s">
        <v>39</v>
      </c>
      <c r="L587" t="s">
        <v>750</v>
      </c>
    </row>
    <row r="588" spans="1:12" x14ac:dyDescent="0.2">
      <c r="A588" t="s">
        <v>743</v>
      </c>
      <c r="B588" s="27">
        <v>6</v>
      </c>
      <c r="C588" t="s">
        <v>105</v>
      </c>
      <c r="E588" t="s">
        <v>1235</v>
      </c>
      <c r="F588" t="s">
        <v>760</v>
      </c>
      <c r="G588" t="s">
        <v>785</v>
      </c>
      <c r="L588" t="str">
        <f>_xlfn.TEXTJOIN("", TRUE, D588:J588)</f>
        <v>02_Slots/Gottheit/Goetter-mit-Epitheta/0110_Osiris/epitheta/06_xnt.y-jmn.t.t/0001_xnt.y-jmn.t.t_seit-NR_01.png</v>
      </c>
    </row>
    <row r="589" spans="1:12" x14ac:dyDescent="0.2">
      <c r="A589" t="s">
        <v>743</v>
      </c>
      <c r="B589" s="27">
        <v>6</v>
      </c>
      <c r="C589" t="s">
        <v>105</v>
      </c>
      <c r="E589" t="s">
        <v>1235</v>
      </c>
      <c r="F589" t="s">
        <v>760</v>
      </c>
      <c r="G589" t="s">
        <v>786</v>
      </c>
      <c r="L589" t="str">
        <f>_xlfn.TEXTJOIN("", TRUE, D589:J589)</f>
        <v>02_Slots/Gottheit/Goetter-mit-Epitheta/0110_Osiris/epitheta/06_xnt.y-jmn.t.t/0010_xnt.y-jmn.t.t_seit-NR_02.png</v>
      </c>
    </row>
    <row r="590" spans="1:12" x14ac:dyDescent="0.2">
      <c r="A590" t="s">
        <v>743</v>
      </c>
      <c r="B590" s="27">
        <v>6</v>
      </c>
      <c r="C590" t="s">
        <v>27</v>
      </c>
      <c r="L590" t="s">
        <v>752</v>
      </c>
    </row>
    <row r="592" spans="1:12" x14ac:dyDescent="0.2">
      <c r="A592" t="s">
        <v>743</v>
      </c>
      <c r="B592" s="27">
        <v>7</v>
      </c>
      <c r="C592" t="s">
        <v>39</v>
      </c>
      <c r="L592" t="s">
        <v>753</v>
      </c>
    </row>
    <row r="593" spans="1:12" x14ac:dyDescent="0.2">
      <c r="A593" t="s">
        <v>743</v>
      </c>
      <c r="B593" s="27">
        <v>7</v>
      </c>
      <c r="C593" t="s">
        <v>105</v>
      </c>
      <c r="E593" t="s">
        <v>1235</v>
      </c>
      <c r="F593" t="s">
        <v>761</v>
      </c>
      <c r="G593" t="s">
        <v>787</v>
      </c>
      <c r="H593" t="s">
        <v>113</v>
      </c>
      <c r="L593" t="str">
        <f>_xlfn.TEXTJOIN("", TRUE, D593:J593)</f>
        <v>02_Slots/Gottheit/Goetter-mit-Epitheta/0110_Osiris/epitheta/07_xnt.y-tA-Dsr/0001_xnt.y-tA-Dsr_01.png</v>
      </c>
    </row>
    <row r="594" spans="1:12" x14ac:dyDescent="0.2">
      <c r="A594" t="s">
        <v>743</v>
      </c>
      <c r="B594" s="27">
        <v>7</v>
      </c>
      <c r="C594" t="s">
        <v>27</v>
      </c>
      <c r="L594" t="s">
        <v>754</v>
      </c>
    </row>
    <row r="601" spans="1:12" x14ac:dyDescent="0.2">
      <c r="A601" t="s">
        <v>60</v>
      </c>
      <c r="B601" s="27">
        <v>120</v>
      </c>
      <c r="C601" t="s">
        <v>39</v>
      </c>
      <c r="L601" t="s">
        <v>700</v>
      </c>
    </row>
    <row r="602" spans="1:12" x14ac:dyDescent="0.2">
      <c r="A602" t="s">
        <v>60</v>
      </c>
      <c r="B602" s="27">
        <v>120</v>
      </c>
      <c r="C602" t="s">
        <v>105</v>
      </c>
      <c r="E602" t="s">
        <v>1236</v>
      </c>
      <c r="G602" t="s">
        <v>788</v>
      </c>
      <c r="L602" t="str">
        <f>_xlfn.TEXTJOIN("", TRUE, D602:J602)</f>
        <v>02_Slots/Gottheit/Goetter-mit-Epitheta/0120_Bastet/0001_bAst.t_01.png</v>
      </c>
    </row>
    <row r="603" spans="1:12" x14ac:dyDescent="0.2">
      <c r="A603" t="s">
        <v>60</v>
      </c>
      <c r="B603" s="27">
        <v>120</v>
      </c>
      <c r="C603" t="s">
        <v>105</v>
      </c>
      <c r="E603" t="s">
        <v>1236</v>
      </c>
      <c r="G603" t="s">
        <v>789</v>
      </c>
      <c r="I603" t="s">
        <v>1198</v>
      </c>
      <c r="J603" t="s">
        <v>1199</v>
      </c>
      <c r="K603" t="s">
        <v>1200</v>
      </c>
      <c r="L603" t="str">
        <f t="shared" ref="L603:L604" si="94">_xlfn.TEXTJOIN("", TRUE, D603:K603)</f>
        <v>02_Slots/Gottheit/Goetter-mit-Epitheta/0120_Bastet/0010_bAst.t_AR_01.png &lt;sup&gt;(AR)&lt;/sup&gt;</v>
      </c>
    </row>
    <row r="604" spans="1:12" x14ac:dyDescent="0.2">
      <c r="A604" t="s">
        <v>60</v>
      </c>
      <c r="B604" s="27">
        <v>120</v>
      </c>
      <c r="C604" t="s">
        <v>105</v>
      </c>
      <c r="E604" t="s">
        <v>1236</v>
      </c>
      <c r="G604" t="s">
        <v>790</v>
      </c>
      <c r="I604" t="s">
        <v>1198</v>
      </c>
      <c r="J604" t="s">
        <v>1153</v>
      </c>
      <c r="K604" t="s">
        <v>1200</v>
      </c>
      <c r="L604" t="str">
        <f t="shared" si="94"/>
        <v>02_Slots/Gottheit/Goetter-mit-Epitheta/0120_Bastet/0020_bAst.t_NR_01.png &lt;sup&gt;(NR)&lt;/sup&gt;</v>
      </c>
    </row>
    <row r="605" spans="1:12" x14ac:dyDescent="0.2">
      <c r="A605" t="s">
        <v>60</v>
      </c>
      <c r="B605" s="27">
        <v>120</v>
      </c>
      <c r="C605" t="s">
        <v>106</v>
      </c>
    </row>
    <row r="606" spans="1:12" x14ac:dyDescent="0.2">
      <c r="A606" t="s">
        <v>60</v>
      </c>
      <c r="B606" s="27">
        <v>120</v>
      </c>
      <c r="C606" t="s">
        <v>107</v>
      </c>
      <c r="L606" t="s">
        <v>137</v>
      </c>
    </row>
    <row r="607" spans="1:12" x14ac:dyDescent="0.2">
      <c r="A607" t="s">
        <v>60</v>
      </c>
      <c r="B607" s="27">
        <v>120</v>
      </c>
      <c r="C607" t="s">
        <v>108</v>
      </c>
    </row>
    <row r="610" spans="1:12" x14ac:dyDescent="0.2">
      <c r="A610" t="s">
        <v>60</v>
      </c>
      <c r="B610" s="27">
        <v>130</v>
      </c>
      <c r="C610" t="s">
        <v>39</v>
      </c>
      <c r="L610" t="s">
        <v>701</v>
      </c>
    </row>
    <row r="611" spans="1:12" x14ac:dyDescent="0.2">
      <c r="A611" t="s">
        <v>60</v>
      </c>
      <c r="B611" s="27">
        <v>130</v>
      </c>
      <c r="C611" t="s">
        <v>105</v>
      </c>
      <c r="E611" t="s">
        <v>1237</v>
      </c>
      <c r="G611" t="s">
        <v>791</v>
      </c>
      <c r="L611" t="str">
        <f>_xlfn.TEXTJOIN("", TRUE, D611:J611)</f>
        <v>02_Slots/Gottheit/Goetter-mit-Epitheta/0130_Behedeti/0001_bHd.t_01.png</v>
      </c>
    </row>
    <row r="612" spans="1:12" x14ac:dyDescent="0.2">
      <c r="A612" t="s">
        <v>60</v>
      </c>
      <c r="B612" s="27">
        <v>130</v>
      </c>
      <c r="C612" t="s">
        <v>105</v>
      </c>
      <c r="E612" t="s">
        <v>1237</v>
      </c>
      <c r="G612" t="s">
        <v>792</v>
      </c>
      <c r="L612" t="str">
        <f>_xlfn.TEXTJOIN("", TRUE, D612:J612)</f>
        <v>02_Slots/Gottheit/Goetter-mit-Epitheta/0130_Behedeti/0010_bHd.t_02.png</v>
      </c>
    </row>
    <row r="613" spans="1:12" x14ac:dyDescent="0.2">
      <c r="A613" t="s">
        <v>60</v>
      </c>
      <c r="B613" s="27">
        <v>130</v>
      </c>
      <c r="C613" t="s">
        <v>105</v>
      </c>
      <c r="E613" t="s">
        <v>1237</v>
      </c>
      <c r="G613" t="s">
        <v>793</v>
      </c>
      <c r="I613" t="s">
        <v>1198</v>
      </c>
      <c r="J613" t="s">
        <v>1201</v>
      </c>
      <c r="K613" t="s">
        <v>1200</v>
      </c>
      <c r="L613" t="str">
        <f t="shared" ref="L613:L614" si="95">_xlfn.TEXTJOIN("", TRUE, D613:K613)</f>
        <v>02_Slots/Gottheit/Goetter-mit-Epitheta/0130_Behedeti/0020_bHd.t_GR_01.png &lt;sup&gt;(Gr.)&lt;/sup&gt;</v>
      </c>
    </row>
    <row r="614" spans="1:12" x14ac:dyDescent="0.2">
      <c r="A614" t="s">
        <v>60</v>
      </c>
      <c r="B614" s="27">
        <v>130</v>
      </c>
      <c r="C614" t="s">
        <v>105</v>
      </c>
      <c r="E614" t="s">
        <v>1237</v>
      </c>
      <c r="G614" t="s">
        <v>794</v>
      </c>
      <c r="I614" t="s">
        <v>1198</v>
      </c>
      <c r="J614" t="s">
        <v>1201</v>
      </c>
      <c r="K614" t="s">
        <v>1200</v>
      </c>
      <c r="L614" t="str">
        <f t="shared" si="95"/>
        <v>02_Slots/Gottheit/Goetter-mit-Epitheta/0130_Behedeti/0030_bHd.t_GR_02.png &lt;sup&gt;(Gr.)&lt;/sup&gt;</v>
      </c>
    </row>
    <row r="615" spans="1:12" x14ac:dyDescent="0.2">
      <c r="A615" t="s">
        <v>60</v>
      </c>
      <c r="B615" s="27">
        <v>130</v>
      </c>
      <c r="C615" t="s">
        <v>106</v>
      </c>
      <c r="E615" t="s">
        <v>1237</v>
      </c>
      <c r="F615" t="s">
        <v>111</v>
      </c>
      <c r="G615" t="s">
        <v>795</v>
      </c>
      <c r="H615" t="s">
        <v>113</v>
      </c>
      <c r="L615" t="str">
        <f>_xlfn.TEXTJOIN("", TRUE, D615:J615)</f>
        <v>02_Slots/Gottheit/Goetter-mit-Epitheta/0130_Behedeti/det/0001_bHd.t_det_01.png</v>
      </c>
    </row>
    <row r="616" spans="1:12" x14ac:dyDescent="0.2">
      <c r="A616" t="s">
        <v>60</v>
      </c>
      <c r="B616" s="27">
        <v>130</v>
      </c>
      <c r="C616" t="s">
        <v>107</v>
      </c>
      <c r="L616" t="s">
        <v>138</v>
      </c>
    </row>
    <row r="617" spans="1:12" x14ac:dyDescent="0.2">
      <c r="A617" t="s">
        <v>60</v>
      </c>
      <c r="B617" s="27">
        <v>130</v>
      </c>
      <c r="C617" t="s">
        <v>108</v>
      </c>
      <c r="L617" t="s">
        <v>1175</v>
      </c>
    </row>
    <row r="619" spans="1:12" x14ac:dyDescent="0.2">
      <c r="A619" t="s">
        <v>796</v>
      </c>
      <c r="B619" s="27">
        <v>1</v>
      </c>
      <c r="C619" t="s">
        <v>39</v>
      </c>
      <c r="L619" t="s">
        <v>797</v>
      </c>
    </row>
    <row r="620" spans="1:12" x14ac:dyDescent="0.2">
      <c r="A620" t="s">
        <v>796</v>
      </c>
      <c r="B620" s="27">
        <v>1</v>
      </c>
      <c r="C620" t="s">
        <v>105</v>
      </c>
      <c r="E620" t="s">
        <v>1237</v>
      </c>
      <c r="F620" t="s">
        <v>804</v>
      </c>
      <c r="G620" t="s">
        <v>801</v>
      </c>
      <c r="H620" t="s">
        <v>113</v>
      </c>
      <c r="L620" t="str">
        <f>_xlfn.TEXTJOIN("", TRUE, D620:J620)</f>
        <v>02_Slots/Gottheit/Goetter-mit-Epitheta/0130_Behedeti/epitheta/01_prj-m-Ax.t/0001_prj-m-Ax.t_01.png</v>
      </c>
    </row>
    <row r="621" spans="1:12" x14ac:dyDescent="0.2">
      <c r="A621" t="s">
        <v>796</v>
      </c>
      <c r="B621" s="27">
        <v>1</v>
      </c>
      <c r="C621" t="s">
        <v>27</v>
      </c>
      <c r="L621" t="s">
        <v>800</v>
      </c>
    </row>
    <row r="623" spans="1:12" x14ac:dyDescent="0.2">
      <c r="A623" t="s">
        <v>796</v>
      </c>
      <c r="B623" s="27">
        <v>2</v>
      </c>
      <c r="C623" t="s">
        <v>39</v>
      </c>
      <c r="L623" t="s">
        <v>798</v>
      </c>
    </row>
    <row r="624" spans="1:12" x14ac:dyDescent="0.2">
      <c r="A624" t="s">
        <v>796</v>
      </c>
      <c r="B624" s="27">
        <v>2</v>
      </c>
      <c r="C624" t="s">
        <v>105</v>
      </c>
      <c r="E624" t="s">
        <v>1237</v>
      </c>
      <c r="F624" t="s">
        <v>805</v>
      </c>
      <c r="G624" t="s">
        <v>802</v>
      </c>
      <c r="L624" t="str">
        <f>_xlfn.TEXTJOIN("", TRUE, D624:J624)</f>
        <v>02_Slots/Gottheit/Goetter-mit-Epitheta/0130_Behedeti/epitheta/02_sAb-Sw.t/0001_sAb-Sw.t_01.png</v>
      </c>
    </row>
    <row r="625" spans="1:12" x14ac:dyDescent="0.2">
      <c r="A625" t="s">
        <v>796</v>
      </c>
      <c r="B625" s="27">
        <v>2</v>
      </c>
      <c r="C625" t="s">
        <v>105</v>
      </c>
      <c r="E625" t="s">
        <v>1237</v>
      </c>
      <c r="F625" t="s">
        <v>805</v>
      </c>
      <c r="G625" t="s">
        <v>803</v>
      </c>
      <c r="L625" t="str">
        <f>_xlfn.TEXTJOIN("", TRUE, D625:J625)</f>
        <v>02_Slots/Gottheit/Goetter-mit-Epitheta/0130_Behedeti/epitheta/02_sAb-Sw.t/0010_sAb-Sw.t_D.18_01.png</v>
      </c>
    </row>
    <row r="626" spans="1:12" x14ac:dyDescent="0.2">
      <c r="A626" t="s">
        <v>796</v>
      </c>
      <c r="B626" s="27">
        <v>2</v>
      </c>
      <c r="C626" t="s">
        <v>27</v>
      </c>
      <c r="L626" t="s">
        <v>799</v>
      </c>
    </row>
    <row r="629" spans="1:12" x14ac:dyDescent="0.2">
      <c r="A629" t="s">
        <v>60</v>
      </c>
      <c r="B629" s="27">
        <v>140</v>
      </c>
      <c r="C629" t="s">
        <v>39</v>
      </c>
      <c r="L629" t="s">
        <v>702</v>
      </c>
    </row>
    <row r="630" spans="1:12" x14ac:dyDescent="0.2">
      <c r="A630" t="s">
        <v>60</v>
      </c>
      <c r="B630" s="27">
        <v>140</v>
      </c>
      <c r="C630" t="s">
        <v>105</v>
      </c>
      <c r="E630" t="s">
        <v>1238</v>
      </c>
      <c r="G630" t="s">
        <v>807</v>
      </c>
      <c r="L630" t="str">
        <f t="shared" ref="L630" si="96">_xlfn.TEXTJOIN("", TRUE, D630:J630)</f>
        <v>02_Slots/Gottheit/Goetter-mit-Epitheta/0140_Goetterneunheit/0001_psD.t_01.png</v>
      </c>
    </row>
    <row r="631" spans="1:12" x14ac:dyDescent="0.2">
      <c r="A631" t="s">
        <v>60</v>
      </c>
      <c r="B631" s="27">
        <v>140</v>
      </c>
      <c r="C631" t="s">
        <v>105</v>
      </c>
      <c r="E631" t="s">
        <v>1238</v>
      </c>
      <c r="G631" t="s">
        <v>808</v>
      </c>
      <c r="I631" t="s">
        <v>1198</v>
      </c>
      <c r="J631" t="s">
        <v>1199</v>
      </c>
      <c r="K631" t="s">
        <v>1200</v>
      </c>
      <c r="L631" t="str">
        <f t="shared" ref="L631:L641" si="97">_xlfn.TEXTJOIN("", TRUE, D631:K631)</f>
        <v>02_Slots/Gottheit/Goetter-mit-Epitheta/0140_Goetterneunheit/0010_psD.t_AR_01.png &lt;sup&gt;(AR)&lt;/sup&gt;</v>
      </c>
    </row>
    <row r="632" spans="1:12" x14ac:dyDescent="0.2">
      <c r="A632" t="s">
        <v>60</v>
      </c>
      <c r="B632" s="27">
        <v>140</v>
      </c>
      <c r="C632" t="s">
        <v>105</v>
      </c>
      <c r="E632" t="s">
        <v>1238</v>
      </c>
      <c r="G632" t="s">
        <v>809</v>
      </c>
      <c r="I632" t="s">
        <v>1198</v>
      </c>
      <c r="J632" t="s">
        <v>1199</v>
      </c>
      <c r="K632" t="s">
        <v>1200</v>
      </c>
      <c r="L632" t="str">
        <f t="shared" si="97"/>
        <v>02_Slots/Gottheit/Goetter-mit-Epitheta/0140_Goetterneunheit/0020_psD.t_AR_02.png &lt;sup&gt;(AR)&lt;/sup&gt;</v>
      </c>
    </row>
    <row r="633" spans="1:12" x14ac:dyDescent="0.2">
      <c r="A633" t="s">
        <v>60</v>
      </c>
      <c r="B633" s="27">
        <v>140</v>
      </c>
      <c r="C633" t="s">
        <v>105</v>
      </c>
      <c r="E633" t="s">
        <v>1238</v>
      </c>
      <c r="G633" t="s">
        <v>810</v>
      </c>
      <c r="I633" t="s">
        <v>1198</v>
      </c>
      <c r="J633" t="s">
        <v>1199</v>
      </c>
      <c r="K633" t="s">
        <v>1200</v>
      </c>
      <c r="L633" t="str">
        <f t="shared" si="97"/>
        <v>02_Slots/Gottheit/Goetter-mit-Epitheta/0140_Goetterneunheit/0030_psD.t_AR_03.png &lt;sup&gt;(AR)&lt;/sup&gt;</v>
      </c>
    </row>
    <row r="634" spans="1:12" x14ac:dyDescent="0.2">
      <c r="A634" t="s">
        <v>60</v>
      </c>
      <c r="B634" s="27">
        <v>140</v>
      </c>
      <c r="C634" t="s">
        <v>105</v>
      </c>
      <c r="E634" t="s">
        <v>1238</v>
      </c>
      <c r="G634" t="s">
        <v>811</v>
      </c>
      <c r="I634" t="s">
        <v>1198</v>
      </c>
      <c r="J634" t="s">
        <v>1202</v>
      </c>
      <c r="K634" t="s">
        <v>1200</v>
      </c>
      <c r="L634" t="str">
        <f t="shared" si="97"/>
        <v>02_Slots/Gottheit/Goetter-mit-Epitheta/0140_Goetterneunheit/0040_psD.t_MR_01.png &lt;sup&gt;(MR)&lt;/sup&gt;</v>
      </c>
    </row>
    <row r="635" spans="1:12" x14ac:dyDescent="0.2">
      <c r="A635" t="s">
        <v>60</v>
      </c>
      <c r="B635" s="27">
        <v>140</v>
      </c>
      <c r="C635" t="s">
        <v>105</v>
      </c>
      <c r="E635" t="s">
        <v>1238</v>
      </c>
      <c r="G635" t="s">
        <v>812</v>
      </c>
      <c r="I635" t="s">
        <v>1198</v>
      </c>
      <c r="J635" t="s">
        <v>1207</v>
      </c>
      <c r="K635" t="s">
        <v>1200</v>
      </c>
      <c r="L635" t="str">
        <f t="shared" si="97"/>
        <v>02_Slots/Gottheit/Goetter-mit-Epitheta/0140_Goetterneunheit/0050_psD.t_SP_01.png &lt;sup&gt;(Sp.)&lt;/sup&gt;</v>
      </c>
    </row>
    <row r="636" spans="1:12" x14ac:dyDescent="0.2">
      <c r="A636" t="s">
        <v>60</v>
      </c>
      <c r="B636" s="27">
        <v>140</v>
      </c>
      <c r="C636" t="s">
        <v>105</v>
      </c>
      <c r="E636" t="s">
        <v>1238</v>
      </c>
      <c r="G636" t="s">
        <v>813</v>
      </c>
      <c r="I636" t="s">
        <v>1198</v>
      </c>
      <c r="J636" t="s">
        <v>1201</v>
      </c>
      <c r="K636" t="s">
        <v>1200</v>
      </c>
      <c r="L636" t="str">
        <f t="shared" si="97"/>
        <v>02_Slots/Gottheit/Goetter-mit-Epitheta/0140_Goetterneunheit/0060_psD.t_GR_01.png &lt;sup&gt;(Gr.)&lt;/sup&gt;</v>
      </c>
    </row>
    <row r="637" spans="1:12" x14ac:dyDescent="0.2">
      <c r="A637" t="s">
        <v>60</v>
      </c>
      <c r="B637" s="27">
        <v>140</v>
      </c>
      <c r="C637" t="s">
        <v>105</v>
      </c>
      <c r="E637" t="s">
        <v>1238</v>
      </c>
      <c r="G637" t="s">
        <v>806</v>
      </c>
      <c r="I637" t="s">
        <v>1198</v>
      </c>
      <c r="J637" t="s">
        <v>1201</v>
      </c>
      <c r="K637" t="s">
        <v>1200</v>
      </c>
      <c r="L637" t="str">
        <f t="shared" si="97"/>
        <v>02_Slots/Gottheit/Goetter-mit-Epitheta/0140_Goetterneunheit/0070_psD.t_GR_02.png &lt;sup&gt;(Gr.)&lt;/sup&gt;</v>
      </c>
    </row>
    <row r="638" spans="1:12" x14ac:dyDescent="0.2">
      <c r="A638" t="s">
        <v>60</v>
      </c>
      <c r="B638" s="27">
        <v>140</v>
      </c>
      <c r="C638" t="s">
        <v>106</v>
      </c>
      <c r="E638" t="s">
        <v>1238</v>
      </c>
      <c r="F638" t="s">
        <v>111</v>
      </c>
      <c r="G638" t="s">
        <v>814</v>
      </c>
      <c r="I638" t="s">
        <v>1198</v>
      </c>
      <c r="J638" t="s">
        <v>1199</v>
      </c>
      <c r="K638" t="s">
        <v>1200</v>
      </c>
      <c r="L638" t="str">
        <f t="shared" si="97"/>
        <v>02_Slots/Gottheit/Goetter-mit-Epitheta/0140_Goetterneunheit/det/0001_psD.t_det_AR_01.png &lt;sup&gt;(AR)&lt;/sup&gt;</v>
      </c>
    </row>
    <row r="639" spans="1:12" x14ac:dyDescent="0.2">
      <c r="A639" t="s">
        <v>60</v>
      </c>
      <c r="B639" s="27">
        <v>140</v>
      </c>
      <c r="C639" t="s">
        <v>106</v>
      </c>
      <c r="E639" t="s">
        <v>1238</v>
      </c>
      <c r="F639" t="s">
        <v>111</v>
      </c>
      <c r="G639" t="s">
        <v>815</v>
      </c>
      <c r="I639" t="s">
        <v>1198</v>
      </c>
      <c r="J639" t="s">
        <v>1202</v>
      </c>
      <c r="K639" t="s">
        <v>1200</v>
      </c>
      <c r="L639" t="str">
        <f t="shared" si="97"/>
        <v>02_Slots/Gottheit/Goetter-mit-Epitheta/0140_Goetterneunheit/det/0010_psD.t_det_MR_01.png &lt;sup&gt;(MR)&lt;/sup&gt;</v>
      </c>
    </row>
    <row r="640" spans="1:12" x14ac:dyDescent="0.2">
      <c r="A640" t="s">
        <v>60</v>
      </c>
      <c r="B640" s="27">
        <v>140</v>
      </c>
      <c r="C640" t="s">
        <v>106</v>
      </c>
      <c r="E640" t="s">
        <v>1238</v>
      </c>
      <c r="F640" t="s">
        <v>111</v>
      </c>
      <c r="G640" t="s">
        <v>816</v>
      </c>
      <c r="I640" t="s">
        <v>1198</v>
      </c>
      <c r="J640" t="s">
        <v>1202</v>
      </c>
      <c r="K640" t="s">
        <v>1200</v>
      </c>
      <c r="L640" t="str">
        <f t="shared" si="97"/>
        <v>02_Slots/Gottheit/Goetter-mit-Epitheta/0140_Goetterneunheit/det/0020_psD.t_det_MR_02.png &lt;sup&gt;(MR)&lt;/sup&gt;</v>
      </c>
    </row>
    <row r="641" spans="1:12" x14ac:dyDescent="0.2">
      <c r="A641" t="s">
        <v>60</v>
      </c>
      <c r="B641" s="27">
        <v>140</v>
      </c>
      <c r="C641" t="s">
        <v>106</v>
      </c>
      <c r="E641" t="s">
        <v>1238</v>
      </c>
      <c r="F641" t="s">
        <v>111</v>
      </c>
      <c r="G641" t="s">
        <v>817</v>
      </c>
      <c r="I641" t="s">
        <v>1198</v>
      </c>
      <c r="J641" t="s">
        <v>1207</v>
      </c>
      <c r="K641" t="s">
        <v>1200</v>
      </c>
      <c r="L641" t="str">
        <f t="shared" si="97"/>
        <v>02_Slots/Gottheit/Goetter-mit-Epitheta/0140_Goetterneunheit/det/0030_psD.t_det_SP_01.png &lt;sup&gt;(Sp.)&lt;/sup&gt;</v>
      </c>
    </row>
    <row r="642" spans="1:12" x14ac:dyDescent="0.2">
      <c r="A642" t="s">
        <v>60</v>
      </c>
      <c r="B642" s="27">
        <v>140</v>
      </c>
      <c r="C642" t="s">
        <v>107</v>
      </c>
      <c r="L642" t="s">
        <v>139</v>
      </c>
    </row>
    <row r="643" spans="1:12" x14ac:dyDescent="0.2">
      <c r="A643" t="s">
        <v>60</v>
      </c>
      <c r="B643" s="27">
        <v>140</v>
      </c>
      <c r="C643" t="s">
        <v>108</v>
      </c>
      <c r="L643" t="s">
        <v>1176</v>
      </c>
    </row>
    <row r="645" spans="1:12" x14ac:dyDescent="0.2">
      <c r="A645" t="s">
        <v>818</v>
      </c>
      <c r="B645" s="27">
        <v>1</v>
      </c>
      <c r="C645" t="s">
        <v>39</v>
      </c>
      <c r="L645" t="s">
        <v>820</v>
      </c>
    </row>
    <row r="646" spans="1:12" x14ac:dyDescent="0.2">
      <c r="A646" t="s">
        <v>818</v>
      </c>
      <c r="B646" s="27">
        <v>1</v>
      </c>
      <c r="C646" t="s">
        <v>105</v>
      </c>
      <c r="E646" t="s">
        <v>1238</v>
      </c>
      <c r="F646" t="s">
        <v>819</v>
      </c>
      <c r="G646" t="s">
        <v>825</v>
      </c>
      <c r="L646" t="str">
        <f t="shared" ref="L646:L647" si="98">_xlfn.TEXTJOIN("", TRUE, D646:J646)</f>
        <v>02_Slots/Gottheit/Goetter-mit-Epitheta/0140_Goetterneunheit/epitheta/01_aA.t/0001_aA.t_01.png</v>
      </c>
    </row>
    <row r="647" spans="1:12" x14ac:dyDescent="0.2">
      <c r="A647" t="s">
        <v>818</v>
      </c>
      <c r="B647" s="27">
        <v>1</v>
      </c>
      <c r="C647" t="s">
        <v>105</v>
      </c>
      <c r="E647" t="s">
        <v>1238</v>
      </c>
      <c r="F647" t="s">
        <v>819</v>
      </c>
      <c r="G647" t="s">
        <v>826</v>
      </c>
      <c r="L647" t="str">
        <f t="shared" si="98"/>
        <v>02_Slots/Gottheit/Goetter-mit-Epitheta/0140_Goetterneunheit/epitheta/01_aA.t/0010_aA.t_02.png</v>
      </c>
    </row>
    <row r="648" spans="1:12" x14ac:dyDescent="0.2">
      <c r="A648" t="s">
        <v>818</v>
      </c>
      <c r="B648" s="27">
        <v>1</v>
      </c>
      <c r="C648" t="s">
        <v>105</v>
      </c>
      <c r="E648" t="s">
        <v>1238</v>
      </c>
      <c r="F648" t="s">
        <v>819</v>
      </c>
      <c r="G648" t="s">
        <v>827</v>
      </c>
      <c r="I648" t="s">
        <v>1198</v>
      </c>
      <c r="J648" t="s">
        <v>1199</v>
      </c>
      <c r="K648" t="s">
        <v>1200</v>
      </c>
      <c r="L648" t="str">
        <f t="shared" ref="L648:L651" si="99">_xlfn.TEXTJOIN("", TRUE, D648:K648)</f>
        <v>02_Slots/Gottheit/Goetter-mit-Epitheta/0140_Goetterneunheit/epitheta/01_aA.t/0020_aA.t_AR_01.png &lt;sup&gt;(AR)&lt;/sup&gt;</v>
      </c>
    </row>
    <row r="649" spans="1:12" x14ac:dyDescent="0.2">
      <c r="A649" t="s">
        <v>818</v>
      </c>
      <c r="B649" s="27">
        <v>1</v>
      </c>
      <c r="C649" t="s">
        <v>105</v>
      </c>
      <c r="E649" t="s">
        <v>1238</v>
      </c>
      <c r="F649" t="s">
        <v>819</v>
      </c>
      <c r="G649" t="s">
        <v>828</v>
      </c>
      <c r="I649" t="s">
        <v>1198</v>
      </c>
      <c r="J649" t="s">
        <v>1202</v>
      </c>
      <c r="K649" t="s">
        <v>1200</v>
      </c>
      <c r="L649" t="str">
        <f t="shared" si="99"/>
        <v>02_Slots/Gottheit/Goetter-mit-Epitheta/0140_Goetterneunheit/epitheta/01_aA.t/0030_aA.t_MR_01.png &lt;sup&gt;(MR)&lt;/sup&gt;</v>
      </c>
    </row>
    <row r="650" spans="1:12" x14ac:dyDescent="0.2">
      <c r="A650" t="s">
        <v>818</v>
      </c>
      <c r="B650" s="27">
        <v>1</v>
      </c>
      <c r="C650" t="s">
        <v>105</v>
      </c>
      <c r="E650" t="s">
        <v>1238</v>
      </c>
      <c r="F650" t="s">
        <v>819</v>
      </c>
      <c r="G650" t="s">
        <v>829</v>
      </c>
      <c r="I650" t="s">
        <v>1198</v>
      </c>
      <c r="J650" t="s">
        <v>1202</v>
      </c>
      <c r="K650" t="s">
        <v>1200</v>
      </c>
      <c r="L650" t="str">
        <f t="shared" si="99"/>
        <v>02_Slots/Gottheit/Goetter-mit-Epitheta/0140_Goetterneunheit/epitheta/01_aA.t/0040_aA.t_MR_02.png &lt;sup&gt;(MR)&lt;/sup&gt;</v>
      </c>
    </row>
    <row r="651" spans="1:12" x14ac:dyDescent="0.2">
      <c r="A651" t="s">
        <v>818</v>
      </c>
      <c r="B651" s="27">
        <v>1</v>
      </c>
      <c r="C651" t="s">
        <v>105</v>
      </c>
      <c r="E651" t="s">
        <v>1238</v>
      </c>
      <c r="F651" t="s">
        <v>819</v>
      </c>
      <c r="G651" t="s">
        <v>830</v>
      </c>
      <c r="I651" t="s">
        <v>1198</v>
      </c>
      <c r="J651" t="s">
        <v>1202</v>
      </c>
      <c r="K651" t="s">
        <v>1200</v>
      </c>
      <c r="L651" t="str">
        <f t="shared" si="99"/>
        <v>02_Slots/Gottheit/Goetter-mit-Epitheta/0140_Goetterneunheit/epitheta/01_aA.t/0050_aA.t_MR_03.png &lt;sup&gt;(MR)&lt;/sup&gt;</v>
      </c>
    </row>
    <row r="652" spans="1:12" x14ac:dyDescent="0.2">
      <c r="A652" t="s">
        <v>818</v>
      </c>
      <c r="B652" s="27">
        <v>1</v>
      </c>
      <c r="C652" t="s">
        <v>27</v>
      </c>
      <c r="L652" t="s">
        <v>821</v>
      </c>
    </row>
    <row r="654" spans="1:12" x14ac:dyDescent="0.2">
      <c r="A654" t="s">
        <v>818</v>
      </c>
      <c r="B654" s="27">
        <v>2</v>
      </c>
      <c r="C654" t="s">
        <v>39</v>
      </c>
      <c r="L654" t="s">
        <v>822</v>
      </c>
    </row>
    <row r="655" spans="1:12" x14ac:dyDescent="0.2">
      <c r="A655" t="s">
        <v>818</v>
      </c>
      <c r="B655" s="27">
        <v>2</v>
      </c>
      <c r="C655" t="s">
        <v>105</v>
      </c>
      <c r="E655" t="s">
        <v>1238</v>
      </c>
      <c r="F655" t="s">
        <v>824</v>
      </c>
      <c r="G655" t="s">
        <v>831</v>
      </c>
      <c r="L655" t="str">
        <f>_xlfn.TEXTJOIN("", TRUE, D655:J655)</f>
        <v>02_Slots/Gottheit/Goetter-mit-Epitheta/0140_Goetterneunheit/epitheta/02_nDs.t/0001_nDs.t_01.png</v>
      </c>
    </row>
    <row r="656" spans="1:12" x14ac:dyDescent="0.2">
      <c r="A656" t="s">
        <v>818</v>
      </c>
      <c r="B656" s="27">
        <v>2</v>
      </c>
      <c r="C656" t="s">
        <v>105</v>
      </c>
      <c r="E656" t="s">
        <v>1238</v>
      </c>
      <c r="F656" t="s">
        <v>824</v>
      </c>
      <c r="G656" t="s">
        <v>832</v>
      </c>
      <c r="I656" t="s">
        <v>1198</v>
      </c>
      <c r="J656" t="s">
        <v>1199</v>
      </c>
      <c r="K656" t="s">
        <v>1200</v>
      </c>
      <c r="L656" t="str">
        <f t="shared" ref="L656:L659" si="100">_xlfn.TEXTJOIN("", TRUE, D656:K656)</f>
        <v>02_Slots/Gottheit/Goetter-mit-Epitheta/0140_Goetterneunheit/epitheta/02_nDs.t/0010_nDs.t_AR_01.png &lt;sup&gt;(AR)&lt;/sup&gt;</v>
      </c>
    </row>
    <row r="657" spans="1:12" x14ac:dyDescent="0.2">
      <c r="A657" t="s">
        <v>818</v>
      </c>
      <c r="B657" s="27">
        <v>2</v>
      </c>
      <c r="C657" t="s">
        <v>105</v>
      </c>
      <c r="E657" t="s">
        <v>1238</v>
      </c>
      <c r="F657" t="s">
        <v>824</v>
      </c>
      <c r="G657" t="s">
        <v>833</v>
      </c>
      <c r="I657" t="s">
        <v>1198</v>
      </c>
      <c r="J657" t="s">
        <v>1202</v>
      </c>
      <c r="K657" t="s">
        <v>1200</v>
      </c>
      <c r="L657" t="str">
        <f t="shared" si="100"/>
        <v>02_Slots/Gottheit/Goetter-mit-Epitheta/0140_Goetterneunheit/epitheta/02_nDs.t/0020_nDs.t_MR_01.png &lt;sup&gt;(MR)&lt;/sup&gt;</v>
      </c>
    </row>
    <row r="658" spans="1:12" x14ac:dyDescent="0.2">
      <c r="A658" t="s">
        <v>818</v>
      </c>
      <c r="B658" s="27">
        <v>2</v>
      </c>
      <c r="C658" t="s">
        <v>105</v>
      </c>
      <c r="E658" t="s">
        <v>1238</v>
      </c>
      <c r="F658" t="s">
        <v>824</v>
      </c>
      <c r="G658" t="s">
        <v>834</v>
      </c>
      <c r="I658" t="s">
        <v>1198</v>
      </c>
      <c r="J658" t="s">
        <v>1202</v>
      </c>
      <c r="K658" t="s">
        <v>1200</v>
      </c>
      <c r="L658" t="str">
        <f t="shared" si="100"/>
        <v>02_Slots/Gottheit/Goetter-mit-Epitheta/0140_Goetterneunheit/epitheta/02_nDs.t/0030_nDs.t_MR_02.png &lt;sup&gt;(MR)&lt;/sup&gt;</v>
      </c>
    </row>
    <row r="659" spans="1:12" x14ac:dyDescent="0.2">
      <c r="A659" t="s">
        <v>818</v>
      </c>
      <c r="B659" s="27">
        <v>2</v>
      </c>
      <c r="C659" t="s">
        <v>105</v>
      </c>
      <c r="E659" t="s">
        <v>1238</v>
      </c>
      <c r="F659" t="s">
        <v>824</v>
      </c>
      <c r="G659" t="s">
        <v>835</v>
      </c>
      <c r="I659" t="s">
        <v>1198</v>
      </c>
      <c r="J659" t="s">
        <v>1207</v>
      </c>
      <c r="K659" t="s">
        <v>1200</v>
      </c>
      <c r="L659" t="str">
        <f t="shared" si="100"/>
        <v>02_Slots/Gottheit/Goetter-mit-Epitheta/0140_Goetterneunheit/epitheta/02_nDs.t/0040_nDs.t_Sp_01.png &lt;sup&gt;(Sp.)&lt;/sup&gt;</v>
      </c>
    </row>
    <row r="660" spans="1:12" x14ac:dyDescent="0.2">
      <c r="A660" t="s">
        <v>818</v>
      </c>
      <c r="B660" s="27">
        <v>2</v>
      </c>
      <c r="C660" t="s">
        <v>27</v>
      </c>
      <c r="L660" t="s">
        <v>823</v>
      </c>
    </row>
    <row r="662" spans="1:12" x14ac:dyDescent="0.2">
      <c r="A662" t="s">
        <v>60</v>
      </c>
      <c r="B662" s="27">
        <v>150</v>
      </c>
      <c r="C662" t="s">
        <v>39</v>
      </c>
      <c r="L662" t="s">
        <v>703</v>
      </c>
    </row>
    <row r="663" spans="1:12" x14ac:dyDescent="0.2">
      <c r="A663" t="s">
        <v>60</v>
      </c>
      <c r="B663" s="27">
        <v>150</v>
      </c>
      <c r="C663" t="s">
        <v>105</v>
      </c>
      <c r="E663" t="s">
        <v>1239</v>
      </c>
      <c r="G663" t="s">
        <v>836</v>
      </c>
      <c r="H663" t="s">
        <v>113</v>
      </c>
      <c r="L663" t="str">
        <f>_xlfn.TEXTJOIN("", TRUE, D663:J663)</f>
        <v>02_Slots/Gottheit/Goetter-mit-Epitheta/0150_Ptah/0001_ptH_01.png</v>
      </c>
    </row>
    <row r="664" spans="1:12" x14ac:dyDescent="0.2">
      <c r="A664" t="s">
        <v>60</v>
      </c>
      <c r="B664" s="27">
        <v>150</v>
      </c>
      <c r="C664" t="s">
        <v>106</v>
      </c>
      <c r="E664" t="s">
        <v>1239</v>
      </c>
      <c r="F664" t="s">
        <v>111</v>
      </c>
      <c r="G664" t="s">
        <v>837</v>
      </c>
      <c r="L664" t="str">
        <f>_xlfn.TEXTJOIN("", TRUE, D664:J664)</f>
        <v>02_Slots/Gottheit/Goetter-mit-Epitheta/0150_Ptah/det/0001_ptH_det_01.png</v>
      </c>
    </row>
    <row r="665" spans="1:12" x14ac:dyDescent="0.2">
      <c r="A665" t="s">
        <v>60</v>
      </c>
      <c r="B665" s="27">
        <v>150</v>
      </c>
      <c r="C665" t="s">
        <v>106</v>
      </c>
      <c r="E665" t="s">
        <v>1239</v>
      </c>
      <c r="F665" t="s">
        <v>111</v>
      </c>
      <c r="G665" t="s">
        <v>838</v>
      </c>
      <c r="L665" t="str">
        <f>_xlfn.TEXTJOIN("", TRUE, D665:J665)</f>
        <v>02_Slots/Gottheit/Goetter-mit-Epitheta/0150_Ptah/det/0010_ptH_det_02.png</v>
      </c>
    </row>
    <row r="666" spans="1:12" x14ac:dyDescent="0.2">
      <c r="A666" t="s">
        <v>60</v>
      </c>
      <c r="B666" s="27">
        <v>150</v>
      </c>
      <c r="C666" t="s">
        <v>107</v>
      </c>
      <c r="L666" t="s">
        <v>140</v>
      </c>
    </row>
    <row r="667" spans="1:12" x14ac:dyDescent="0.2">
      <c r="A667" t="s">
        <v>60</v>
      </c>
      <c r="B667" s="27">
        <v>150</v>
      </c>
      <c r="C667" t="s">
        <v>108</v>
      </c>
    </row>
    <row r="670" spans="1:12" x14ac:dyDescent="0.2">
      <c r="A670" t="s">
        <v>60</v>
      </c>
      <c r="B670" s="27">
        <v>160</v>
      </c>
      <c r="C670" t="s">
        <v>39</v>
      </c>
      <c r="L670" t="s">
        <v>704</v>
      </c>
    </row>
    <row r="671" spans="1:12" x14ac:dyDescent="0.2">
      <c r="A671" t="s">
        <v>60</v>
      </c>
      <c r="B671" s="27">
        <v>160</v>
      </c>
      <c r="C671" t="s">
        <v>105</v>
      </c>
      <c r="E671" t="s">
        <v>1240</v>
      </c>
      <c r="G671" t="s">
        <v>840</v>
      </c>
      <c r="L671" t="str">
        <f t="shared" ref="L671:L672" si="101">_xlfn.TEXTJOIN("", TRUE, D671:J671)</f>
        <v>02_Slots/Gottheit/Goetter-mit-Epitheta/0160_Maat/0001_mAa.t_01.png</v>
      </c>
    </row>
    <row r="672" spans="1:12" x14ac:dyDescent="0.2">
      <c r="A672" t="s">
        <v>60</v>
      </c>
      <c r="B672" s="27">
        <v>160</v>
      </c>
      <c r="C672" t="s">
        <v>105</v>
      </c>
      <c r="E672" t="s">
        <v>1240</v>
      </c>
      <c r="G672" t="s">
        <v>841</v>
      </c>
      <c r="L672" t="str">
        <f t="shared" si="101"/>
        <v>02_Slots/Gottheit/Goetter-mit-Epitheta/0160_Maat/0010_mAa.t_02.png</v>
      </c>
    </row>
    <row r="673" spans="1:12" x14ac:dyDescent="0.2">
      <c r="A673" t="s">
        <v>60</v>
      </c>
      <c r="B673" s="27">
        <v>160</v>
      </c>
      <c r="C673" t="s">
        <v>105</v>
      </c>
      <c r="E673" t="s">
        <v>1240</v>
      </c>
      <c r="G673" t="s">
        <v>842</v>
      </c>
      <c r="I673" t="s">
        <v>1198</v>
      </c>
      <c r="J673" t="s">
        <v>1199</v>
      </c>
      <c r="K673" t="s">
        <v>1200</v>
      </c>
      <c r="L673" t="str">
        <f t="shared" ref="L673:L682" si="102">_xlfn.TEXTJOIN("", TRUE, D673:K673)</f>
        <v>02_Slots/Gottheit/Goetter-mit-Epitheta/0160_Maat/0020_mAa.t_AR_01.png &lt;sup&gt;(AR)&lt;/sup&gt;</v>
      </c>
    </row>
    <row r="674" spans="1:12" x14ac:dyDescent="0.2">
      <c r="A674" t="s">
        <v>60</v>
      </c>
      <c r="B674" s="27">
        <v>160</v>
      </c>
      <c r="C674" t="s">
        <v>105</v>
      </c>
      <c r="E674" t="s">
        <v>1240</v>
      </c>
      <c r="G674" t="s">
        <v>843</v>
      </c>
      <c r="I674" t="s">
        <v>1198</v>
      </c>
      <c r="J674" t="s">
        <v>1199</v>
      </c>
      <c r="K674" t="s">
        <v>1200</v>
      </c>
      <c r="L674" t="str">
        <f t="shared" si="102"/>
        <v>02_Slots/Gottheit/Goetter-mit-Epitheta/0160_Maat/0030_mAa.t_AR_02.png &lt;sup&gt;(AR)&lt;/sup&gt;</v>
      </c>
    </row>
    <row r="675" spans="1:12" x14ac:dyDescent="0.2">
      <c r="A675" t="s">
        <v>60</v>
      </c>
      <c r="B675" s="27">
        <v>160</v>
      </c>
      <c r="C675" t="s">
        <v>105</v>
      </c>
      <c r="E675" t="s">
        <v>1240</v>
      </c>
      <c r="G675" t="s">
        <v>844</v>
      </c>
      <c r="I675" t="s">
        <v>1198</v>
      </c>
      <c r="J675" t="s">
        <v>1202</v>
      </c>
      <c r="K675" t="s">
        <v>1200</v>
      </c>
      <c r="L675" t="str">
        <f t="shared" si="102"/>
        <v>02_Slots/Gottheit/Goetter-mit-Epitheta/0160_Maat/0040_mAa.t_MR_01.png &lt;sup&gt;(MR)&lt;/sup&gt;</v>
      </c>
    </row>
    <row r="676" spans="1:12" x14ac:dyDescent="0.2">
      <c r="A676" t="s">
        <v>60</v>
      </c>
      <c r="B676" s="27">
        <v>160</v>
      </c>
      <c r="C676" t="s">
        <v>105</v>
      </c>
      <c r="E676" t="s">
        <v>1240</v>
      </c>
      <c r="G676" t="s">
        <v>845</v>
      </c>
      <c r="I676" t="s">
        <v>1198</v>
      </c>
      <c r="J676" t="s">
        <v>1202</v>
      </c>
      <c r="K676" t="s">
        <v>1200</v>
      </c>
      <c r="L676" t="str">
        <f t="shared" si="102"/>
        <v>02_Slots/Gottheit/Goetter-mit-Epitheta/0160_Maat/0050_mAa.t_MR_02.png &lt;sup&gt;(MR)&lt;/sup&gt;</v>
      </c>
    </row>
    <row r="677" spans="1:12" x14ac:dyDescent="0.2">
      <c r="A677" t="s">
        <v>60</v>
      </c>
      <c r="B677" s="27">
        <v>160</v>
      </c>
      <c r="C677" t="s">
        <v>105</v>
      </c>
      <c r="E677" t="s">
        <v>1240</v>
      </c>
      <c r="G677" t="s">
        <v>846</v>
      </c>
      <c r="I677" t="s">
        <v>1198</v>
      </c>
      <c r="J677" t="s">
        <v>1153</v>
      </c>
      <c r="K677" t="s">
        <v>1200</v>
      </c>
      <c r="L677" t="str">
        <f t="shared" si="102"/>
        <v>02_Slots/Gottheit/Goetter-mit-Epitheta/0160_Maat/0060_mAa.t_NR_01.png &lt;sup&gt;(NR)&lt;/sup&gt;</v>
      </c>
    </row>
    <row r="678" spans="1:12" x14ac:dyDescent="0.2">
      <c r="A678" t="s">
        <v>60</v>
      </c>
      <c r="B678" s="27">
        <v>160</v>
      </c>
      <c r="C678" t="s">
        <v>105</v>
      </c>
      <c r="E678" t="s">
        <v>1240</v>
      </c>
      <c r="G678" t="s">
        <v>847</v>
      </c>
      <c r="I678" t="s">
        <v>1198</v>
      </c>
      <c r="J678" t="s">
        <v>1153</v>
      </c>
      <c r="K678" t="s">
        <v>1200</v>
      </c>
      <c r="L678" t="str">
        <f t="shared" si="102"/>
        <v>02_Slots/Gottheit/Goetter-mit-Epitheta/0160_Maat/0070_mAa.t_NR_02.png &lt;sup&gt;(NR)&lt;/sup&gt;</v>
      </c>
    </row>
    <row r="679" spans="1:12" x14ac:dyDescent="0.2">
      <c r="A679" t="s">
        <v>60</v>
      </c>
      <c r="B679" s="27">
        <v>160</v>
      </c>
      <c r="C679" t="s">
        <v>105</v>
      </c>
      <c r="E679" t="s">
        <v>1240</v>
      </c>
      <c r="G679" t="s">
        <v>848</v>
      </c>
      <c r="I679" t="s">
        <v>1198</v>
      </c>
      <c r="J679" t="s">
        <v>1201</v>
      </c>
      <c r="K679" t="s">
        <v>1200</v>
      </c>
      <c r="L679" t="str">
        <f t="shared" si="102"/>
        <v>02_Slots/Gottheit/Goetter-mit-Epitheta/0160_Maat/0080_mAa.t_GR_01.png &lt;sup&gt;(Gr.)&lt;/sup&gt;</v>
      </c>
    </row>
    <row r="680" spans="1:12" x14ac:dyDescent="0.2">
      <c r="A680" t="s">
        <v>60</v>
      </c>
      <c r="B680" s="27">
        <v>160</v>
      </c>
      <c r="C680" t="s">
        <v>105</v>
      </c>
      <c r="E680" t="s">
        <v>1240</v>
      </c>
      <c r="G680" t="s">
        <v>839</v>
      </c>
      <c r="I680" t="s">
        <v>1198</v>
      </c>
      <c r="J680" t="s">
        <v>1201</v>
      </c>
      <c r="K680" t="s">
        <v>1200</v>
      </c>
      <c r="L680" t="str">
        <f t="shared" si="102"/>
        <v>02_Slots/Gottheit/Goetter-mit-Epitheta/0160_Maat/0090_mAa.t_GR_02.png &lt;sup&gt;(Gr.)&lt;/sup&gt;</v>
      </c>
    </row>
    <row r="681" spans="1:12" x14ac:dyDescent="0.2">
      <c r="A681" t="s">
        <v>60</v>
      </c>
      <c r="B681" s="27">
        <v>160</v>
      </c>
      <c r="C681" t="s">
        <v>106</v>
      </c>
      <c r="E681" t="s">
        <v>1240</v>
      </c>
      <c r="F681" t="s">
        <v>111</v>
      </c>
      <c r="G681" t="s">
        <v>849</v>
      </c>
      <c r="I681" t="s">
        <v>1198</v>
      </c>
      <c r="J681" t="s">
        <v>1199</v>
      </c>
      <c r="K681" t="s">
        <v>1200</v>
      </c>
      <c r="L681" t="str">
        <f t="shared" si="102"/>
        <v>02_Slots/Gottheit/Goetter-mit-Epitheta/0160_Maat/det/0001_mAa.t_det_AR_01.png &lt;sup&gt;(AR)&lt;/sup&gt;</v>
      </c>
    </row>
    <row r="682" spans="1:12" x14ac:dyDescent="0.2">
      <c r="A682" t="s">
        <v>60</v>
      </c>
      <c r="B682" s="27">
        <v>160</v>
      </c>
      <c r="C682" t="s">
        <v>106</v>
      </c>
      <c r="E682" t="s">
        <v>1240</v>
      </c>
      <c r="F682" t="s">
        <v>111</v>
      </c>
      <c r="G682" t="s">
        <v>850</v>
      </c>
      <c r="I682" t="s">
        <v>1198</v>
      </c>
      <c r="J682" t="s">
        <v>1202</v>
      </c>
      <c r="K682" t="s">
        <v>1200</v>
      </c>
      <c r="L682" t="str">
        <f t="shared" si="102"/>
        <v>02_Slots/Gottheit/Goetter-mit-Epitheta/0160_Maat/det/0010_mAa.t_det_MR_01.png &lt;sup&gt;(MR)&lt;/sup&gt;</v>
      </c>
    </row>
    <row r="683" spans="1:12" x14ac:dyDescent="0.2">
      <c r="A683" t="s">
        <v>60</v>
      </c>
      <c r="B683" s="27">
        <v>160</v>
      </c>
      <c r="C683" t="s">
        <v>107</v>
      </c>
      <c r="L683" t="s">
        <v>141</v>
      </c>
    </row>
    <row r="684" spans="1:12" x14ac:dyDescent="0.2">
      <c r="A684" t="s">
        <v>60</v>
      </c>
      <c r="B684" s="27">
        <v>160</v>
      </c>
      <c r="C684" t="s">
        <v>108</v>
      </c>
    </row>
    <row r="687" spans="1:12" x14ac:dyDescent="0.2">
      <c r="A687" t="s">
        <v>60</v>
      </c>
      <c r="B687" s="27">
        <v>170</v>
      </c>
      <c r="C687" t="s">
        <v>39</v>
      </c>
      <c r="L687" t="s">
        <v>705</v>
      </c>
    </row>
    <row r="688" spans="1:12" x14ac:dyDescent="0.2">
      <c r="A688" t="s">
        <v>60</v>
      </c>
      <c r="B688" s="27">
        <v>170</v>
      </c>
      <c r="C688" t="s">
        <v>105</v>
      </c>
      <c r="E688" t="s">
        <v>1241</v>
      </c>
      <c r="G688" t="s">
        <v>851</v>
      </c>
      <c r="L688" t="str">
        <f>_xlfn.TEXTJOIN("", TRUE, D688:J688)</f>
        <v>02_Slots/Gottheit/Goetter-mit-Epitheta/0170_Min/0001_mjn_01.png</v>
      </c>
    </row>
    <row r="689" spans="1:12" x14ac:dyDescent="0.2">
      <c r="A689" t="s">
        <v>60</v>
      </c>
      <c r="B689" s="27">
        <v>170</v>
      </c>
      <c r="C689" t="s">
        <v>105</v>
      </c>
      <c r="E689" t="s">
        <v>1241</v>
      </c>
      <c r="G689" t="s">
        <v>852</v>
      </c>
      <c r="L689" t="str">
        <f>_xlfn.TEXTJOIN("", TRUE, D689:J689)</f>
        <v>02_Slots/Gottheit/Goetter-mit-Epitheta/0170_Min/0010_mjn_AR_01.png</v>
      </c>
    </row>
    <row r="690" spans="1:12" x14ac:dyDescent="0.2">
      <c r="A690" t="s">
        <v>60</v>
      </c>
      <c r="B690" s="27">
        <v>170</v>
      </c>
      <c r="C690" t="s">
        <v>105</v>
      </c>
      <c r="E690" t="s">
        <v>1241</v>
      </c>
      <c r="G690" t="s">
        <v>853</v>
      </c>
      <c r="L690" t="str">
        <f>_xlfn.TEXTJOIN("", TRUE, D690:J690)</f>
        <v>02_Slots/Gottheit/Goetter-mit-Epitheta/0170_Min/0020_mjn_NR_01.png</v>
      </c>
    </row>
    <row r="691" spans="1:12" x14ac:dyDescent="0.2">
      <c r="A691" t="s">
        <v>60</v>
      </c>
      <c r="B691" s="27">
        <v>170</v>
      </c>
      <c r="C691" t="s">
        <v>106</v>
      </c>
      <c r="E691" t="s">
        <v>1241</v>
      </c>
      <c r="F691" t="s">
        <v>111</v>
      </c>
      <c r="G691" t="s">
        <v>854</v>
      </c>
      <c r="H691" t="s">
        <v>113</v>
      </c>
      <c r="L691" t="str">
        <f>_xlfn.TEXTJOIN("", TRUE, D691:J691)</f>
        <v>02_Slots/Gottheit/Goetter-mit-Epitheta/0170_Min/det/0001_mjn_det_01.png</v>
      </c>
    </row>
    <row r="692" spans="1:12" x14ac:dyDescent="0.2">
      <c r="A692" t="s">
        <v>60</v>
      </c>
      <c r="B692" s="27">
        <v>170</v>
      </c>
      <c r="C692" t="s">
        <v>107</v>
      </c>
      <c r="L692" t="s">
        <v>142</v>
      </c>
    </row>
    <row r="693" spans="1:12" x14ac:dyDescent="0.2">
      <c r="A693" t="s">
        <v>60</v>
      </c>
      <c r="B693" s="27">
        <v>170</v>
      </c>
      <c r="C693" t="s">
        <v>108</v>
      </c>
    </row>
    <row r="696" spans="1:12" x14ac:dyDescent="0.2">
      <c r="A696" t="s">
        <v>60</v>
      </c>
      <c r="B696" s="27">
        <v>180</v>
      </c>
      <c r="C696" t="s">
        <v>39</v>
      </c>
      <c r="L696" t="s">
        <v>706</v>
      </c>
    </row>
    <row r="697" spans="1:12" x14ac:dyDescent="0.2">
      <c r="A697" t="s">
        <v>60</v>
      </c>
      <c r="B697" s="27">
        <v>180</v>
      </c>
      <c r="C697" t="s">
        <v>105</v>
      </c>
      <c r="E697" t="s">
        <v>1242</v>
      </c>
      <c r="G697" t="s">
        <v>855</v>
      </c>
      <c r="L697" t="str">
        <f>_xlfn.TEXTJOIN("", TRUE, D697:J697)</f>
        <v>02_Slots/Gottheit/Goetter-mit-Epitheta/0180_Mut/0001_mw.t_01.png</v>
      </c>
    </row>
    <row r="698" spans="1:12" x14ac:dyDescent="0.2">
      <c r="A698" t="s">
        <v>60</v>
      </c>
      <c r="B698" s="27">
        <v>180</v>
      </c>
      <c r="C698" t="s">
        <v>105</v>
      </c>
      <c r="E698" t="s">
        <v>1242</v>
      </c>
      <c r="G698" t="s">
        <v>856</v>
      </c>
      <c r="L698" t="str">
        <f>_xlfn.TEXTJOIN("", TRUE, D698:J698)</f>
        <v>02_Slots/Gottheit/Goetter-mit-Epitheta/0180_Mut/0010_mw.t_02.png</v>
      </c>
    </row>
    <row r="699" spans="1:12" x14ac:dyDescent="0.2">
      <c r="A699" t="s">
        <v>60</v>
      </c>
      <c r="B699" s="27">
        <v>180</v>
      </c>
      <c r="C699" t="s">
        <v>105</v>
      </c>
      <c r="E699" t="s">
        <v>1242</v>
      </c>
      <c r="G699" t="s">
        <v>857</v>
      </c>
      <c r="L699" t="str">
        <f>_xlfn.TEXTJOIN("", TRUE, D699:J699)</f>
        <v>02_Slots/Gottheit/Goetter-mit-Epitheta/0180_Mut/0020_mw.t_03.png</v>
      </c>
    </row>
    <row r="700" spans="1:12" x14ac:dyDescent="0.2">
      <c r="A700" t="s">
        <v>60</v>
      </c>
      <c r="B700" s="27">
        <v>180</v>
      </c>
      <c r="C700" t="s">
        <v>106</v>
      </c>
      <c r="L700" t="str">
        <f>_xlfn.TEXTJOIN("", TRUE, D700:J700)</f>
        <v/>
      </c>
    </row>
    <row r="701" spans="1:12" x14ac:dyDescent="0.2">
      <c r="A701" t="s">
        <v>60</v>
      </c>
      <c r="B701" s="27">
        <v>180</v>
      </c>
      <c r="C701" t="s">
        <v>107</v>
      </c>
      <c r="L701" t="s">
        <v>143</v>
      </c>
    </row>
    <row r="702" spans="1:12" x14ac:dyDescent="0.2">
      <c r="A702" t="s">
        <v>60</v>
      </c>
      <c r="B702" s="27">
        <v>180</v>
      </c>
      <c r="C702" t="s">
        <v>108</v>
      </c>
      <c r="L702" t="s">
        <v>1177</v>
      </c>
    </row>
    <row r="704" spans="1:12" x14ac:dyDescent="0.2">
      <c r="A704" t="s">
        <v>858</v>
      </c>
      <c r="B704" s="27">
        <v>1</v>
      </c>
      <c r="C704" t="s">
        <v>39</v>
      </c>
      <c r="L704" t="s">
        <v>859</v>
      </c>
    </row>
    <row r="705" spans="1:12" x14ac:dyDescent="0.2">
      <c r="A705" t="s">
        <v>858</v>
      </c>
      <c r="B705" s="27">
        <v>1</v>
      </c>
      <c r="C705" t="s">
        <v>105</v>
      </c>
      <c r="E705" t="s">
        <v>1242</v>
      </c>
      <c r="F705" t="s">
        <v>861</v>
      </c>
      <c r="G705" t="s">
        <v>862</v>
      </c>
      <c r="L705" t="str">
        <f>_xlfn.TEXTJOIN("", TRUE, D705:J705)</f>
        <v>02_Slots/Gottheit/Goetter-mit-Epitheta/0180_Mut/epitheta/01_nb.t-jSrw/0001_nb.t-jSrw_01.png</v>
      </c>
    </row>
    <row r="706" spans="1:12" x14ac:dyDescent="0.2">
      <c r="A706" t="s">
        <v>858</v>
      </c>
      <c r="B706" s="27">
        <v>1</v>
      </c>
      <c r="C706" t="s">
        <v>105</v>
      </c>
      <c r="E706" t="s">
        <v>1242</v>
      </c>
      <c r="F706" t="s">
        <v>861</v>
      </c>
      <c r="G706" t="s">
        <v>863</v>
      </c>
      <c r="L706" t="str">
        <f>_xlfn.TEXTJOIN("", TRUE, D706:J706)</f>
        <v>02_Slots/Gottheit/Goetter-mit-Epitheta/0180_Mut/epitheta/01_nb.t-jSrw/0010_nb.t-jSrw_02.png</v>
      </c>
    </row>
    <row r="707" spans="1:12" x14ac:dyDescent="0.2">
      <c r="A707" t="s">
        <v>858</v>
      </c>
      <c r="B707" s="27">
        <v>1</v>
      </c>
      <c r="C707" t="s">
        <v>105</v>
      </c>
      <c r="E707" t="s">
        <v>1242</v>
      </c>
      <c r="F707" t="s">
        <v>861</v>
      </c>
      <c r="G707" t="s">
        <v>864</v>
      </c>
      <c r="L707" t="str">
        <f>_xlfn.TEXTJOIN("", TRUE, D707:J707)</f>
        <v>02_Slots/Gottheit/Goetter-mit-Epitheta/0180_Mut/epitheta/01_nb.t-jSrw/0020_nb.t-jSrw_GR_01.png</v>
      </c>
    </row>
    <row r="708" spans="1:12" x14ac:dyDescent="0.2">
      <c r="A708" t="s">
        <v>858</v>
      </c>
      <c r="B708" s="27">
        <v>1</v>
      </c>
      <c r="C708" t="s">
        <v>27</v>
      </c>
      <c r="L708" t="s">
        <v>860</v>
      </c>
    </row>
    <row r="713" spans="1:12" x14ac:dyDescent="0.2">
      <c r="A713" t="s">
        <v>60</v>
      </c>
      <c r="B713" s="27">
        <v>190</v>
      </c>
      <c r="C713" t="s">
        <v>39</v>
      </c>
      <c r="L713" t="s">
        <v>707</v>
      </c>
    </row>
    <row r="714" spans="1:12" x14ac:dyDescent="0.2">
      <c r="A714" t="s">
        <v>60</v>
      </c>
      <c r="B714" s="27">
        <v>190</v>
      </c>
      <c r="C714" t="s">
        <v>105</v>
      </c>
      <c r="E714" t="s">
        <v>1243</v>
      </c>
      <c r="G714" t="s">
        <v>865</v>
      </c>
      <c r="L714" t="str">
        <f t="shared" ref="L714:L720" si="103">_xlfn.TEXTJOIN("", TRUE, D714:J714)</f>
        <v>02_Slots/Gottheit/Goetter-mit-Epitheta/0190_Month/0001_mnTw_01.png</v>
      </c>
    </row>
    <row r="715" spans="1:12" x14ac:dyDescent="0.2">
      <c r="A715" t="s">
        <v>60</v>
      </c>
      <c r="B715" s="27">
        <v>190</v>
      </c>
      <c r="C715" t="s">
        <v>105</v>
      </c>
      <c r="E715" t="s">
        <v>1243</v>
      </c>
      <c r="G715" t="s">
        <v>866</v>
      </c>
      <c r="I715" t="s">
        <v>1198</v>
      </c>
      <c r="J715" t="s">
        <v>1153</v>
      </c>
      <c r="K715" t="s">
        <v>1200</v>
      </c>
      <c r="L715" t="str">
        <f t="shared" ref="L715:L718" si="104">_xlfn.TEXTJOIN("", TRUE, D715:K715)</f>
        <v>02_Slots/Gottheit/Goetter-mit-Epitheta/0190_Month/0010_mnTw_NR_01.png &lt;sup&gt;(NR)&lt;/sup&gt;</v>
      </c>
    </row>
    <row r="716" spans="1:12" x14ac:dyDescent="0.2">
      <c r="A716" t="s">
        <v>60</v>
      </c>
      <c r="B716" s="27">
        <v>190</v>
      </c>
      <c r="C716" t="s">
        <v>105</v>
      </c>
      <c r="E716" t="s">
        <v>1243</v>
      </c>
      <c r="G716" t="s">
        <v>867</v>
      </c>
      <c r="I716" t="s">
        <v>1198</v>
      </c>
      <c r="J716" t="s">
        <v>1153</v>
      </c>
      <c r="K716" t="s">
        <v>1200</v>
      </c>
      <c r="L716" t="str">
        <f t="shared" si="104"/>
        <v>02_Slots/Gottheit/Goetter-mit-Epitheta/0190_Month/0020_mnTw_NR_02.png &lt;sup&gt;(NR)&lt;/sup&gt;</v>
      </c>
    </row>
    <row r="717" spans="1:12" x14ac:dyDescent="0.2">
      <c r="A717" t="s">
        <v>60</v>
      </c>
      <c r="B717" s="27">
        <v>190</v>
      </c>
      <c r="C717" t="s">
        <v>105</v>
      </c>
      <c r="E717" t="s">
        <v>1243</v>
      </c>
      <c r="G717" t="s">
        <v>868</v>
      </c>
      <c r="I717" t="s">
        <v>1198</v>
      </c>
      <c r="J717" t="s">
        <v>1153</v>
      </c>
      <c r="K717" t="s">
        <v>1200</v>
      </c>
      <c r="L717" t="str">
        <f t="shared" si="104"/>
        <v>02_Slots/Gottheit/Goetter-mit-Epitheta/0190_Month/0030_mnTw_NR_03.png &lt;sup&gt;(NR)&lt;/sup&gt;</v>
      </c>
    </row>
    <row r="718" spans="1:12" x14ac:dyDescent="0.2">
      <c r="A718" t="s">
        <v>60</v>
      </c>
      <c r="B718" s="27">
        <v>190</v>
      </c>
      <c r="C718" t="s">
        <v>105</v>
      </c>
      <c r="E718" t="s">
        <v>1243</v>
      </c>
      <c r="G718" t="s">
        <v>869</v>
      </c>
      <c r="I718" t="s">
        <v>1198</v>
      </c>
      <c r="J718" t="s">
        <v>1201</v>
      </c>
      <c r="K718" t="s">
        <v>1200</v>
      </c>
      <c r="L718" t="str">
        <f t="shared" si="104"/>
        <v>02_Slots/Gottheit/Goetter-mit-Epitheta/0190_Month/0040_mnTw_GR_01.png &lt;sup&gt;(Gr.)&lt;/sup&gt;</v>
      </c>
    </row>
    <row r="719" spans="1:12" x14ac:dyDescent="0.2">
      <c r="A719" t="s">
        <v>60</v>
      </c>
      <c r="B719" s="27">
        <v>190</v>
      </c>
      <c r="C719" t="s">
        <v>106</v>
      </c>
      <c r="E719" t="s">
        <v>1243</v>
      </c>
      <c r="F719" t="s">
        <v>111</v>
      </c>
      <c r="G719" t="s">
        <v>870</v>
      </c>
      <c r="L719" t="str">
        <f t="shared" si="103"/>
        <v>02_Slots/Gottheit/Goetter-mit-Epitheta/0190_Month/det/0001_mnTw_det_01.png</v>
      </c>
    </row>
    <row r="720" spans="1:12" x14ac:dyDescent="0.2">
      <c r="A720" t="s">
        <v>60</v>
      </c>
      <c r="B720" s="27">
        <v>190</v>
      </c>
      <c r="C720" t="s">
        <v>106</v>
      </c>
      <c r="E720" t="s">
        <v>1243</v>
      </c>
      <c r="F720" t="s">
        <v>111</v>
      </c>
      <c r="G720" t="s">
        <v>871</v>
      </c>
      <c r="L720" t="str">
        <f t="shared" si="103"/>
        <v>02_Slots/Gottheit/Goetter-mit-Epitheta/0190_Month/det/0010_mnTw_det_02.png</v>
      </c>
    </row>
    <row r="721" spans="1:12" x14ac:dyDescent="0.2">
      <c r="A721" t="s">
        <v>60</v>
      </c>
      <c r="B721" s="27">
        <v>190</v>
      </c>
      <c r="C721" t="s">
        <v>107</v>
      </c>
      <c r="L721" t="s">
        <v>144</v>
      </c>
    </row>
    <row r="722" spans="1:12" x14ac:dyDescent="0.2">
      <c r="A722" t="s">
        <v>60</v>
      </c>
      <c r="B722" s="27">
        <v>190</v>
      </c>
      <c r="C722" t="s">
        <v>108</v>
      </c>
      <c r="L722" t="s">
        <v>1178</v>
      </c>
    </row>
    <row r="724" spans="1:12" x14ac:dyDescent="0.2">
      <c r="A724" t="s">
        <v>872</v>
      </c>
      <c r="B724" s="27">
        <v>1</v>
      </c>
      <c r="C724" t="s">
        <v>39</v>
      </c>
      <c r="L724" t="s">
        <v>873</v>
      </c>
    </row>
    <row r="725" spans="1:12" x14ac:dyDescent="0.2">
      <c r="A725" t="s">
        <v>872</v>
      </c>
      <c r="B725" s="27">
        <v>1</v>
      </c>
      <c r="C725" t="s">
        <v>105</v>
      </c>
      <c r="E725" t="s">
        <v>1243</v>
      </c>
      <c r="F725" t="s">
        <v>875</v>
      </c>
      <c r="G725" t="s">
        <v>876</v>
      </c>
      <c r="L725" t="str">
        <f>_xlfn.TEXTJOIN("", TRUE, D725:J725)</f>
        <v>02_Slots/Gottheit/Goetter-mit-Epitheta/0190_Month/epitheta/01_nb-wAs.t/0001_nb-WAs.t_01.png</v>
      </c>
    </row>
    <row r="726" spans="1:12" x14ac:dyDescent="0.2">
      <c r="A726" t="s">
        <v>872</v>
      </c>
      <c r="B726" s="27">
        <v>1</v>
      </c>
      <c r="C726" t="s">
        <v>105</v>
      </c>
      <c r="E726" t="s">
        <v>1243</v>
      </c>
      <c r="F726" t="s">
        <v>875</v>
      </c>
      <c r="G726" t="s">
        <v>877</v>
      </c>
      <c r="L726" t="str">
        <f>_xlfn.TEXTJOIN("", TRUE, D726:J726)</f>
        <v>02_Slots/Gottheit/Goetter-mit-Epitheta/0190_Month/epitheta/01_nb-wAs.t/0010_nb-WAs.t_AR_01.png</v>
      </c>
    </row>
    <row r="727" spans="1:12" x14ac:dyDescent="0.2">
      <c r="A727" t="s">
        <v>872</v>
      </c>
      <c r="B727" s="27">
        <v>1</v>
      </c>
      <c r="C727" t="s">
        <v>105</v>
      </c>
      <c r="E727" t="s">
        <v>1243</v>
      </c>
      <c r="F727" t="s">
        <v>875</v>
      </c>
      <c r="G727" t="s">
        <v>878</v>
      </c>
      <c r="L727" t="str">
        <f>_xlfn.TEXTJOIN("", TRUE, D727:J727)</f>
        <v>02_Slots/Gottheit/Goetter-mit-Epitheta/0190_Month/epitheta/01_nb-wAs.t/0020_nb-WAs.t_NR_01.png</v>
      </c>
    </row>
    <row r="728" spans="1:12" x14ac:dyDescent="0.2">
      <c r="A728" t="s">
        <v>872</v>
      </c>
      <c r="B728" s="27">
        <v>1</v>
      </c>
      <c r="C728" t="s">
        <v>105</v>
      </c>
      <c r="E728" t="s">
        <v>1243</v>
      </c>
      <c r="F728" t="s">
        <v>875</v>
      </c>
      <c r="G728" t="s">
        <v>879</v>
      </c>
      <c r="L728" t="str">
        <f>_xlfn.TEXTJOIN("", TRUE, D728:J728)</f>
        <v>02_Slots/Gottheit/Goetter-mit-Epitheta/0190_Month/epitheta/01_nb-wAs.t/0030_nb-WAs.t_NR_02.png</v>
      </c>
    </row>
    <row r="729" spans="1:12" x14ac:dyDescent="0.2">
      <c r="A729" t="s">
        <v>872</v>
      </c>
      <c r="B729" s="27">
        <v>1</v>
      </c>
      <c r="C729" t="s">
        <v>105</v>
      </c>
      <c r="E729" t="s">
        <v>1243</v>
      </c>
      <c r="F729" t="s">
        <v>875</v>
      </c>
      <c r="G729" t="s">
        <v>880</v>
      </c>
      <c r="L729" t="str">
        <f>_xlfn.TEXTJOIN("", TRUE, D729:J729)</f>
        <v>02_Slots/Gottheit/Goetter-mit-Epitheta/0190_Month/epitheta/01_nb-wAs.t/0040_nb-WAs.t_NR_03.png</v>
      </c>
    </row>
    <row r="730" spans="1:12" x14ac:dyDescent="0.2">
      <c r="A730" t="s">
        <v>872</v>
      </c>
      <c r="B730" s="27">
        <v>1</v>
      </c>
      <c r="C730" t="s">
        <v>27</v>
      </c>
      <c r="L730" t="s">
        <v>874</v>
      </c>
    </row>
    <row r="734" spans="1:12" x14ac:dyDescent="0.2">
      <c r="A734" t="s">
        <v>60</v>
      </c>
      <c r="B734" s="27">
        <v>200</v>
      </c>
      <c r="C734" t="s">
        <v>39</v>
      </c>
      <c r="L734" t="s">
        <v>708</v>
      </c>
    </row>
    <row r="735" spans="1:12" x14ac:dyDescent="0.2">
      <c r="A735" t="s">
        <v>60</v>
      </c>
      <c r="B735" s="27">
        <v>200</v>
      </c>
      <c r="C735" t="s">
        <v>105</v>
      </c>
      <c r="E735" t="s">
        <v>1244</v>
      </c>
      <c r="G735" t="s">
        <v>881</v>
      </c>
      <c r="L735" t="str">
        <f t="shared" ref="L735:L740" si="105">_xlfn.TEXTJOIN("", TRUE, D735:J735)</f>
        <v>02_Slots/Gottheit/Goetter-mit-Epitheta/0200_Neith/0001_nj.t_01.png</v>
      </c>
    </row>
    <row r="736" spans="1:12" x14ac:dyDescent="0.2">
      <c r="A736" t="s">
        <v>60</v>
      </c>
      <c r="B736" s="27">
        <v>200</v>
      </c>
      <c r="C736" t="s">
        <v>105</v>
      </c>
      <c r="E736" t="s">
        <v>1244</v>
      </c>
      <c r="G736" t="s">
        <v>882</v>
      </c>
      <c r="L736" t="str">
        <f t="shared" si="105"/>
        <v>02_Slots/Gottheit/Goetter-mit-Epitheta/0200_Neith/0010_nj.t_02.png</v>
      </c>
    </row>
    <row r="737" spans="1:12" x14ac:dyDescent="0.2">
      <c r="A737" t="s">
        <v>60</v>
      </c>
      <c r="B737" s="27">
        <v>200</v>
      </c>
      <c r="C737" t="s">
        <v>105</v>
      </c>
      <c r="E737" t="s">
        <v>1244</v>
      </c>
      <c r="G737" t="s">
        <v>883</v>
      </c>
      <c r="L737" t="str">
        <f t="shared" si="105"/>
        <v>02_Slots/Gottheit/Goetter-mit-Epitheta/0200_Neith/0020_nj.t_03.png</v>
      </c>
    </row>
    <row r="738" spans="1:12" x14ac:dyDescent="0.2">
      <c r="A738" t="s">
        <v>60</v>
      </c>
      <c r="B738" s="27">
        <v>200</v>
      </c>
      <c r="C738" t="s">
        <v>105</v>
      </c>
      <c r="E738" t="s">
        <v>1244</v>
      </c>
      <c r="G738" t="s">
        <v>884</v>
      </c>
      <c r="L738" t="str">
        <f t="shared" si="105"/>
        <v>02_Slots/Gottheit/Goetter-mit-Epitheta/0200_Neith/0030_nj.t_04.png</v>
      </c>
    </row>
    <row r="739" spans="1:12" x14ac:dyDescent="0.2">
      <c r="A739" t="s">
        <v>60</v>
      </c>
      <c r="B739" s="27">
        <v>200</v>
      </c>
      <c r="C739" t="s">
        <v>105</v>
      </c>
      <c r="E739" t="s">
        <v>1244</v>
      </c>
      <c r="G739" t="s">
        <v>885</v>
      </c>
      <c r="I739" t="s">
        <v>1198</v>
      </c>
      <c r="J739" t="s">
        <v>1153</v>
      </c>
      <c r="K739" t="s">
        <v>1200</v>
      </c>
      <c r="L739" t="str">
        <f>_xlfn.TEXTJOIN("", TRUE, D739:K739)</f>
        <v>02_Slots/Gottheit/Goetter-mit-Epitheta/0200_Neith/0040_nj.t_NR_01.png &lt;sup&gt;(NR)&lt;/sup&gt;</v>
      </c>
    </row>
    <row r="740" spans="1:12" x14ac:dyDescent="0.2">
      <c r="A740" t="s">
        <v>60</v>
      </c>
      <c r="B740" s="27">
        <v>200</v>
      </c>
      <c r="C740" t="s">
        <v>106</v>
      </c>
      <c r="L740" t="str">
        <f t="shared" si="105"/>
        <v/>
      </c>
    </row>
    <row r="741" spans="1:12" x14ac:dyDescent="0.2">
      <c r="A741" t="s">
        <v>60</v>
      </c>
      <c r="B741" s="27">
        <v>200</v>
      </c>
      <c r="C741" t="s">
        <v>107</v>
      </c>
      <c r="L741" t="s">
        <v>145</v>
      </c>
    </row>
    <row r="742" spans="1:12" x14ac:dyDescent="0.2">
      <c r="A742" t="s">
        <v>60</v>
      </c>
      <c r="B742" s="27">
        <v>200</v>
      </c>
      <c r="C742" t="s">
        <v>108</v>
      </c>
    </row>
    <row r="745" spans="1:12" x14ac:dyDescent="0.2">
      <c r="A745" t="s">
        <v>60</v>
      </c>
      <c r="B745" s="27">
        <v>210</v>
      </c>
      <c r="C745" t="s">
        <v>39</v>
      </c>
      <c r="L745" t="s">
        <v>709</v>
      </c>
    </row>
    <row r="746" spans="1:12" x14ac:dyDescent="0.2">
      <c r="A746" t="s">
        <v>60</v>
      </c>
      <c r="B746" s="27">
        <v>210</v>
      </c>
      <c r="C746" t="s">
        <v>105</v>
      </c>
      <c r="E746" t="s">
        <v>1245</v>
      </c>
      <c r="G746" t="s">
        <v>886</v>
      </c>
      <c r="L746" t="str">
        <f t="shared" ref="L746:L752" si="106">_xlfn.TEXTJOIN("", TRUE, D746:J746)</f>
        <v>02_Slots/Gottheit/Goetter-mit-Epitheta/0210_Nut/0001_nw.t_01.png</v>
      </c>
    </row>
    <row r="747" spans="1:12" x14ac:dyDescent="0.2">
      <c r="A747" t="s">
        <v>60</v>
      </c>
      <c r="B747" s="27">
        <v>210</v>
      </c>
      <c r="C747" t="s">
        <v>105</v>
      </c>
      <c r="E747" t="s">
        <v>1245</v>
      </c>
      <c r="G747" t="s">
        <v>887</v>
      </c>
      <c r="I747" t="s">
        <v>1198</v>
      </c>
      <c r="J747" t="s">
        <v>1199</v>
      </c>
      <c r="K747" t="s">
        <v>1200</v>
      </c>
      <c r="L747" t="str">
        <f t="shared" ref="L747:L751" si="107">_xlfn.TEXTJOIN("", TRUE, D747:K747)</f>
        <v>02_Slots/Gottheit/Goetter-mit-Epitheta/0210_Nut/0010_nw.t_AR_01.png &lt;sup&gt;(AR)&lt;/sup&gt;</v>
      </c>
    </row>
    <row r="748" spans="1:12" x14ac:dyDescent="0.2">
      <c r="A748" t="s">
        <v>60</v>
      </c>
      <c r="B748" s="27">
        <v>210</v>
      </c>
      <c r="C748" t="s">
        <v>105</v>
      </c>
      <c r="E748" t="s">
        <v>1245</v>
      </c>
      <c r="G748" t="s">
        <v>888</v>
      </c>
      <c r="I748" t="s">
        <v>1198</v>
      </c>
      <c r="J748" t="s">
        <v>1199</v>
      </c>
      <c r="K748" t="s">
        <v>1200</v>
      </c>
      <c r="L748" t="str">
        <f t="shared" si="107"/>
        <v>02_Slots/Gottheit/Goetter-mit-Epitheta/0210_Nut/0020_nw.t_AR_02.png &lt;sup&gt;(AR)&lt;/sup&gt;</v>
      </c>
    </row>
    <row r="749" spans="1:12" x14ac:dyDescent="0.2">
      <c r="A749" t="s">
        <v>60</v>
      </c>
      <c r="B749" s="27">
        <v>210</v>
      </c>
      <c r="C749" t="s">
        <v>105</v>
      </c>
      <c r="E749" t="s">
        <v>1245</v>
      </c>
      <c r="G749" t="s">
        <v>889</v>
      </c>
      <c r="I749" t="s">
        <v>1198</v>
      </c>
      <c r="J749" t="s">
        <v>1199</v>
      </c>
      <c r="K749" t="s">
        <v>1200</v>
      </c>
      <c r="L749" t="str">
        <f t="shared" si="107"/>
        <v>02_Slots/Gottheit/Goetter-mit-Epitheta/0210_Nut/0030_nw.t_AR_03.png &lt;sup&gt;(AR)&lt;/sup&gt;</v>
      </c>
    </row>
    <row r="750" spans="1:12" x14ac:dyDescent="0.2">
      <c r="A750" t="s">
        <v>60</v>
      </c>
      <c r="B750" s="27">
        <v>210</v>
      </c>
      <c r="C750" t="s">
        <v>105</v>
      </c>
      <c r="E750" t="s">
        <v>1245</v>
      </c>
      <c r="G750" t="s">
        <v>890</v>
      </c>
      <c r="I750" t="s">
        <v>1198</v>
      </c>
      <c r="J750" t="s">
        <v>1153</v>
      </c>
      <c r="K750" t="s">
        <v>1200</v>
      </c>
      <c r="L750" t="str">
        <f t="shared" si="107"/>
        <v>02_Slots/Gottheit/Goetter-mit-Epitheta/0210_Nut/0040_nw.t_NR_01.png &lt;sup&gt;(NR)&lt;/sup&gt;</v>
      </c>
    </row>
    <row r="751" spans="1:12" x14ac:dyDescent="0.2">
      <c r="A751" t="s">
        <v>60</v>
      </c>
      <c r="B751" s="27">
        <v>210</v>
      </c>
      <c r="C751" t="s">
        <v>105</v>
      </c>
      <c r="E751" t="s">
        <v>1245</v>
      </c>
      <c r="G751" t="s">
        <v>891</v>
      </c>
      <c r="I751" t="s">
        <v>1198</v>
      </c>
      <c r="J751" t="s">
        <v>1201</v>
      </c>
      <c r="K751" t="s">
        <v>1200</v>
      </c>
      <c r="L751" t="str">
        <f t="shared" si="107"/>
        <v>02_Slots/Gottheit/Goetter-mit-Epitheta/0210_Nut/0050_nw.t_GR_01.png &lt;sup&gt;(Gr.)&lt;/sup&gt;</v>
      </c>
    </row>
    <row r="752" spans="1:12" x14ac:dyDescent="0.2">
      <c r="A752" t="s">
        <v>60</v>
      </c>
      <c r="B752" s="27">
        <v>210</v>
      </c>
      <c r="C752" t="s">
        <v>106</v>
      </c>
      <c r="L752" t="str">
        <f t="shared" si="106"/>
        <v/>
      </c>
    </row>
    <row r="753" spans="1:12" x14ac:dyDescent="0.2">
      <c r="A753" t="s">
        <v>60</v>
      </c>
      <c r="B753" s="27">
        <v>210</v>
      </c>
      <c r="C753" t="s">
        <v>107</v>
      </c>
      <c r="L753" t="s">
        <v>146</v>
      </c>
    </row>
    <row r="754" spans="1:12" x14ac:dyDescent="0.2">
      <c r="A754" t="s">
        <v>60</v>
      </c>
      <c r="B754" s="27">
        <v>210</v>
      </c>
      <c r="C754" t="s">
        <v>108</v>
      </c>
    </row>
    <row r="757" spans="1:12" x14ac:dyDescent="0.2">
      <c r="A757" t="s">
        <v>60</v>
      </c>
      <c r="B757" s="27">
        <v>220</v>
      </c>
      <c r="C757" t="s">
        <v>39</v>
      </c>
      <c r="L757" t="s">
        <v>710</v>
      </c>
    </row>
    <row r="758" spans="1:12" x14ac:dyDescent="0.2">
      <c r="A758" t="s">
        <v>60</v>
      </c>
      <c r="B758" s="27">
        <v>220</v>
      </c>
      <c r="C758" t="s">
        <v>105</v>
      </c>
      <c r="E758" t="s">
        <v>1246</v>
      </c>
      <c r="G758" t="s">
        <v>892</v>
      </c>
      <c r="L758" t="str">
        <f t="shared" ref="L758:L765" si="108">_xlfn.TEXTJOIN("", TRUE, D758:J758)</f>
        <v>02_Slots/Gottheit/Goetter-mit-Epitheta/0220_Nephthys/0001_nb.t-Hw.t_01.png</v>
      </c>
    </row>
    <row r="759" spans="1:12" x14ac:dyDescent="0.2">
      <c r="A759" t="s">
        <v>60</v>
      </c>
      <c r="B759" s="27">
        <v>220</v>
      </c>
      <c r="C759" t="s">
        <v>105</v>
      </c>
      <c r="E759" t="s">
        <v>1246</v>
      </c>
      <c r="G759" t="s">
        <v>893</v>
      </c>
      <c r="I759" t="s">
        <v>1198</v>
      </c>
      <c r="J759" t="s">
        <v>1199</v>
      </c>
      <c r="K759" t="s">
        <v>1200</v>
      </c>
      <c r="L759" t="str">
        <f t="shared" ref="L759:L764" si="109">_xlfn.TEXTJOIN("", TRUE, D759:K759)</f>
        <v>02_Slots/Gottheit/Goetter-mit-Epitheta/0220_Nephthys/0010_nb.t-Hw.t_AR_01.png &lt;sup&gt;(AR)&lt;/sup&gt;</v>
      </c>
    </row>
    <row r="760" spans="1:12" x14ac:dyDescent="0.2">
      <c r="A760" t="s">
        <v>60</v>
      </c>
      <c r="B760" s="27">
        <v>220</v>
      </c>
      <c r="C760" t="s">
        <v>105</v>
      </c>
      <c r="E760" t="s">
        <v>1246</v>
      </c>
      <c r="G760" t="s">
        <v>894</v>
      </c>
      <c r="I760" t="s">
        <v>1198</v>
      </c>
      <c r="J760" t="s">
        <v>1153</v>
      </c>
      <c r="K760" t="s">
        <v>1200</v>
      </c>
      <c r="L760" t="str">
        <f t="shared" si="109"/>
        <v>02_Slots/Gottheit/Goetter-mit-Epitheta/0220_Nephthys/0020_nb.t-Hw.t_NR_01.png &lt;sup&gt;(NR)&lt;/sup&gt;</v>
      </c>
    </row>
    <row r="761" spans="1:12" x14ac:dyDescent="0.2">
      <c r="A761" t="s">
        <v>60</v>
      </c>
      <c r="B761" s="27">
        <v>220</v>
      </c>
      <c r="C761" t="s">
        <v>105</v>
      </c>
      <c r="E761" t="s">
        <v>1246</v>
      </c>
      <c r="G761" t="s">
        <v>895</v>
      </c>
      <c r="I761" t="s">
        <v>1198</v>
      </c>
      <c r="J761" t="s">
        <v>1153</v>
      </c>
      <c r="K761" t="s">
        <v>1200</v>
      </c>
      <c r="L761" t="str">
        <f t="shared" si="109"/>
        <v>02_Slots/Gottheit/Goetter-mit-Epitheta/0220_Nephthys/0030_nb.t-Hw.t_NR_02.png &lt;sup&gt;(NR)&lt;/sup&gt;</v>
      </c>
    </row>
    <row r="762" spans="1:12" x14ac:dyDescent="0.2">
      <c r="A762" t="s">
        <v>60</v>
      </c>
      <c r="B762" s="27">
        <v>220</v>
      </c>
      <c r="C762" t="s">
        <v>105</v>
      </c>
      <c r="E762" t="s">
        <v>1246</v>
      </c>
      <c r="G762" t="s">
        <v>896</v>
      </c>
      <c r="I762" t="s">
        <v>1198</v>
      </c>
      <c r="J762" t="s">
        <v>1207</v>
      </c>
      <c r="K762" t="s">
        <v>1200</v>
      </c>
      <c r="L762" t="str">
        <f t="shared" si="109"/>
        <v>02_Slots/Gottheit/Goetter-mit-Epitheta/0220_Nephthys/0040_nb.t-Hw.t_SP_01.png &lt;sup&gt;(Sp.)&lt;/sup&gt;</v>
      </c>
    </row>
    <row r="763" spans="1:12" x14ac:dyDescent="0.2">
      <c r="A763" t="s">
        <v>60</v>
      </c>
      <c r="B763" s="27">
        <v>220</v>
      </c>
      <c r="C763" t="s">
        <v>105</v>
      </c>
      <c r="E763" t="s">
        <v>1246</v>
      </c>
      <c r="G763" t="s">
        <v>897</v>
      </c>
      <c r="I763" t="s">
        <v>1198</v>
      </c>
      <c r="J763" t="s">
        <v>1201</v>
      </c>
      <c r="K763" t="s">
        <v>1200</v>
      </c>
      <c r="L763" t="str">
        <f t="shared" si="109"/>
        <v>02_Slots/Gottheit/Goetter-mit-Epitheta/0220_Nephthys/0050_nb.t-Hw.t_GR_01.png &lt;sup&gt;(Gr.)&lt;/sup&gt;</v>
      </c>
    </row>
    <row r="764" spans="1:12" x14ac:dyDescent="0.2">
      <c r="A764" t="s">
        <v>60</v>
      </c>
      <c r="B764" s="27">
        <v>220</v>
      </c>
      <c r="C764" t="s">
        <v>105</v>
      </c>
      <c r="E764" t="s">
        <v>1246</v>
      </c>
      <c r="G764" t="s">
        <v>898</v>
      </c>
      <c r="I764" t="s">
        <v>1198</v>
      </c>
      <c r="J764" t="s">
        <v>1201</v>
      </c>
      <c r="K764" t="s">
        <v>1200</v>
      </c>
      <c r="L764" t="str">
        <f t="shared" si="109"/>
        <v>02_Slots/Gottheit/Goetter-mit-Epitheta/0220_Nephthys/0060_nb.t-Hw.t_GR_02.png &lt;sup&gt;(Gr.)&lt;/sup&gt;</v>
      </c>
    </row>
    <row r="765" spans="1:12" x14ac:dyDescent="0.2">
      <c r="A765" t="s">
        <v>60</v>
      </c>
      <c r="B765" s="27">
        <v>220</v>
      </c>
      <c r="C765" t="s">
        <v>106</v>
      </c>
      <c r="L765" t="str">
        <f t="shared" si="108"/>
        <v/>
      </c>
    </row>
    <row r="766" spans="1:12" x14ac:dyDescent="0.2">
      <c r="A766" t="s">
        <v>60</v>
      </c>
      <c r="B766" s="27">
        <v>220</v>
      </c>
      <c r="C766" t="s">
        <v>107</v>
      </c>
      <c r="L766" t="s">
        <v>147</v>
      </c>
    </row>
    <row r="767" spans="1:12" x14ac:dyDescent="0.2">
      <c r="A767" t="s">
        <v>60</v>
      </c>
      <c r="B767" s="27">
        <v>220</v>
      </c>
      <c r="C767" t="s">
        <v>108</v>
      </c>
    </row>
    <row r="770" spans="1:12" x14ac:dyDescent="0.2">
      <c r="A770" t="s">
        <v>60</v>
      </c>
      <c r="B770" s="27">
        <v>230</v>
      </c>
      <c r="C770" t="s">
        <v>39</v>
      </c>
      <c r="L770" t="s">
        <v>711</v>
      </c>
    </row>
    <row r="771" spans="1:12" x14ac:dyDescent="0.2">
      <c r="A771" t="s">
        <v>60</v>
      </c>
      <c r="B771" s="27">
        <v>230</v>
      </c>
      <c r="C771" t="s">
        <v>105</v>
      </c>
      <c r="E771" t="s">
        <v>1247</v>
      </c>
      <c r="G771" t="s">
        <v>899</v>
      </c>
      <c r="L771" t="str">
        <f t="shared" ref="L771:L772" si="110">_xlfn.TEXTJOIN("", TRUE, D771:J771)</f>
        <v>02_Slots/Gottheit/Goetter-mit-Epitheta/0230_Nefertem/0001_nfr-tm_01.png</v>
      </c>
    </row>
    <row r="772" spans="1:12" x14ac:dyDescent="0.2">
      <c r="A772" t="s">
        <v>60</v>
      </c>
      <c r="B772" s="27">
        <v>230</v>
      </c>
      <c r="C772" t="s">
        <v>105</v>
      </c>
      <c r="E772" t="s">
        <v>1247</v>
      </c>
      <c r="G772" t="s">
        <v>900</v>
      </c>
      <c r="L772" t="str">
        <f t="shared" si="110"/>
        <v>02_Slots/Gottheit/Goetter-mit-Epitheta/0230_Nefertem/0010_nfr-tm_02.png</v>
      </c>
    </row>
    <row r="773" spans="1:12" x14ac:dyDescent="0.2">
      <c r="A773" t="s">
        <v>60</v>
      </c>
      <c r="B773" s="27">
        <v>230</v>
      </c>
      <c r="C773" t="s">
        <v>105</v>
      </c>
      <c r="E773" t="s">
        <v>1247</v>
      </c>
      <c r="G773" t="s">
        <v>901</v>
      </c>
      <c r="I773" t="s">
        <v>1198</v>
      </c>
      <c r="J773" t="s">
        <v>1153</v>
      </c>
      <c r="K773" t="s">
        <v>1200</v>
      </c>
      <c r="L773" t="str">
        <f t="shared" ref="L773:L777" si="111">_xlfn.TEXTJOIN("", TRUE, D773:K773)</f>
        <v>02_Slots/Gottheit/Goetter-mit-Epitheta/0230_Nefertem/0020_nfr-tm_NR_01.png &lt;sup&gt;(NR)&lt;/sup&gt;</v>
      </c>
    </row>
    <row r="774" spans="1:12" x14ac:dyDescent="0.2">
      <c r="A774" t="s">
        <v>60</v>
      </c>
      <c r="B774" s="27">
        <v>230</v>
      </c>
      <c r="C774" t="s">
        <v>105</v>
      </c>
      <c r="E774" t="s">
        <v>1247</v>
      </c>
      <c r="G774" t="s">
        <v>902</v>
      </c>
      <c r="I774" t="s">
        <v>1198</v>
      </c>
      <c r="J774" t="s">
        <v>1201</v>
      </c>
      <c r="K774" t="s">
        <v>1200</v>
      </c>
      <c r="L774" t="str">
        <f t="shared" si="111"/>
        <v>02_Slots/Gottheit/Goetter-mit-Epitheta/0230_Nefertem/0030_nfr-tm_GR_01.png &lt;sup&gt;(Gr.)&lt;/sup&gt;</v>
      </c>
    </row>
    <row r="775" spans="1:12" x14ac:dyDescent="0.2">
      <c r="A775" t="s">
        <v>60</v>
      </c>
      <c r="B775" s="27">
        <v>230</v>
      </c>
      <c r="C775" t="s">
        <v>105</v>
      </c>
      <c r="E775" t="s">
        <v>1247</v>
      </c>
      <c r="G775" t="s">
        <v>903</v>
      </c>
      <c r="I775" t="s">
        <v>1198</v>
      </c>
      <c r="J775" t="s">
        <v>1201</v>
      </c>
      <c r="K775" t="s">
        <v>1200</v>
      </c>
      <c r="L775" t="str">
        <f t="shared" si="111"/>
        <v>02_Slots/Gottheit/Goetter-mit-Epitheta/0230_Nefertem/0040_nfr-tm_GR_02.png &lt;sup&gt;(Gr.)&lt;/sup&gt;</v>
      </c>
    </row>
    <row r="776" spans="1:12" x14ac:dyDescent="0.2">
      <c r="A776" t="s">
        <v>60</v>
      </c>
      <c r="B776" s="27">
        <v>230</v>
      </c>
      <c r="C776" t="s">
        <v>106</v>
      </c>
      <c r="E776" t="s">
        <v>1247</v>
      </c>
      <c r="F776" t="s">
        <v>111</v>
      </c>
      <c r="G776" t="s">
        <v>904</v>
      </c>
      <c r="I776" t="s">
        <v>1198</v>
      </c>
      <c r="J776" t="s">
        <v>1153</v>
      </c>
      <c r="K776" t="s">
        <v>1200</v>
      </c>
      <c r="L776" t="str">
        <f t="shared" si="111"/>
        <v>02_Slots/Gottheit/Goetter-mit-Epitheta/0230_Nefertem/det/0001_nfr-tm_det_NR_01.png &lt;sup&gt;(NR)&lt;/sup&gt;</v>
      </c>
    </row>
    <row r="777" spans="1:12" x14ac:dyDescent="0.2">
      <c r="A777" t="s">
        <v>60</v>
      </c>
      <c r="B777" s="27">
        <v>230</v>
      </c>
      <c r="C777" t="s">
        <v>106</v>
      </c>
      <c r="E777" t="s">
        <v>1247</v>
      </c>
      <c r="F777" t="s">
        <v>111</v>
      </c>
      <c r="G777" t="s">
        <v>905</v>
      </c>
      <c r="I777" t="s">
        <v>1198</v>
      </c>
      <c r="J777" t="s">
        <v>1153</v>
      </c>
      <c r="K777" t="s">
        <v>1200</v>
      </c>
      <c r="L777" t="str">
        <f t="shared" si="111"/>
        <v>02_Slots/Gottheit/Goetter-mit-Epitheta/0230_Nefertem/det/0010_nfr-tm_det_NR_02.png &lt;sup&gt;(NR)&lt;/sup&gt;</v>
      </c>
    </row>
    <row r="778" spans="1:12" x14ac:dyDescent="0.2">
      <c r="A778" t="s">
        <v>60</v>
      </c>
      <c r="B778" s="27">
        <v>230</v>
      </c>
      <c r="C778" t="s">
        <v>107</v>
      </c>
      <c r="L778" t="s">
        <v>148</v>
      </c>
    </row>
    <row r="779" spans="1:12" x14ac:dyDescent="0.2">
      <c r="A779" t="s">
        <v>60</v>
      </c>
      <c r="B779" s="27">
        <v>230</v>
      </c>
      <c r="C779" t="s">
        <v>108</v>
      </c>
    </row>
    <row r="782" spans="1:12" x14ac:dyDescent="0.2">
      <c r="A782" t="s">
        <v>60</v>
      </c>
      <c r="B782" s="27">
        <v>240</v>
      </c>
      <c r="C782" t="s">
        <v>39</v>
      </c>
      <c r="L782" t="s">
        <v>712</v>
      </c>
    </row>
    <row r="783" spans="1:12" x14ac:dyDescent="0.2">
      <c r="A783" t="s">
        <v>60</v>
      </c>
      <c r="B783" s="27">
        <v>240</v>
      </c>
      <c r="C783" t="s">
        <v>105</v>
      </c>
      <c r="E783" t="s">
        <v>1248</v>
      </c>
      <c r="G783" t="s">
        <v>906</v>
      </c>
      <c r="L783" t="str">
        <f>_xlfn.TEXTJOIN("", TRUE, D783:J783)</f>
        <v>02_Slots/Gottheit/Goetter-mit-Epitheta/0240_Nechbet/0001_nxb.t_01.png</v>
      </c>
    </row>
    <row r="784" spans="1:12" x14ac:dyDescent="0.2">
      <c r="A784" t="s">
        <v>60</v>
      </c>
      <c r="B784" s="27">
        <v>240</v>
      </c>
      <c r="C784" t="s">
        <v>105</v>
      </c>
      <c r="E784" t="s">
        <v>1248</v>
      </c>
      <c r="G784" t="s">
        <v>907</v>
      </c>
      <c r="L784" t="str">
        <f>_xlfn.TEXTJOIN("", TRUE, D784:J784)</f>
        <v>02_Slots/Gottheit/Goetter-mit-Epitheta/0240_Nechbet/0010_nxb.t_02.png</v>
      </c>
    </row>
    <row r="785" spans="1:12" x14ac:dyDescent="0.2">
      <c r="A785" t="s">
        <v>60</v>
      </c>
      <c r="B785" s="27">
        <v>240</v>
      </c>
      <c r="C785" t="s">
        <v>105</v>
      </c>
      <c r="E785" t="s">
        <v>1248</v>
      </c>
      <c r="G785" t="s">
        <v>908</v>
      </c>
      <c r="I785" t="s">
        <v>1198</v>
      </c>
      <c r="J785" t="s">
        <v>1153</v>
      </c>
      <c r="K785" t="s">
        <v>1200</v>
      </c>
      <c r="L785" t="str">
        <f t="shared" ref="L785:L787" si="112">_xlfn.TEXTJOIN("", TRUE, D785:K785)</f>
        <v>02_Slots/Gottheit/Goetter-mit-Epitheta/0240_Nechbet/0020_nxb.t_NR_01.png &lt;sup&gt;(NR)&lt;/sup&gt;</v>
      </c>
    </row>
    <row r="786" spans="1:12" x14ac:dyDescent="0.2">
      <c r="A786" t="s">
        <v>60</v>
      </c>
      <c r="B786" s="27">
        <v>240</v>
      </c>
      <c r="C786" t="s">
        <v>105</v>
      </c>
      <c r="E786" t="s">
        <v>1248</v>
      </c>
      <c r="G786" t="s">
        <v>909</v>
      </c>
      <c r="I786" t="s">
        <v>1198</v>
      </c>
      <c r="J786" t="s">
        <v>1201</v>
      </c>
      <c r="K786" t="s">
        <v>1200</v>
      </c>
      <c r="L786" t="str">
        <f t="shared" si="112"/>
        <v>02_Slots/Gottheit/Goetter-mit-Epitheta/0240_Nechbet/0030_nxb.t_GR_01.png &lt;sup&gt;(Gr.)&lt;/sup&gt;</v>
      </c>
    </row>
    <row r="787" spans="1:12" x14ac:dyDescent="0.2">
      <c r="A787" t="s">
        <v>60</v>
      </c>
      <c r="B787" s="27">
        <v>240</v>
      </c>
      <c r="C787" t="s">
        <v>106</v>
      </c>
      <c r="E787" t="s">
        <v>1248</v>
      </c>
      <c r="F787" t="s">
        <v>111</v>
      </c>
      <c r="G787" t="s">
        <v>910</v>
      </c>
      <c r="H787" t="s">
        <v>113</v>
      </c>
      <c r="I787" t="s">
        <v>1198</v>
      </c>
      <c r="J787" t="s">
        <v>1199</v>
      </c>
      <c r="K787" t="s">
        <v>1200</v>
      </c>
      <c r="L787" t="str">
        <f t="shared" si="112"/>
        <v>02_Slots/Gottheit/Goetter-mit-Epitheta/0240_Nechbet/det/0001_nxb.t_det_AR_01.png &lt;sup&gt;(AR)&lt;/sup&gt;</v>
      </c>
    </row>
    <row r="788" spans="1:12" x14ac:dyDescent="0.2">
      <c r="A788" t="s">
        <v>60</v>
      </c>
      <c r="B788" s="27">
        <v>240</v>
      </c>
      <c r="C788" t="s">
        <v>107</v>
      </c>
      <c r="L788" t="s">
        <v>149</v>
      </c>
    </row>
    <row r="789" spans="1:12" x14ac:dyDescent="0.2">
      <c r="A789" t="s">
        <v>60</v>
      </c>
      <c r="B789" s="27">
        <v>240</v>
      </c>
      <c r="C789" t="s">
        <v>108</v>
      </c>
    </row>
    <row r="792" spans="1:12" x14ac:dyDescent="0.2">
      <c r="A792" t="s">
        <v>60</v>
      </c>
      <c r="B792" s="27">
        <v>250</v>
      </c>
      <c r="C792" t="s">
        <v>39</v>
      </c>
      <c r="L792" t="s">
        <v>713</v>
      </c>
    </row>
    <row r="793" spans="1:12" x14ac:dyDescent="0.2">
      <c r="A793" t="s">
        <v>60</v>
      </c>
      <c r="B793" s="27">
        <v>250</v>
      </c>
      <c r="C793" t="s">
        <v>105</v>
      </c>
      <c r="E793" t="s">
        <v>1249</v>
      </c>
      <c r="G793" t="s">
        <v>911</v>
      </c>
      <c r="L793" t="str">
        <f t="shared" ref="L793" si="113">_xlfn.TEXTJOIN("", TRUE, D793:J793)</f>
        <v>02_Slots/Gottheit/Goetter-mit-Epitheta/0250_Re/0001_ra_01.png</v>
      </c>
    </row>
    <row r="794" spans="1:12" x14ac:dyDescent="0.2">
      <c r="A794" t="s">
        <v>60</v>
      </c>
      <c r="B794" s="27">
        <v>250</v>
      </c>
      <c r="C794" t="s">
        <v>105</v>
      </c>
      <c r="E794" t="s">
        <v>1249</v>
      </c>
      <c r="G794" t="s">
        <v>912</v>
      </c>
      <c r="I794" t="s">
        <v>1198</v>
      </c>
      <c r="J794" t="s">
        <v>1207</v>
      </c>
      <c r="K794" t="s">
        <v>1200</v>
      </c>
      <c r="L794" t="str">
        <f t="shared" ref="L794:L800" si="114">_xlfn.TEXTJOIN("", TRUE, D794:K794)</f>
        <v>02_Slots/Gottheit/Goetter-mit-Epitheta/0250_Re/0010_ra_SP_01.png &lt;sup&gt;(Sp.)&lt;/sup&gt;</v>
      </c>
    </row>
    <row r="795" spans="1:12" x14ac:dyDescent="0.2">
      <c r="A795" t="s">
        <v>60</v>
      </c>
      <c r="B795" s="27">
        <v>250</v>
      </c>
      <c r="C795" t="s">
        <v>105</v>
      </c>
      <c r="E795" t="s">
        <v>1249</v>
      </c>
      <c r="G795" t="s">
        <v>913</v>
      </c>
      <c r="I795" t="s">
        <v>1198</v>
      </c>
      <c r="J795" t="s">
        <v>1201</v>
      </c>
      <c r="K795" t="s">
        <v>1200</v>
      </c>
      <c r="L795" t="str">
        <f t="shared" si="114"/>
        <v>02_Slots/Gottheit/Goetter-mit-Epitheta/0250_Re/0020_ra_GR_01.png &lt;sup&gt;(Gr.)&lt;/sup&gt;</v>
      </c>
    </row>
    <row r="796" spans="1:12" x14ac:dyDescent="0.2">
      <c r="A796" t="s">
        <v>60</v>
      </c>
      <c r="B796" s="27">
        <v>250</v>
      </c>
      <c r="C796" t="s">
        <v>105</v>
      </c>
      <c r="E796" t="s">
        <v>1249</v>
      </c>
      <c r="G796" t="s">
        <v>914</v>
      </c>
      <c r="I796" t="s">
        <v>1198</v>
      </c>
      <c r="J796" t="s">
        <v>1201</v>
      </c>
      <c r="K796" t="s">
        <v>1200</v>
      </c>
      <c r="L796" t="str">
        <f t="shared" si="114"/>
        <v>02_Slots/Gottheit/Goetter-mit-Epitheta/0250_Re/0030_ra_GR_02.png &lt;sup&gt;(Gr.)&lt;/sup&gt;</v>
      </c>
    </row>
    <row r="797" spans="1:12" x14ac:dyDescent="0.2">
      <c r="A797" t="s">
        <v>60</v>
      </c>
      <c r="B797" s="27">
        <v>250</v>
      </c>
      <c r="C797" t="s">
        <v>106</v>
      </c>
      <c r="E797" t="s">
        <v>1249</v>
      </c>
      <c r="F797" t="s">
        <v>111</v>
      </c>
      <c r="G797" t="s">
        <v>915</v>
      </c>
      <c r="I797" t="s">
        <v>1198</v>
      </c>
      <c r="J797" t="s">
        <v>1199</v>
      </c>
      <c r="K797" t="s">
        <v>1200</v>
      </c>
      <c r="L797" t="str">
        <f t="shared" si="114"/>
        <v>02_Slots/Gottheit/Goetter-mit-Epitheta/0250_Re/det/0001_ra_det_AR_01.png &lt;sup&gt;(AR)&lt;/sup&gt;</v>
      </c>
    </row>
    <row r="798" spans="1:12" x14ac:dyDescent="0.2">
      <c r="A798" t="s">
        <v>60</v>
      </c>
      <c r="B798" s="27">
        <v>250</v>
      </c>
      <c r="C798" t="s">
        <v>106</v>
      </c>
      <c r="E798" t="s">
        <v>1249</v>
      </c>
      <c r="F798" t="s">
        <v>111</v>
      </c>
      <c r="G798" t="s">
        <v>916</v>
      </c>
      <c r="I798" t="s">
        <v>1198</v>
      </c>
      <c r="J798" t="s">
        <v>1202</v>
      </c>
      <c r="K798" t="s">
        <v>1200</v>
      </c>
      <c r="L798" t="str">
        <f t="shared" si="114"/>
        <v>02_Slots/Gottheit/Goetter-mit-Epitheta/0250_Re/det/0010_ra_det_MR_01.png &lt;sup&gt;(MR)&lt;/sup&gt;</v>
      </c>
    </row>
    <row r="799" spans="1:12" x14ac:dyDescent="0.2">
      <c r="A799" t="s">
        <v>60</v>
      </c>
      <c r="B799" s="27">
        <v>250</v>
      </c>
      <c r="C799" t="s">
        <v>106</v>
      </c>
      <c r="E799" t="s">
        <v>1249</v>
      </c>
      <c r="F799" t="s">
        <v>111</v>
      </c>
      <c r="G799" t="s">
        <v>917</v>
      </c>
      <c r="I799" t="s">
        <v>1198</v>
      </c>
      <c r="J799" t="s">
        <v>1153</v>
      </c>
      <c r="K799" t="s">
        <v>1200</v>
      </c>
      <c r="L799" t="str">
        <f t="shared" si="114"/>
        <v>02_Slots/Gottheit/Goetter-mit-Epitheta/0250_Re/det/0020_ra_det_NR_01.png &lt;sup&gt;(NR)&lt;/sup&gt;</v>
      </c>
    </row>
    <row r="800" spans="1:12" x14ac:dyDescent="0.2">
      <c r="A800" t="s">
        <v>60</v>
      </c>
      <c r="B800" s="27">
        <v>250</v>
      </c>
      <c r="C800" t="s">
        <v>106</v>
      </c>
      <c r="E800" t="s">
        <v>1249</v>
      </c>
      <c r="F800" t="s">
        <v>111</v>
      </c>
      <c r="G800" t="s">
        <v>918</v>
      </c>
      <c r="I800" t="s">
        <v>1198</v>
      </c>
      <c r="J800" t="s">
        <v>1153</v>
      </c>
      <c r="K800" t="s">
        <v>1200</v>
      </c>
      <c r="L800" t="str">
        <f t="shared" si="114"/>
        <v>02_Slots/Gottheit/Goetter-mit-Epitheta/0250_Re/det/0030_ra_det_NR_02.png &lt;sup&gt;(NR)&lt;/sup&gt;</v>
      </c>
    </row>
    <row r="801" spans="1:12" x14ac:dyDescent="0.2">
      <c r="A801" t="s">
        <v>60</v>
      </c>
      <c r="B801" s="27">
        <v>250</v>
      </c>
      <c r="C801" t="s">
        <v>107</v>
      </c>
      <c r="L801" t="s">
        <v>150</v>
      </c>
    </row>
    <row r="802" spans="1:12" x14ac:dyDescent="0.2">
      <c r="A802" t="s">
        <v>60</v>
      </c>
      <c r="B802" s="27">
        <v>250</v>
      </c>
      <c r="C802" t="s">
        <v>108</v>
      </c>
    </row>
    <row r="805" spans="1:12" x14ac:dyDescent="0.2">
      <c r="A805" t="s">
        <v>60</v>
      </c>
      <c r="B805" s="27">
        <v>260</v>
      </c>
      <c r="C805" t="s">
        <v>39</v>
      </c>
      <c r="L805" t="s">
        <v>714</v>
      </c>
    </row>
    <row r="806" spans="1:12" x14ac:dyDescent="0.2">
      <c r="A806" t="s">
        <v>60</v>
      </c>
      <c r="B806" s="27">
        <v>260</v>
      </c>
      <c r="C806" t="s">
        <v>105</v>
      </c>
      <c r="E806" t="s">
        <v>1250</v>
      </c>
      <c r="L806" t="str">
        <f>_xlfn.TEXTJOIN("", TRUE, D806:J806)</f>
        <v>02_Slots/Gottheit/Goetter-mit-Epitheta/0260_Re-Harachte/</v>
      </c>
    </row>
    <row r="807" spans="1:12" x14ac:dyDescent="0.2">
      <c r="A807" t="s">
        <v>60</v>
      </c>
      <c r="B807" s="27">
        <v>260</v>
      </c>
      <c r="C807" t="s">
        <v>106</v>
      </c>
      <c r="L807" t="str">
        <f>_xlfn.TEXTJOIN("", TRUE, D807:J807)</f>
        <v/>
      </c>
    </row>
    <row r="808" spans="1:12" x14ac:dyDescent="0.2">
      <c r="A808" t="s">
        <v>60</v>
      </c>
      <c r="B808" s="27">
        <v>260</v>
      </c>
      <c r="C808" t="s">
        <v>107</v>
      </c>
      <c r="L808" t="s">
        <v>151</v>
      </c>
    </row>
    <row r="809" spans="1:12" x14ac:dyDescent="0.2">
      <c r="A809" t="s">
        <v>60</v>
      </c>
      <c r="B809" s="27">
        <v>260</v>
      </c>
      <c r="C809" t="s">
        <v>108</v>
      </c>
    </row>
    <row r="812" spans="1:12" x14ac:dyDescent="0.2">
      <c r="A812" t="s">
        <v>60</v>
      </c>
      <c r="B812" s="27">
        <v>270</v>
      </c>
      <c r="C812" t="s">
        <v>39</v>
      </c>
      <c r="L812" t="s">
        <v>715</v>
      </c>
    </row>
    <row r="813" spans="1:12" x14ac:dyDescent="0.2">
      <c r="A813" t="s">
        <v>60</v>
      </c>
      <c r="B813" s="27">
        <v>270</v>
      </c>
      <c r="C813" t="s">
        <v>105</v>
      </c>
      <c r="E813" t="s">
        <v>1251</v>
      </c>
      <c r="G813" t="s">
        <v>919</v>
      </c>
      <c r="L813" t="str">
        <f t="shared" ref="L813:L819" si="115">_xlfn.TEXTJOIN("", TRUE, D813:J813)</f>
        <v>02_Slots/Gottheit/Goetter-mit-Epitheta/0270_Renenutet/0001_rnnwt.t_01.png</v>
      </c>
    </row>
    <row r="814" spans="1:12" x14ac:dyDescent="0.2">
      <c r="A814" t="s">
        <v>60</v>
      </c>
      <c r="B814" s="27">
        <v>270</v>
      </c>
      <c r="C814" t="s">
        <v>105</v>
      </c>
      <c r="E814" t="s">
        <v>1251</v>
      </c>
      <c r="G814" t="s">
        <v>920</v>
      </c>
      <c r="I814" t="s">
        <v>1198</v>
      </c>
      <c r="J814" t="s">
        <v>1199</v>
      </c>
      <c r="K814" t="s">
        <v>1200</v>
      </c>
      <c r="L814" t="str">
        <f t="shared" ref="L814:L818" si="116">_xlfn.TEXTJOIN("", TRUE, D814:K814)</f>
        <v>02_Slots/Gottheit/Goetter-mit-Epitheta/0270_Renenutet/0010_rnnwt.t_AR_01.png &lt;sup&gt;(AR)&lt;/sup&gt;</v>
      </c>
    </row>
    <row r="815" spans="1:12" x14ac:dyDescent="0.2">
      <c r="A815" t="s">
        <v>60</v>
      </c>
      <c r="B815" s="27">
        <v>270</v>
      </c>
      <c r="C815" t="s">
        <v>105</v>
      </c>
      <c r="E815" t="s">
        <v>1251</v>
      </c>
      <c r="G815" t="s">
        <v>921</v>
      </c>
      <c r="I815" t="s">
        <v>1198</v>
      </c>
      <c r="J815" t="s">
        <v>1199</v>
      </c>
      <c r="K815" t="s">
        <v>1200</v>
      </c>
      <c r="L815" t="str">
        <f t="shared" si="116"/>
        <v>02_Slots/Gottheit/Goetter-mit-Epitheta/0270_Renenutet/0020_rnnwt.t_AR_02.png &lt;sup&gt;(AR)&lt;/sup&gt;</v>
      </c>
    </row>
    <row r="816" spans="1:12" x14ac:dyDescent="0.2">
      <c r="A816" t="s">
        <v>60</v>
      </c>
      <c r="B816" s="27">
        <v>270</v>
      </c>
      <c r="C816" t="s">
        <v>105</v>
      </c>
      <c r="E816" t="s">
        <v>1251</v>
      </c>
      <c r="G816" t="s">
        <v>922</v>
      </c>
      <c r="I816" t="s">
        <v>1198</v>
      </c>
      <c r="J816" t="s">
        <v>1206</v>
      </c>
      <c r="K816" t="s">
        <v>1200</v>
      </c>
      <c r="L816" t="str">
        <f t="shared" si="116"/>
        <v>02_Slots/Gottheit/Goetter-mit-Epitheta/0270_Renenutet/0030_rnnwt.t_D.18_01.png &lt;sup&gt;(D.18)&lt;/sup&gt;</v>
      </c>
    </row>
    <row r="817" spans="1:12" x14ac:dyDescent="0.2">
      <c r="A817" t="s">
        <v>60</v>
      </c>
      <c r="B817" s="27">
        <v>270</v>
      </c>
      <c r="C817" t="s">
        <v>105</v>
      </c>
      <c r="E817" t="s">
        <v>1251</v>
      </c>
      <c r="G817" t="s">
        <v>923</v>
      </c>
      <c r="I817" t="s">
        <v>1198</v>
      </c>
      <c r="J817" t="s">
        <v>1206</v>
      </c>
      <c r="K817" t="s">
        <v>1200</v>
      </c>
      <c r="L817" t="str">
        <f t="shared" si="116"/>
        <v>02_Slots/Gottheit/Goetter-mit-Epitheta/0270_Renenutet/0040_rnnwt.t_D.18_02.png &lt;sup&gt;(D.18)&lt;/sup&gt;</v>
      </c>
    </row>
    <row r="818" spans="1:12" x14ac:dyDescent="0.2">
      <c r="A818" t="s">
        <v>60</v>
      </c>
      <c r="B818" s="27">
        <v>270</v>
      </c>
      <c r="C818" t="s">
        <v>105</v>
      </c>
      <c r="E818" t="s">
        <v>1251</v>
      </c>
      <c r="G818" t="s">
        <v>924</v>
      </c>
      <c r="I818" t="s">
        <v>1198</v>
      </c>
      <c r="J818" t="s">
        <v>1206</v>
      </c>
      <c r="K818" t="s">
        <v>1200</v>
      </c>
      <c r="L818" t="str">
        <f t="shared" si="116"/>
        <v>02_Slots/Gottheit/Goetter-mit-Epitheta/0270_Renenutet/0050_rnnwt.t_D.18_03.png &lt;sup&gt;(D.18)&lt;/sup&gt;</v>
      </c>
    </row>
    <row r="819" spans="1:12" x14ac:dyDescent="0.2">
      <c r="A819" t="s">
        <v>60</v>
      </c>
      <c r="B819" s="27">
        <v>270</v>
      </c>
      <c r="C819" t="s">
        <v>106</v>
      </c>
      <c r="L819" t="str">
        <f t="shared" si="115"/>
        <v/>
      </c>
    </row>
    <row r="820" spans="1:12" x14ac:dyDescent="0.2">
      <c r="A820" t="s">
        <v>60</v>
      </c>
      <c r="B820" s="27">
        <v>270</v>
      </c>
      <c r="C820" t="s">
        <v>107</v>
      </c>
      <c r="L820" t="s">
        <v>152</v>
      </c>
    </row>
    <row r="821" spans="1:12" x14ac:dyDescent="0.2">
      <c r="A821" t="s">
        <v>60</v>
      </c>
      <c r="B821" s="27">
        <v>270</v>
      </c>
      <c r="C821" t="s">
        <v>108</v>
      </c>
    </row>
    <row r="824" spans="1:12" x14ac:dyDescent="0.2">
      <c r="A824" t="s">
        <v>60</v>
      </c>
      <c r="B824" s="27">
        <v>280</v>
      </c>
      <c r="C824" t="s">
        <v>39</v>
      </c>
      <c r="L824" t="s">
        <v>716</v>
      </c>
    </row>
    <row r="825" spans="1:12" x14ac:dyDescent="0.2">
      <c r="A825" t="s">
        <v>60</v>
      </c>
      <c r="B825" s="27">
        <v>280</v>
      </c>
      <c r="C825" t="s">
        <v>105</v>
      </c>
      <c r="E825" t="s">
        <v>1252</v>
      </c>
      <c r="G825" t="s">
        <v>925</v>
      </c>
      <c r="I825" t="s">
        <v>1198</v>
      </c>
      <c r="J825" t="s">
        <v>1199</v>
      </c>
      <c r="K825" t="s">
        <v>1200</v>
      </c>
      <c r="L825" t="str">
        <f t="shared" ref="L825:L836" si="117">_xlfn.TEXTJOIN("", TRUE, D825:K825)</f>
        <v>02_Slots/Gottheit/Goetter-mit-Epitheta/0280_Hapi-Nilgott/0001_Hapj_AR_01.png &lt;sup&gt;(AR)&lt;/sup&gt;</v>
      </c>
    </row>
    <row r="826" spans="1:12" x14ac:dyDescent="0.2">
      <c r="A826" t="s">
        <v>60</v>
      </c>
      <c r="B826" s="27">
        <v>280</v>
      </c>
      <c r="C826" t="s">
        <v>105</v>
      </c>
      <c r="E826" t="s">
        <v>1252</v>
      </c>
      <c r="G826" t="s">
        <v>926</v>
      </c>
      <c r="I826" t="s">
        <v>1198</v>
      </c>
      <c r="J826" t="s">
        <v>1202</v>
      </c>
      <c r="K826" t="s">
        <v>1200</v>
      </c>
      <c r="L826" t="str">
        <f t="shared" si="117"/>
        <v>02_Slots/Gottheit/Goetter-mit-Epitheta/0280_Hapi-Nilgott/0010_Hapj_MR_01.png &lt;sup&gt;(MR)&lt;/sup&gt;</v>
      </c>
    </row>
    <row r="827" spans="1:12" x14ac:dyDescent="0.2">
      <c r="A827" t="s">
        <v>60</v>
      </c>
      <c r="B827" s="27">
        <v>280</v>
      </c>
      <c r="C827" t="s">
        <v>105</v>
      </c>
      <c r="E827" t="s">
        <v>1252</v>
      </c>
      <c r="G827" t="s">
        <v>927</v>
      </c>
      <c r="I827" t="s">
        <v>1198</v>
      </c>
      <c r="J827" t="s">
        <v>1202</v>
      </c>
      <c r="K827" t="s">
        <v>1200</v>
      </c>
      <c r="L827" t="str">
        <f t="shared" si="117"/>
        <v>02_Slots/Gottheit/Goetter-mit-Epitheta/0280_Hapi-Nilgott/0020_Hapj_MR_02.png &lt;sup&gt;(MR)&lt;/sup&gt;</v>
      </c>
    </row>
    <row r="828" spans="1:12" x14ac:dyDescent="0.2">
      <c r="A828" t="s">
        <v>60</v>
      </c>
      <c r="B828" s="27">
        <v>280</v>
      </c>
      <c r="C828" t="s">
        <v>105</v>
      </c>
      <c r="E828" t="s">
        <v>1252</v>
      </c>
      <c r="G828" t="s">
        <v>928</v>
      </c>
      <c r="I828" t="s">
        <v>1198</v>
      </c>
      <c r="J828" t="s">
        <v>1202</v>
      </c>
      <c r="K828" t="s">
        <v>1200</v>
      </c>
      <c r="L828" t="str">
        <f t="shared" si="117"/>
        <v>02_Slots/Gottheit/Goetter-mit-Epitheta/0280_Hapi-Nilgott/0030_Hapj_MR_03.png &lt;sup&gt;(MR)&lt;/sup&gt;</v>
      </c>
    </row>
    <row r="829" spans="1:12" x14ac:dyDescent="0.2">
      <c r="A829" t="s">
        <v>60</v>
      </c>
      <c r="B829" s="27">
        <v>280</v>
      </c>
      <c r="C829" t="s">
        <v>105</v>
      </c>
      <c r="E829" t="s">
        <v>1252</v>
      </c>
      <c r="G829" t="s">
        <v>929</v>
      </c>
      <c r="I829" t="s">
        <v>1198</v>
      </c>
      <c r="J829" t="s">
        <v>1202</v>
      </c>
      <c r="K829" t="s">
        <v>1200</v>
      </c>
      <c r="L829" t="str">
        <f t="shared" si="117"/>
        <v>02_Slots/Gottheit/Goetter-mit-Epitheta/0280_Hapi-Nilgott/0040_Hapj_MR_04.png &lt;sup&gt;(MR)&lt;/sup&gt;</v>
      </c>
    </row>
    <row r="830" spans="1:12" x14ac:dyDescent="0.2">
      <c r="A830" t="s">
        <v>60</v>
      </c>
      <c r="B830" s="27">
        <v>280</v>
      </c>
      <c r="C830" t="s">
        <v>105</v>
      </c>
      <c r="E830" t="s">
        <v>1252</v>
      </c>
      <c r="G830" t="s">
        <v>930</v>
      </c>
      <c r="I830" t="s">
        <v>1198</v>
      </c>
      <c r="J830" t="s">
        <v>1202</v>
      </c>
      <c r="K830" t="s">
        <v>1200</v>
      </c>
      <c r="L830" t="str">
        <f t="shared" si="117"/>
        <v>02_Slots/Gottheit/Goetter-mit-Epitheta/0280_Hapi-Nilgott/0050_Hapj_MR_05.png &lt;sup&gt;(MR)&lt;/sup&gt;</v>
      </c>
    </row>
    <row r="831" spans="1:12" x14ac:dyDescent="0.2">
      <c r="A831" t="s">
        <v>60</v>
      </c>
      <c r="B831" s="27">
        <v>280</v>
      </c>
      <c r="C831" t="s">
        <v>105</v>
      </c>
      <c r="E831" t="s">
        <v>1252</v>
      </c>
      <c r="G831" t="s">
        <v>931</v>
      </c>
      <c r="I831" t="s">
        <v>1198</v>
      </c>
      <c r="J831" t="s">
        <v>1202</v>
      </c>
      <c r="K831" t="s">
        <v>1200</v>
      </c>
      <c r="L831" t="str">
        <f t="shared" si="117"/>
        <v>02_Slots/Gottheit/Goetter-mit-Epitheta/0280_Hapi-Nilgott/0060_Hapj_MR_06.png &lt;sup&gt;(MR)&lt;/sup&gt;</v>
      </c>
    </row>
    <row r="832" spans="1:12" x14ac:dyDescent="0.2">
      <c r="A832" t="s">
        <v>60</v>
      </c>
      <c r="B832" s="27">
        <v>280</v>
      </c>
      <c r="C832" t="s">
        <v>105</v>
      </c>
      <c r="E832" t="s">
        <v>1252</v>
      </c>
      <c r="G832" t="s">
        <v>932</v>
      </c>
      <c r="I832" t="s">
        <v>1198</v>
      </c>
      <c r="J832" t="s">
        <v>1209</v>
      </c>
      <c r="K832" t="s">
        <v>1200</v>
      </c>
      <c r="L832" t="str">
        <f t="shared" si="117"/>
        <v>02_Slots/Gottheit/Goetter-mit-Epitheta/0280_Hapi-Nilgott/0070_Hapj_Sait._01.png &lt;sup&gt;(Saït.)&lt;/sup&gt;</v>
      </c>
    </row>
    <row r="833" spans="1:12" x14ac:dyDescent="0.2">
      <c r="A833" t="s">
        <v>60</v>
      </c>
      <c r="B833" s="27">
        <v>280</v>
      </c>
      <c r="C833" t="s">
        <v>105</v>
      </c>
      <c r="E833" t="s">
        <v>1252</v>
      </c>
      <c r="G833" t="s">
        <v>933</v>
      </c>
      <c r="I833" t="s">
        <v>1198</v>
      </c>
      <c r="J833" t="s">
        <v>1209</v>
      </c>
      <c r="K833" t="s">
        <v>1200</v>
      </c>
      <c r="L833" t="str">
        <f t="shared" si="117"/>
        <v>02_Slots/Gottheit/Goetter-mit-Epitheta/0280_Hapi-Nilgott/0080_Hapj_Sait._02.png &lt;sup&gt;(Saït.)&lt;/sup&gt;</v>
      </c>
    </row>
    <row r="834" spans="1:12" x14ac:dyDescent="0.2">
      <c r="A834" t="s">
        <v>60</v>
      </c>
      <c r="B834" s="27">
        <v>280</v>
      </c>
      <c r="C834" t="s">
        <v>105</v>
      </c>
      <c r="E834" t="s">
        <v>1252</v>
      </c>
      <c r="G834" t="s">
        <v>936</v>
      </c>
      <c r="I834" t="s">
        <v>1198</v>
      </c>
      <c r="J834" t="s">
        <v>1210</v>
      </c>
      <c r="K834" t="s">
        <v>1200</v>
      </c>
      <c r="L834" t="str">
        <f t="shared" si="117"/>
        <v>02_Slots/Gottheit/Goetter-mit-Epitheta/0280_Hapi-Nilgott/0090_Hapj_SP-GR_01.png &lt;sup&gt;(Sp.–Gr.)&lt;/sup&gt;</v>
      </c>
    </row>
    <row r="835" spans="1:12" x14ac:dyDescent="0.2">
      <c r="A835" t="s">
        <v>60</v>
      </c>
      <c r="B835" s="27">
        <v>280</v>
      </c>
      <c r="C835" t="s">
        <v>105</v>
      </c>
      <c r="E835" t="s">
        <v>1252</v>
      </c>
      <c r="G835" t="s">
        <v>937</v>
      </c>
      <c r="I835" t="s">
        <v>1198</v>
      </c>
      <c r="J835" t="s">
        <v>1210</v>
      </c>
      <c r="K835" t="s">
        <v>1200</v>
      </c>
      <c r="L835" t="str">
        <f t="shared" si="117"/>
        <v>02_Slots/Gottheit/Goetter-mit-Epitheta/0280_Hapi-Nilgott/0100_Hapj_SP-GR_02.png &lt;sup&gt;(Sp.–Gr.)&lt;/sup&gt;</v>
      </c>
    </row>
    <row r="836" spans="1:12" x14ac:dyDescent="0.2">
      <c r="A836" t="s">
        <v>60</v>
      </c>
      <c r="B836" s="27">
        <v>280</v>
      </c>
      <c r="C836" t="s">
        <v>105</v>
      </c>
      <c r="E836" t="s">
        <v>1252</v>
      </c>
      <c r="G836" t="s">
        <v>938</v>
      </c>
      <c r="I836" t="s">
        <v>1198</v>
      </c>
      <c r="J836" t="s">
        <v>1210</v>
      </c>
      <c r="K836" t="s">
        <v>1200</v>
      </c>
      <c r="L836" t="str">
        <f t="shared" si="117"/>
        <v>02_Slots/Gottheit/Goetter-mit-Epitheta/0280_Hapi-Nilgott/0110_Hapj_SP-GR_03.png &lt;sup&gt;(Sp.–Gr.)&lt;/sup&gt;</v>
      </c>
    </row>
    <row r="837" spans="1:12" x14ac:dyDescent="0.2">
      <c r="A837" t="s">
        <v>60</v>
      </c>
      <c r="B837" s="27">
        <v>280</v>
      </c>
      <c r="C837" t="s">
        <v>106</v>
      </c>
      <c r="E837" t="s">
        <v>1252</v>
      </c>
      <c r="F837" t="s">
        <v>111</v>
      </c>
      <c r="G837" t="s">
        <v>934</v>
      </c>
      <c r="L837" t="str">
        <f t="shared" ref="L837:L838" si="118">_xlfn.TEXTJOIN("", TRUE, D837:J837)</f>
        <v>02_Slots/Gottheit/Goetter-mit-Epitheta/0280_Hapi-Nilgott/det/0001_Hapj_det_01.png</v>
      </c>
    </row>
    <row r="838" spans="1:12" x14ac:dyDescent="0.2">
      <c r="A838" t="s">
        <v>60</v>
      </c>
      <c r="B838" s="27">
        <v>280</v>
      </c>
      <c r="C838" t="s">
        <v>106</v>
      </c>
      <c r="E838" t="s">
        <v>1252</v>
      </c>
      <c r="F838" t="s">
        <v>111</v>
      </c>
      <c r="G838" t="s">
        <v>935</v>
      </c>
      <c r="L838" t="str">
        <f t="shared" si="118"/>
        <v>02_Slots/Gottheit/Goetter-mit-Epitheta/0280_Hapi-Nilgott/det/0010_Hapj_det_02.png</v>
      </c>
    </row>
    <row r="839" spans="1:12" x14ac:dyDescent="0.2">
      <c r="A839" t="s">
        <v>60</v>
      </c>
      <c r="B839" s="27">
        <v>280</v>
      </c>
      <c r="C839" t="s">
        <v>107</v>
      </c>
      <c r="L839" t="s">
        <v>153</v>
      </c>
    </row>
    <row r="840" spans="1:12" x14ac:dyDescent="0.2">
      <c r="A840" t="s">
        <v>60</v>
      </c>
      <c r="B840" s="27">
        <v>280</v>
      </c>
      <c r="C840" t="s">
        <v>108</v>
      </c>
    </row>
    <row r="843" spans="1:12" x14ac:dyDescent="0.2">
      <c r="A843" t="s">
        <v>60</v>
      </c>
      <c r="B843" s="27">
        <v>290</v>
      </c>
      <c r="C843" t="s">
        <v>39</v>
      </c>
      <c r="L843" t="s">
        <v>418</v>
      </c>
    </row>
    <row r="844" spans="1:12" x14ac:dyDescent="0.2">
      <c r="A844" t="s">
        <v>60</v>
      </c>
      <c r="B844" s="27">
        <v>290</v>
      </c>
      <c r="C844" t="s">
        <v>105</v>
      </c>
      <c r="E844" t="s">
        <v>1253</v>
      </c>
      <c r="G844" t="s">
        <v>939</v>
      </c>
      <c r="L844" t="str">
        <f>_xlfn.TEXTJOIN("", TRUE, D844:J844)</f>
        <v>02_Slots/Gottheit/Goetter-mit-Epitheta/0290_Hathor/0001_Hwt-Hr_01.png</v>
      </c>
    </row>
    <row r="845" spans="1:12" x14ac:dyDescent="0.2">
      <c r="A845" t="s">
        <v>60</v>
      </c>
      <c r="B845" s="27">
        <v>290</v>
      </c>
      <c r="C845" t="s">
        <v>105</v>
      </c>
      <c r="E845" t="s">
        <v>1253</v>
      </c>
      <c r="G845" t="s">
        <v>940</v>
      </c>
      <c r="I845" t="s">
        <v>1198</v>
      </c>
      <c r="J845" t="s">
        <v>1199</v>
      </c>
      <c r="K845" t="s">
        <v>1200</v>
      </c>
      <c r="L845" t="str">
        <f t="shared" ref="L845:L846" si="119">_xlfn.TEXTJOIN("", TRUE, D845:K845)</f>
        <v>02_Slots/Gottheit/Goetter-mit-Epitheta/0290_Hathor/0010_Hwt-Hr_AR_01.png &lt;sup&gt;(AR)&lt;/sup&gt;</v>
      </c>
    </row>
    <row r="846" spans="1:12" x14ac:dyDescent="0.2">
      <c r="A846" t="s">
        <v>60</v>
      </c>
      <c r="B846" s="27">
        <v>290</v>
      </c>
      <c r="C846" t="s">
        <v>105</v>
      </c>
      <c r="E846" t="s">
        <v>1253</v>
      </c>
      <c r="G846" t="s">
        <v>941</v>
      </c>
      <c r="I846" t="s">
        <v>1198</v>
      </c>
      <c r="J846" t="s">
        <v>1199</v>
      </c>
      <c r="K846" t="s">
        <v>1200</v>
      </c>
      <c r="L846" t="str">
        <f t="shared" si="119"/>
        <v>02_Slots/Gottheit/Goetter-mit-Epitheta/0290_Hathor/0020_Hwt-Hr_AR_02.png &lt;sup&gt;(AR)&lt;/sup&gt;</v>
      </c>
    </row>
    <row r="847" spans="1:12" x14ac:dyDescent="0.2">
      <c r="A847" t="s">
        <v>60</v>
      </c>
      <c r="B847" s="27">
        <v>290</v>
      </c>
      <c r="C847" t="s">
        <v>106</v>
      </c>
      <c r="L847" t="str">
        <f>_xlfn.TEXTJOIN("", TRUE, D847:J847)</f>
        <v/>
      </c>
    </row>
    <row r="848" spans="1:12" x14ac:dyDescent="0.2">
      <c r="A848" t="s">
        <v>60</v>
      </c>
      <c r="B848" s="27">
        <v>290</v>
      </c>
      <c r="C848" t="s">
        <v>107</v>
      </c>
      <c r="L848" t="s">
        <v>154</v>
      </c>
    </row>
    <row r="849" spans="1:12" x14ac:dyDescent="0.2">
      <c r="A849" t="s">
        <v>60</v>
      </c>
      <c r="B849" s="27">
        <v>290</v>
      </c>
      <c r="C849" t="s">
        <v>108</v>
      </c>
    </row>
    <row r="852" spans="1:12" x14ac:dyDescent="0.2">
      <c r="A852" t="s">
        <v>60</v>
      </c>
      <c r="B852" s="27">
        <v>300</v>
      </c>
      <c r="C852" t="s">
        <v>39</v>
      </c>
      <c r="L852" t="s">
        <v>717</v>
      </c>
    </row>
    <row r="853" spans="1:12" x14ac:dyDescent="0.2">
      <c r="A853" t="s">
        <v>60</v>
      </c>
      <c r="B853" s="27">
        <v>300</v>
      </c>
      <c r="C853" t="s">
        <v>105</v>
      </c>
      <c r="E853" t="s">
        <v>1254</v>
      </c>
      <c r="G853" t="s">
        <v>942</v>
      </c>
      <c r="L853" t="str">
        <f t="shared" ref="L853:L858" si="120">_xlfn.TEXTJOIN("", TRUE, D853:J853)</f>
        <v>02_Slots/Gottheit/Goetter-mit-Epitheta/0300_Apis/0001_Hp_01.png</v>
      </c>
    </row>
    <row r="854" spans="1:12" x14ac:dyDescent="0.2">
      <c r="A854" t="s">
        <v>60</v>
      </c>
      <c r="B854" s="27">
        <v>300</v>
      </c>
      <c r="C854" t="s">
        <v>105</v>
      </c>
      <c r="E854" t="s">
        <v>1254</v>
      </c>
      <c r="G854" t="s">
        <v>943</v>
      </c>
      <c r="L854" t="str">
        <f t="shared" si="120"/>
        <v>02_Slots/Gottheit/Goetter-mit-Epitheta/0300_Apis/0010_Hp_02.png</v>
      </c>
    </row>
    <row r="855" spans="1:12" x14ac:dyDescent="0.2">
      <c r="A855" t="s">
        <v>60</v>
      </c>
      <c r="B855" s="27">
        <v>300</v>
      </c>
      <c r="C855" t="s">
        <v>105</v>
      </c>
      <c r="E855" t="s">
        <v>1254</v>
      </c>
      <c r="G855" t="s">
        <v>944</v>
      </c>
      <c r="I855" t="s">
        <v>1198</v>
      </c>
      <c r="J855" t="s">
        <v>1199</v>
      </c>
      <c r="K855" t="s">
        <v>1200</v>
      </c>
      <c r="L855" t="str">
        <f t="shared" ref="L855:L856" si="121">_xlfn.TEXTJOIN("", TRUE, D855:K855)</f>
        <v>02_Slots/Gottheit/Goetter-mit-Epitheta/0300_Apis/0020_Hp_AR_01.png &lt;sup&gt;(AR)&lt;/sup&gt;</v>
      </c>
    </row>
    <row r="856" spans="1:12" x14ac:dyDescent="0.2">
      <c r="A856" t="s">
        <v>60</v>
      </c>
      <c r="B856" s="27">
        <v>300</v>
      </c>
      <c r="C856" t="s">
        <v>105</v>
      </c>
      <c r="E856" t="s">
        <v>1254</v>
      </c>
      <c r="G856" t="s">
        <v>945</v>
      </c>
      <c r="I856" t="s">
        <v>1198</v>
      </c>
      <c r="J856" t="s">
        <v>1153</v>
      </c>
      <c r="K856" t="s">
        <v>1200</v>
      </c>
      <c r="L856" t="str">
        <f t="shared" si="121"/>
        <v>02_Slots/Gottheit/Goetter-mit-Epitheta/0300_Apis/0030_Hp_NR_01.png &lt;sup&gt;(NR)&lt;/sup&gt;</v>
      </c>
    </row>
    <row r="857" spans="1:12" x14ac:dyDescent="0.2">
      <c r="A857" t="s">
        <v>60</v>
      </c>
      <c r="B857" s="27">
        <v>300</v>
      </c>
      <c r="C857" t="s">
        <v>106</v>
      </c>
      <c r="E857" t="s">
        <v>1254</v>
      </c>
      <c r="F857" t="s">
        <v>111</v>
      </c>
      <c r="G857" t="s">
        <v>946</v>
      </c>
      <c r="L857" t="str">
        <f t="shared" si="120"/>
        <v>02_Slots/Gottheit/Goetter-mit-Epitheta/0300_Apis/det/0001_Hp_det_01.png</v>
      </c>
    </row>
    <row r="858" spans="1:12" x14ac:dyDescent="0.2">
      <c r="A858" t="s">
        <v>60</v>
      </c>
      <c r="B858" s="27">
        <v>300</v>
      </c>
      <c r="C858" t="s">
        <v>106</v>
      </c>
      <c r="E858" t="s">
        <v>1254</v>
      </c>
      <c r="F858" t="s">
        <v>111</v>
      </c>
      <c r="G858" t="s">
        <v>947</v>
      </c>
      <c r="L858" t="str">
        <f t="shared" si="120"/>
        <v>02_Slots/Gottheit/Goetter-mit-Epitheta/0300_Apis/det/0010_Hp_det_02.png</v>
      </c>
    </row>
    <row r="859" spans="1:12" x14ac:dyDescent="0.2">
      <c r="A859" t="s">
        <v>60</v>
      </c>
      <c r="B859" s="27">
        <v>300</v>
      </c>
      <c r="C859" t="s">
        <v>106</v>
      </c>
      <c r="E859" t="s">
        <v>1254</v>
      </c>
      <c r="F859" t="s">
        <v>111</v>
      </c>
      <c r="G859" t="s">
        <v>948</v>
      </c>
      <c r="I859" t="s">
        <v>1198</v>
      </c>
      <c r="J859" t="s">
        <v>1220</v>
      </c>
      <c r="K859" t="s">
        <v>1200</v>
      </c>
      <c r="L859" t="str">
        <f>_xlfn.TEXTJOIN("", TRUE, D859:K859)</f>
        <v>02_Slots/Gottheit/Goetter-mit-Epitheta/0300_Apis/det/0020_Hp_det_AR-SP_01.png &lt;sup&gt;(AR; Sp.)&lt;/sup&gt;</v>
      </c>
    </row>
    <row r="860" spans="1:12" x14ac:dyDescent="0.2">
      <c r="A860" t="s">
        <v>60</v>
      </c>
      <c r="B860" s="27">
        <v>300</v>
      </c>
      <c r="C860" t="s">
        <v>107</v>
      </c>
      <c r="L860" t="s">
        <v>155</v>
      </c>
    </row>
    <row r="861" spans="1:12" x14ac:dyDescent="0.2">
      <c r="A861" t="s">
        <v>60</v>
      </c>
      <c r="B861" s="27">
        <v>300</v>
      </c>
      <c r="C861" t="s">
        <v>108</v>
      </c>
      <c r="L861" t="s">
        <v>1179</v>
      </c>
    </row>
    <row r="863" spans="1:12" x14ac:dyDescent="0.2">
      <c r="A863" t="s">
        <v>949</v>
      </c>
      <c r="B863" s="27">
        <v>1</v>
      </c>
      <c r="C863" t="s">
        <v>39</v>
      </c>
      <c r="L863" t="s">
        <v>684</v>
      </c>
    </row>
    <row r="864" spans="1:12" x14ac:dyDescent="0.2">
      <c r="A864" t="s">
        <v>949</v>
      </c>
      <c r="B864" s="27">
        <v>1</v>
      </c>
      <c r="C864" t="s">
        <v>105</v>
      </c>
      <c r="E864" t="s">
        <v>1254</v>
      </c>
      <c r="F864" t="s">
        <v>950</v>
      </c>
      <c r="G864" t="s">
        <v>951</v>
      </c>
      <c r="H864" t="s">
        <v>113</v>
      </c>
      <c r="I864" t="s">
        <v>1198</v>
      </c>
      <c r="J864" t="s">
        <v>1219</v>
      </c>
      <c r="K864" t="s">
        <v>1200</v>
      </c>
      <c r="L864" t="str">
        <f>_xlfn.TEXTJOIN("", TRUE, D864:K864)</f>
        <v>02_Slots/Gottheit/Goetter-mit-Epitheta/0300_Apis/epitheta/01_anx/0001_anx_seit-NR_01.png &lt;sup&gt;(seit NR)&lt;/sup&gt;</v>
      </c>
    </row>
    <row r="865" spans="1:12" x14ac:dyDescent="0.2">
      <c r="A865" t="s">
        <v>949</v>
      </c>
      <c r="B865" s="27">
        <v>1</v>
      </c>
      <c r="C865" t="s">
        <v>27</v>
      </c>
      <c r="L865" t="s">
        <v>687</v>
      </c>
    </row>
    <row r="871" spans="1:12" x14ac:dyDescent="0.2">
      <c r="A871" t="s">
        <v>60</v>
      </c>
      <c r="B871" s="27">
        <v>310</v>
      </c>
      <c r="C871" t="s">
        <v>39</v>
      </c>
      <c r="L871" t="s">
        <v>718</v>
      </c>
    </row>
    <row r="872" spans="1:12" x14ac:dyDescent="0.2">
      <c r="A872" t="s">
        <v>60</v>
      </c>
      <c r="B872" s="27">
        <v>310</v>
      </c>
      <c r="C872" t="s">
        <v>105</v>
      </c>
      <c r="E872" t="s">
        <v>1255</v>
      </c>
      <c r="G872" t="s">
        <v>952</v>
      </c>
      <c r="L872" t="str">
        <f t="shared" ref="L872:L880" si="122">_xlfn.TEXTJOIN("", TRUE, D872:J872)</f>
        <v>02_Slots/Gottheit/Goetter-mit-Epitheta/0310_Hapi-Horussohn/0001_Hpy_01.png</v>
      </c>
    </row>
    <row r="873" spans="1:12" x14ac:dyDescent="0.2">
      <c r="A873" t="s">
        <v>60</v>
      </c>
      <c r="B873" s="27">
        <v>310</v>
      </c>
      <c r="C873" t="s">
        <v>105</v>
      </c>
      <c r="E873" t="s">
        <v>1255</v>
      </c>
      <c r="G873" t="s">
        <v>953</v>
      </c>
      <c r="L873" t="str">
        <f t="shared" si="122"/>
        <v>02_Slots/Gottheit/Goetter-mit-Epitheta/0310_Hapi-Horussohn/0010_Hpy_02.png</v>
      </c>
    </row>
    <row r="874" spans="1:12" x14ac:dyDescent="0.2">
      <c r="A874" t="s">
        <v>60</v>
      </c>
      <c r="B874" s="27">
        <v>310</v>
      </c>
      <c r="C874" t="s">
        <v>105</v>
      </c>
      <c r="E874" t="s">
        <v>1255</v>
      </c>
      <c r="G874" t="s">
        <v>954</v>
      </c>
      <c r="L874" t="str">
        <f t="shared" si="122"/>
        <v>02_Slots/Gottheit/Goetter-mit-Epitheta/0310_Hapi-Horussohn/0020_Hpy_03.png</v>
      </c>
    </row>
    <row r="875" spans="1:12" x14ac:dyDescent="0.2">
      <c r="A875" t="s">
        <v>60</v>
      </c>
      <c r="B875" s="27">
        <v>310</v>
      </c>
      <c r="C875" t="s">
        <v>105</v>
      </c>
      <c r="E875" t="s">
        <v>1255</v>
      </c>
      <c r="G875" t="s">
        <v>955</v>
      </c>
      <c r="L875" t="str">
        <f t="shared" si="122"/>
        <v>02_Slots/Gottheit/Goetter-mit-Epitheta/0310_Hapi-Horussohn/0030_Hpy_04.png</v>
      </c>
    </row>
    <row r="876" spans="1:12" x14ac:dyDescent="0.2">
      <c r="A876" t="s">
        <v>60</v>
      </c>
      <c r="B876" s="27">
        <v>310</v>
      </c>
      <c r="C876" t="s">
        <v>105</v>
      </c>
      <c r="E876" t="s">
        <v>1255</v>
      </c>
      <c r="G876" t="s">
        <v>956</v>
      </c>
      <c r="I876" t="s">
        <v>1198</v>
      </c>
      <c r="J876" t="s">
        <v>1199</v>
      </c>
      <c r="K876" t="s">
        <v>1200</v>
      </c>
      <c r="L876" t="str">
        <f t="shared" ref="L876:L878" si="123">_xlfn.TEXTJOIN("", TRUE, D876:K876)</f>
        <v>02_Slots/Gottheit/Goetter-mit-Epitheta/0310_Hapi-Horussohn/0040_Hpy_AR_01.png &lt;sup&gt;(AR)&lt;/sup&gt;</v>
      </c>
    </row>
    <row r="877" spans="1:12" x14ac:dyDescent="0.2">
      <c r="A877" t="s">
        <v>60</v>
      </c>
      <c r="B877" s="27">
        <v>310</v>
      </c>
      <c r="C877" t="s">
        <v>105</v>
      </c>
      <c r="E877" t="s">
        <v>1255</v>
      </c>
      <c r="G877" t="s">
        <v>957</v>
      </c>
      <c r="I877" t="s">
        <v>1198</v>
      </c>
      <c r="J877" t="s">
        <v>1202</v>
      </c>
      <c r="K877" t="s">
        <v>1200</v>
      </c>
      <c r="L877" t="str">
        <f t="shared" si="123"/>
        <v>02_Slots/Gottheit/Goetter-mit-Epitheta/0310_Hapi-Horussohn/0050_Hpy_MR_01.png &lt;sup&gt;(MR)&lt;/sup&gt;</v>
      </c>
    </row>
    <row r="878" spans="1:12" x14ac:dyDescent="0.2">
      <c r="A878" t="s">
        <v>60</v>
      </c>
      <c r="B878" s="27">
        <v>310</v>
      </c>
      <c r="C878" t="s">
        <v>105</v>
      </c>
      <c r="E878" t="s">
        <v>1255</v>
      </c>
      <c r="G878" t="s">
        <v>958</v>
      </c>
      <c r="I878" t="s">
        <v>1198</v>
      </c>
      <c r="J878" t="s">
        <v>1214</v>
      </c>
      <c r="K878" t="s">
        <v>1200</v>
      </c>
      <c r="L878" t="str">
        <f t="shared" si="123"/>
        <v>02_Slots/Gottheit/Goetter-mit-Epitheta/0310_Hapi-Horussohn/0060_Hpy_MR-NR-GR_01.png &lt;sup&gt;(MR; NR; Gr.)&lt;/sup&gt;</v>
      </c>
    </row>
    <row r="879" spans="1:12" x14ac:dyDescent="0.2">
      <c r="A879" t="s">
        <v>60</v>
      </c>
      <c r="B879" s="27">
        <v>310</v>
      </c>
      <c r="C879" t="s">
        <v>106</v>
      </c>
      <c r="E879" t="s">
        <v>1255</v>
      </c>
      <c r="F879" t="s">
        <v>111</v>
      </c>
      <c r="G879" t="s">
        <v>959</v>
      </c>
      <c r="L879" t="str">
        <f t="shared" si="122"/>
        <v>02_Slots/Gottheit/Goetter-mit-Epitheta/0310_Hapi-Horussohn/det/0001_Hpy_det_01.png</v>
      </c>
    </row>
    <row r="880" spans="1:12" x14ac:dyDescent="0.2">
      <c r="A880" t="s">
        <v>60</v>
      </c>
      <c r="B880" s="27">
        <v>310</v>
      </c>
      <c r="C880" t="s">
        <v>106</v>
      </c>
      <c r="E880" t="s">
        <v>1255</v>
      </c>
      <c r="F880" t="s">
        <v>111</v>
      </c>
      <c r="G880" t="s">
        <v>960</v>
      </c>
      <c r="L880" t="str">
        <f t="shared" si="122"/>
        <v>02_Slots/Gottheit/Goetter-mit-Epitheta/0310_Hapi-Horussohn/det/0010_Hpy_det_AR_01.png</v>
      </c>
    </row>
    <row r="881" spans="1:12" x14ac:dyDescent="0.2">
      <c r="A881" t="s">
        <v>60</v>
      </c>
      <c r="B881" s="27">
        <v>310</v>
      </c>
      <c r="C881" t="s">
        <v>107</v>
      </c>
      <c r="L881" t="s">
        <v>156</v>
      </c>
    </row>
    <row r="882" spans="1:12" x14ac:dyDescent="0.2">
      <c r="A882" t="s">
        <v>60</v>
      </c>
      <c r="B882" s="27">
        <v>310</v>
      </c>
      <c r="C882" t="s">
        <v>108</v>
      </c>
    </row>
    <row r="885" spans="1:12" x14ac:dyDescent="0.2">
      <c r="A885" t="s">
        <v>60</v>
      </c>
      <c r="B885" s="27">
        <v>320</v>
      </c>
      <c r="C885" t="s">
        <v>39</v>
      </c>
      <c r="L885" t="s">
        <v>516</v>
      </c>
    </row>
    <row r="886" spans="1:12" x14ac:dyDescent="0.2">
      <c r="A886" t="s">
        <v>60</v>
      </c>
      <c r="B886" s="27">
        <v>320</v>
      </c>
      <c r="C886" t="s">
        <v>105</v>
      </c>
      <c r="E886" t="s">
        <v>1256</v>
      </c>
      <c r="G886" t="s">
        <v>961</v>
      </c>
      <c r="L886" t="str">
        <f>_xlfn.TEXTJOIN("", TRUE, D886:J886)</f>
        <v>02_Slots/Gottheit/Goetter-mit-Epitheta/0320_Horus/0001_Hr_01.png</v>
      </c>
    </row>
    <row r="887" spans="1:12" x14ac:dyDescent="0.2">
      <c r="A887" t="s">
        <v>60</v>
      </c>
      <c r="B887" s="27">
        <v>320</v>
      </c>
      <c r="C887" t="s">
        <v>105</v>
      </c>
      <c r="E887" t="s">
        <v>1256</v>
      </c>
      <c r="G887" t="s">
        <v>962</v>
      </c>
      <c r="L887" t="str">
        <f>_xlfn.TEXTJOIN("", TRUE, D887:J887)</f>
        <v>02_Slots/Gottheit/Goetter-mit-Epitheta/0320_Horus/0010_Hr_02.png</v>
      </c>
    </row>
    <row r="888" spans="1:12" x14ac:dyDescent="0.2">
      <c r="A888" t="s">
        <v>60</v>
      </c>
      <c r="B888" s="27">
        <v>320</v>
      </c>
      <c r="C888" t="s">
        <v>105</v>
      </c>
      <c r="E888" t="s">
        <v>1256</v>
      </c>
      <c r="G888" t="s">
        <v>963</v>
      </c>
      <c r="I888" t="s">
        <v>1198</v>
      </c>
      <c r="J888" t="s">
        <v>1199</v>
      </c>
      <c r="K888" t="s">
        <v>1200</v>
      </c>
      <c r="L888" t="str">
        <f t="shared" ref="L888:L889" si="124">_xlfn.TEXTJOIN("", TRUE, D888:K888)</f>
        <v>02_Slots/Gottheit/Goetter-mit-Epitheta/0320_Horus/0020_Hr_AR_01.png &lt;sup&gt;(AR)&lt;/sup&gt;</v>
      </c>
    </row>
    <row r="889" spans="1:12" x14ac:dyDescent="0.2">
      <c r="A889" t="s">
        <v>60</v>
      </c>
      <c r="B889" s="27">
        <v>320</v>
      </c>
      <c r="C889" t="s">
        <v>105</v>
      </c>
      <c r="E889" t="s">
        <v>1256</v>
      </c>
      <c r="G889" t="s">
        <v>964</v>
      </c>
      <c r="I889" t="s">
        <v>1198</v>
      </c>
      <c r="J889" t="s">
        <v>1202</v>
      </c>
      <c r="K889" t="s">
        <v>1200</v>
      </c>
      <c r="L889" t="str">
        <f t="shared" si="124"/>
        <v>02_Slots/Gottheit/Goetter-mit-Epitheta/0320_Horus/0030_Hr_MR_01.png &lt;sup&gt;(MR)&lt;/sup&gt;</v>
      </c>
    </row>
    <row r="890" spans="1:12" x14ac:dyDescent="0.2">
      <c r="A890" t="s">
        <v>60</v>
      </c>
      <c r="B890" s="27">
        <v>320</v>
      </c>
      <c r="C890" t="s">
        <v>106</v>
      </c>
      <c r="L890" t="str">
        <f>_xlfn.TEXTJOIN("", TRUE, D890:J890)</f>
        <v/>
      </c>
    </row>
    <row r="891" spans="1:12" x14ac:dyDescent="0.2">
      <c r="A891" t="s">
        <v>60</v>
      </c>
      <c r="B891" s="27">
        <v>320</v>
      </c>
      <c r="C891" t="s">
        <v>107</v>
      </c>
      <c r="L891" t="s">
        <v>157</v>
      </c>
    </row>
    <row r="892" spans="1:12" x14ac:dyDescent="0.2">
      <c r="A892" t="s">
        <v>60</v>
      </c>
      <c r="B892" s="27">
        <v>320</v>
      </c>
      <c r="C892" t="s">
        <v>108</v>
      </c>
      <c r="L892" t="s">
        <v>1180</v>
      </c>
    </row>
    <row r="894" spans="1:12" x14ac:dyDescent="0.2">
      <c r="A894" t="s">
        <v>968</v>
      </c>
      <c r="B894" s="27">
        <v>1</v>
      </c>
      <c r="C894" t="s">
        <v>39</v>
      </c>
      <c r="L894" t="s">
        <v>983</v>
      </c>
    </row>
    <row r="895" spans="1:12" x14ac:dyDescent="0.2">
      <c r="A895" t="s">
        <v>968</v>
      </c>
      <c r="B895" s="27">
        <v>1</v>
      </c>
      <c r="C895" t="s">
        <v>105</v>
      </c>
      <c r="E895" t="s">
        <v>1256</v>
      </c>
      <c r="F895" t="s">
        <v>965</v>
      </c>
      <c r="G895" t="s">
        <v>966</v>
      </c>
      <c r="H895" t="s">
        <v>113</v>
      </c>
      <c r="L895" t="str">
        <f>_xlfn.TEXTJOIN("", TRUE, D895:J895)</f>
        <v>02_Slots/Gottheit/Goetter-mit-Epitheta/0320_Horus/epitheta/0001_m-Ax.t_01.png</v>
      </c>
    </row>
    <row r="896" spans="1:12" x14ac:dyDescent="0.2">
      <c r="A896" t="s">
        <v>968</v>
      </c>
      <c r="B896" s="27">
        <v>1</v>
      </c>
      <c r="C896" t="s">
        <v>27</v>
      </c>
      <c r="L896" t="s">
        <v>984</v>
      </c>
    </row>
    <row r="898" spans="1:12" x14ac:dyDescent="0.2">
      <c r="A898" t="s">
        <v>968</v>
      </c>
      <c r="B898" s="27">
        <v>2</v>
      </c>
      <c r="C898" t="s">
        <v>39</v>
      </c>
      <c r="L898" t="s">
        <v>982</v>
      </c>
    </row>
    <row r="899" spans="1:12" x14ac:dyDescent="0.2">
      <c r="A899" t="s">
        <v>968</v>
      </c>
      <c r="B899" s="27">
        <v>2</v>
      </c>
      <c r="C899" t="s">
        <v>105</v>
      </c>
      <c r="E899" t="s">
        <v>1256</v>
      </c>
      <c r="F899" t="s">
        <v>965</v>
      </c>
      <c r="G899" t="s">
        <v>967</v>
      </c>
      <c r="H899" t="s">
        <v>113</v>
      </c>
      <c r="L899" t="str">
        <f>_xlfn.TEXTJOIN("", TRUE, D899:J899)</f>
        <v>02_Slots/Gottheit/Goetter-mit-Epitheta/0320_Horus/epitheta/0001_nD-jt_01.png</v>
      </c>
    </row>
    <row r="900" spans="1:12" x14ac:dyDescent="0.2">
      <c r="A900" t="s">
        <v>968</v>
      </c>
      <c r="B900" s="27">
        <v>2</v>
      </c>
      <c r="C900" t="s">
        <v>27</v>
      </c>
      <c r="L900" t="s">
        <v>981</v>
      </c>
    </row>
    <row r="902" spans="1:12" x14ac:dyDescent="0.2">
      <c r="A902" t="s">
        <v>968</v>
      </c>
      <c r="B902" s="27">
        <v>3</v>
      </c>
      <c r="C902" t="s">
        <v>39</v>
      </c>
      <c r="L902" t="s">
        <v>979</v>
      </c>
    </row>
    <row r="903" spans="1:12" x14ac:dyDescent="0.2">
      <c r="A903" t="s">
        <v>968</v>
      </c>
      <c r="B903" s="27">
        <v>3</v>
      </c>
      <c r="C903" t="s">
        <v>105</v>
      </c>
      <c r="E903" t="s">
        <v>1256</v>
      </c>
      <c r="F903" t="s">
        <v>965</v>
      </c>
      <c r="G903" t="s">
        <v>969</v>
      </c>
      <c r="H903" t="s">
        <v>113</v>
      </c>
      <c r="I903" t="s">
        <v>1198</v>
      </c>
      <c r="J903" t="s">
        <v>1190</v>
      </c>
      <c r="K903" t="s">
        <v>1200</v>
      </c>
      <c r="L903" t="str">
        <f>_xlfn.TEXTJOIN("", TRUE, D903:K903)</f>
        <v>02_Slots/Gottheit/Goetter-mit-Epitheta/0320_Horus/epitheta/0001_pA-Xrd_SP_01.png &lt;sup&gt;(Spät.)&lt;/sup&gt;</v>
      </c>
    </row>
    <row r="904" spans="1:12" x14ac:dyDescent="0.2">
      <c r="A904" t="s">
        <v>968</v>
      </c>
      <c r="B904" s="27">
        <v>3</v>
      </c>
      <c r="C904" t="s">
        <v>27</v>
      </c>
      <c r="L904" t="s">
        <v>980</v>
      </c>
    </row>
    <row r="906" spans="1:12" x14ac:dyDescent="0.2">
      <c r="A906" t="s">
        <v>968</v>
      </c>
      <c r="B906" s="27">
        <v>4</v>
      </c>
      <c r="C906" t="s">
        <v>39</v>
      </c>
      <c r="L906" t="s">
        <v>977</v>
      </c>
    </row>
    <row r="907" spans="1:12" x14ac:dyDescent="0.2">
      <c r="A907" t="s">
        <v>968</v>
      </c>
      <c r="B907" s="27">
        <v>4</v>
      </c>
      <c r="C907" t="s">
        <v>105</v>
      </c>
      <c r="E907" t="s">
        <v>1256</v>
      </c>
      <c r="F907" t="s">
        <v>965</v>
      </c>
      <c r="G907" t="s">
        <v>970</v>
      </c>
      <c r="H907" t="s">
        <v>113</v>
      </c>
      <c r="L907" t="str">
        <f>_xlfn.TEXTJOIN("", TRUE, D907:J907)</f>
        <v>02_Slots/Gottheit/Goetter-mit-Epitheta/0320_Horus/epitheta/0001_sA-s.t_01.png</v>
      </c>
    </row>
    <row r="908" spans="1:12" x14ac:dyDescent="0.2">
      <c r="A908" t="s">
        <v>968</v>
      </c>
      <c r="B908" s="27">
        <v>4</v>
      </c>
      <c r="C908" t="s">
        <v>27</v>
      </c>
      <c r="L908" t="s">
        <v>978</v>
      </c>
    </row>
    <row r="910" spans="1:12" x14ac:dyDescent="0.2">
      <c r="A910" t="s">
        <v>968</v>
      </c>
      <c r="B910" s="27">
        <v>5</v>
      </c>
      <c r="C910" t="s">
        <v>39</v>
      </c>
      <c r="L910" t="s">
        <v>975</v>
      </c>
    </row>
    <row r="911" spans="1:12" x14ac:dyDescent="0.2">
      <c r="A911" t="s">
        <v>968</v>
      </c>
      <c r="B911" s="27">
        <v>5</v>
      </c>
      <c r="C911" t="s">
        <v>105</v>
      </c>
      <c r="E911" t="s">
        <v>1256</v>
      </c>
      <c r="F911" t="s">
        <v>965</v>
      </c>
      <c r="G911" t="s">
        <v>971</v>
      </c>
      <c r="H911" t="s">
        <v>113</v>
      </c>
      <c r="L911" t="str">
        <f>_xlfn.TEXTJOIN("", TRUE, D911:J911)</f>
        <v>02_Slots/Gottheit/Goetter-mit-Epitheta/0320_Horus/epitheta/0001_smA-tA.wj_01.png</v>
      </c>
    </row>
    <row r="912" spans="1:12" x14ac:dyDescent="0.2">
      <c r="A912" t="s">
        <v>968</v>
      </c>
      <c r="B912" s="27">
        <v>5</v>
      </c>
      <c r="C912" t="s">
        <v>27</v>
      </c>
      <c r="L912" t="s">
        <v>976</v>
      </c>
    </row>
    <row r="914" spans="1:12" x14ac:dyDescent="0.2">
      <c r="A914" t="s">
        <v>968</v>
      </c>
      <c r="B914" s="27">
        <v>6</v>
      </c>
      <c r="C914" t="s">
        <v>39</v>
      </c>
      <c r="L914" t="s">
        <v>973</v>
      </c>
    </row>
    <row r="915" spans="1:12" x14ac:dyDescent="0.2">
      <c r="A915" t="s">
        <v>968</v>
      </c>
      <c r="B915" s="27">
        <v>6</v>
      </c>
      <c r="C915" t="s">
        <v>105</v>
      </c>
      <c r="E915" t="s">
        <v>1256</v>
      </c>
      <c r="F915" t="s">
        <v>965</v>
      </c>
      <c r="G915" t="s">
        <v>972</v>
      </c>
      <c r="H915" t="s">
        <v>113</v>
      </c>
      <c r="L915" t="str">
        <f>_xlfn.TEXTJOIN("", TRUE, D915:J915)</f>
        <v>02_Slots/Gottheit/Goetter-mit-Epitheta/0320_Horus/epitheta/0001_wr_01.png</v>
      </c>
    </row>
    <row r="916" spans="1:12" x14ac:dyDescent="0.2">
      <c r="A916" t="s">
        <v>968</v>
      </c>
      <c r="B916" s="27">
        <v>6</v>
      </c>
      <c r="C916" t="s">
        <v>27</v>
      </c>
      <c r="L916" t="s">
        <v>974</v>
      </c>
    </row>
    <row r="918" spans="1:12" x14ac:dyDescent="0.2">
      <c r="A918" t="s">
        <v>60</v>
      </c>
      <c r="B918" s="27">
        <v>330</v>
      </c>
      <c r="C918" t="s">
        <v>39</v>
      </c>
      <c r="L918" t="s">
        <v>719</v>
      </c>
    </row>
    <row r="919" spans="1:12" x14ac:dyDescent="0.2">
      <c r="A919" t="s">
        <v>60</v>
      </c>
      <c r="B919" s="27">
        <v>330</v>
      </c>
      <c r="C919" t="s">
        <v>105</v>
      </c>
      <c r="E919" t="s">
        <v>1257</v>
      </c>
      <c r="G919" t="s">
        <v>985</v>
      </c>
      <c r="L919" t="str">
        <f>_xlfn.TEXTJOIN("", TRUE, D919:J919)</f>
        <v>02_Slots/Gottheit/Goetter-mit-Epitheta/0330_Harachte/0001_Hr-Axtj_01.png</v>
      </c>
    </row>
    <row r="920" spans="1:12" x14ac:dyDescent="0.2">
      <c r="A920" t="s">
        <v>60</v>
      </c>
      <c r="B920" s="27">
        <v>330</v>
      </c>
      <c r="C920" t="s">
        <v>105</v>
      </c>
      <c r="E920" t="s">
        <v>1257</v>
      </c>
      <c r="G920" t="s">
        <v>986</v>
      </c>
      <c r="L920" t="str">
        <f>_xlfn.TEXTJOIN("", TRUE, D920:J920)</f>
        <v>02_Slots/Gottheit/Goetter-mit-Epitheta/0330_Harachte/0010_Hr-Axtj_02.png</v>
      </c>
    </row>
    <row r="921" spans="1:12" x14ac:dyDescent="0.2">
      <c r="A921" t="s">
        <v>60</v>
      </c>
      <c r="B921" s="27">
        <v>330</v>
      </c>
      <c r="C921" t="s">
        <v>105</v>
      </c>
      <c r="E921" t="s">
        <v>1257</v>
      </c>
      <c r="G921" t="s">
        <v>987</v>
      </c>
      <c r="L921" t="str">
        <f>_xlfn.TEXTJOIN("", TRUE, D921:J921)</f>
        <v>02_Slots/Gottheit/Goetter-mit-Epitheta/0330_Harachte/0020_Hr-Axtj_03.png</v>
      </c>
    </row>
    <row r="922" spans="1:12" x14ac:dyDescent="0.2">
      <c r="A922" t="s">
        <v>60</v>
      </c>
      <c r="B922" s="27">
        <v>330</v>
      </c>
      <c r="C922" t="s">
        <v>106</v>
      </c>
      <c r="L922" t="str">
        <f>_xlfn.TEXTJOIN("", TRUE, D922:J922)</f>
        <v/>
      </c>
    </row>
    <row r="923" spans="1:12" x14ac:dyDescent="0.2">
      <c r="A923" t="s">
        <v>60</v>
      </c>
      <c r="B923" s="27">
        <v>330</v>
      </c>
      <c r="C923" t="s">
        <v>107</v>
      </c>
      <c r="L923" t="s">
        <v>158</v>
      </c>
    </row>
    <row r="924" spans="1:12" x14ac:dyDescent="0.2">
      <c r="A924" t="s">
        <v>60</v>
      </c>
      <c r="B924" s="27">
        <v>330</v>
      </c>
      <c r="C924" t="s">
        <v>108</v>
      </c>
    </row>
    <row r="927" spans="1:12" x14ac:dyDescent="0.2">
      <c r="A927" t="s">
        <v>60</v>
      </c>
      <c r="B927" s="27">
        <v>340</v>
      </c>
      <c r="C927" t="s">
        <v>39</v>
      </c>
      <c r="L927" t="s">
        <v>720</v>
      </c>
    </row>
    <row r="928" spans="1:12" x14ac:dyDescent="0.2">
      <c r="A928" t="s">
        <v>60</v>
      </c>
      <c r="B928" s="27">
        <v>340</v>
      </c>
      <c r="C928" t="s">
        <v>105</v>
      </c>
      <c r="E928" t="s">
        <v>1258</v>
      </c>
      <c r="G928" t="s">
        <v>988</v>
      </c>
      <c r="L928" t="str">
        <f>_xlfn.TEXTJOIN("", TRUE, D928:J928)</f>
        <v>02_Slots/Gottheit/Goetter-mit-Epitheta/0340_Heqet/0001_Hqt_01.png</v>
      </c>
    </row>
    <row r="929" spans="1:12" x14ac:dyDescent="0.2">
      <c r="A929" t="s">
        <v>60</v>
      </c>
      <c r="B929" s="27">
        <v>340</v>
      </c>
      <c r="C929" t="s">
        <v>105</v>
      </c>
      <c r="E929" t="s">
        <v>1258</v>
      </c>
      <c r="G929" t="s">
        <v>989</v>
      </c>
      <c r="I929" t="s">
        <v>1198</v>
      </c>
      <c r="J929" t="s">
        <v>1206</v>
      </c>
      <c r="K929" t="s">
        <v>1200</v>
      </c>
      <c r="L929" t="str">
        <f>_xlfn.TEXTJOIN("", TRUE, D929:K929)</f>
        <v>02_Slots/Gottheit/Goetter-mit-Epitheta/0340_Heqet/0010_Hqt_D.18_01.png &lt;sup&gt;(D.18)&lt;/sup&gt;</v>
      </c>
    </row>
    <row r="930" spans="1:12" x14ac:dyDescent="0.2">
      <c r="A930" t="s">
        <v>60</v>
      </c>
      <c r="B930" s="27">
        <v>340</v>
      </c>
      <c r="C930" t="s">
        <v>106</v>
      </c>
      <c r="E930" t="s">
        <v>1258</v>
      </c>
      <c r="F930" t="s">
        <v>111</v>
      </c>
      <c r="G930" t="s">
        <v>990</v>
      </c>
      <c r="L930" t="str">
        <f>_xlfn.TEXTJOIN("", TRUE, D930:J930)</f>
        <v>02_Slots/Gottheit/Goetter-mit-Epitheta/0340_Heqet/det/0001_Hqt_det_01.png</v>
      </c>
    </row>
    <row r="931" spans="1:12" x14ac:dyDescent="0.2">
      <c r="A931" t="s">
        <v>60</v>
      </c>
      <c r="B931" s="27">
        <v>340</v>
      </c>
      <c r="C931" t="s">
        <v>106</v>
      </c>
      <c r="E931" t="s">
        <v>1258</v>
      </c>
      <c r="F931" t="s">
        <v>111</v>
      </c>
      <c r="G931" t="s">
        <v>991</v>
      </c>
      <c r="L931" t="str">
        <f>_xlfn.TEXTJOIN("", TRUE, D931:J931)</f>
        <v>02_Slots/Gottheit/Goetter-mit-Epitheta/0340_Heqet/det/0010_Hqt_det_02.png</v>
      </c>
    </row>
    <row r="932" spans="1:12" x14ac:dyDescent="0.2">
      <c r="A932" t="s">
        <v>60</v>
      </c>
      <c r="B932" s="27">
        <v>340</v>
      </c>
      <c r="C932" t="s">
        <v>107</v>
      </c>
      <c r="L932" t="s">
        <v>159</v>
      </c>
    </row>
    <row r="933" spans="1:12" x14ac:dyDescent="0.2">
      <c r="A933" t="s">
        <v>60</v>
      </c>
      <c r="B933" s="27">
        <v>340</v>
      </c>
      <c r="C933" t="s">
        <v>108</v>
      </c>
    </row>
    <row r="936" spans="1:12" x14ac:dyDescent="0.2">
      <c r="A936" t="s">
        <v>60</v>
      </c>
      <c r="B936" s="27">
        <v>350</v>
      </c>
      <c r="C936" t="s">
        <v>39</v>
      </c>
      <c r="L936" t="s">
        <v>721</v>
      </c>
    </row>
    <row r="937" spans="1:12" x14ac:dyDescent="0.2">
      <c r="A937" t="s">
        <v>60</v>
      </c>
      <c r="B937" s="27">
        <v>350</v>
      </c>
      <c r="C937" t="s">
        <v>105</v>
      </c>
      <c r="E937" t="s">
        <v>1259</v>
      </c>
      <c r="G937" t="s">
        <v>992</v>
      </c>
      <c r="L937" t="str">
        <f t="shared" ref="L937:L944" si="125">_xlfn.TEXTJOIN("", TRUE, D937:J937)</f>
        <v>02_Slots/Gottheit/Goetter-mit-Epitheta/0350_Chnum/0001_Xnm.w_01.png</v>
      </c>
    </row>
    <row r="938" spans="1:12" x14ac:dyDescent="0.2">
      <c r="A938" t="s">
        <v>60</v>
      </c>
      <c r="B938" s="27">
        <v>350</v>
      </c>
      <c r="C938" t="s">
        <v>105</v>
      </c>
      <c r="E938" t="s">
        <v>1259</v>
      </c>
      <c r="G938" t="s">
        <v>993</v>
      </c>
      <c r="L938" t="str">
        <f t="shared" si="125"/>
        <v>02_Slots/Gottheit/Goetter-mit-Epitheta/0350_Chnum/0010_Xnm.w_02.png</v>
      </c>
    </row>
    <row r="939" spans="1:12" x14ac:dyDescent="0.2">
      <c r="A939" t="s">
        <v>60</v>
      </c>
      <c r="B939" s="27">
        <v>350</v>
      </c>
      <c r="C939" t="s">
        <v>105</v>
      </c>
      <c r="E939" t="s">
        <v>1259</v>
      </c>
      <c r="G939" t="s">
        <v>994</v>
      </c>
      <c r="L939" t="str">
        <f t="shared" si="125"/>
        <v>02_Slots/Gottheit/Goetter-mit-Epitheta/0350_Chnum/0020_Xnm.w_03.png</v>
      </c>
    </row>
    <row r="940" spans="1:12" x14ac:dyDescent="0.2">
      <c r="A940" t="s">
        <v>60</v>
      </c>
      <c r="B940" s="27">
        <v>350</v>
      </c>
      <c r="C940" t="s">
        <v>105</v>
      </c>
      <c r="E940" t="s">
        <v>1259</v>
      </c>
      <c r="G940" t="s">
        <v>995</v>
      </c>
      <c r="L940" t="str">
        <f t="shared" si="125"/>
        <v>02_Slots/Gottheit/Goetter-mit-Epitheta/0350_Chnum/0030_Xnm.w_04.png</v>
      </c>
    </row>
    <row r="941" spans="1:12" x14ac:dyDescent="0.2">
      <c r="A941" t="s">
        <v>60</v>
      </c>
      <c r="B941" s="27">
        <v>350</v>
      </c>
      <c r="C941" t="s">
        <v>105</v>
      </c>
      <c r="E941" t="s">
        <v>1259</v>
      </c>
      <c r="G941" t="s">
        <v>996</v>
      </c>
      <c r="I941" t="s">
        <v>1198</v>
      </c>
      <c r="J941" t="s">
        <v>1201</v>
      </c>
      <c r="K941" t="s">
        <v>1200</v>
      </c>
      <c r="L941" t="str">
        <f t="shared" ref="L941:L942" si="126">_xlfn.TEXTJOIN("", TRUE, D941:K941)</f>
        <v>02_Slots/Gottheit/Goetter-mit-Epitheta/0350_Chnum/0040_Xnm.w_GR_01.png &lt;sup&gt;(Gr.)&lt;/sup&gt;</v>
      </c>
    </row>
    <row r="942" spans="1:12" x14ac:dyDescent="0.2">
      <c r="A942" t="s">
        <v>60</v>
      </c>
      <c r="B942" s="27">
        <v>350</v>
      </c>
      <c r="C942" t="s">
        <v>105</v>
      </c>
      <c r="E942" t="s">
        <v>1259</v>
      </c>
      <c r="G942" t="s">
        <v>997</v>
      </c>
      <c r="I942" t="s">
        <v>1198</v>
      </c>
      <c r="J942" t="s">
        <v>1201</v>
      </c>
      <c r="K942" t="s">
        <v>1200</v>
      </c>
      <c r="L942" t="str">
        <f t="shared" si="126"/>
        <v>02_Slots/Gottheit/Goetter-mit-Epitheta/0350_Chnum/0050_Xnm.w_GR_02.png &lt;sup&gt;(Gr.)&lt;/sup&gt;</v>
      </c>
    </row>
    <row r="943" spans="1:12" x14ac:dyDescent="0.2">
      <c r="A943" t="s">
        <v>60</v>
      </c>
      <c r="B943" s="27">
        <v>350</v>
      </c>
      <c r="C943" t="s">
        <v>106</v>
      </c>
      <c r="E943" t="s">
        <v>1259</v>
      </c>
      <c r="F943" t="s">
        <v>111</v>
      </c>
      <c r="G943" t="s">
        <v>998</v>
      </c>
      <c r="L943" t="str">
        <f t="shared" si="125"/>
        <v>02_Slots/Gottheit/Goetter-mit-Epitheta/0350_Chnum/det/0001_Xnm.w_det_01.png</v>
      </c>
    </row>
    <row r="944" spans="1:12" x14ac:dyDescent="0.2">
      <c r="A944" t="s">
        <v>60</v>
      </c>
      <c r="B944" s="27">
        <v>350</v>
      </c>
      <c r="C944" t="s">
        <v>106</v>
      </c>
      <c r="E944" t="s">
        <v>1259</v>
      </c>
      <c r="F944" t="s">
        <v>111</v>
      </c>
      <c r="G944" t="s">
        <v>999</v>
      </c>
      <c r="L944" t="str">
        <f t="shared" si="125"/>
        <v>02_Slots/Gottheit/Goetter-mit-Epitheta/0350_Chnum/det/0010_Xnm.w_det_02.png</v>
      </c>
    </row>
    <row r="945" spans="1:12" x14ac:dyDescent="0.2">
      <c r="A945" t="s">
        <v>60</v>
      </c>
      <c r="B945" s="27">
        <v>350</v>
      </c>
      <c r="C945" t="s">
        <v>107</v>
      </c>
      <c r="L945" t="s">
        <v>160</v>
      </c>
    </row>
    <row r="946" spans="1:12" x14ac:dyDescent="0.2">
      <c r="A946" t="s">
        <v>60</v>
      </c>
      <c r="B946" s="27">
        <v>350</v>
      </c>
      <c r="C946" t="s">
        <v>108</v>
      </c>
    </row>
    <row r="949" spans="1:12" x14ac:dyDescent="0.2">
      <c r="A949" t="s">
        <v>60</v>
      </c>
      <c r="B949" s="27">
        <v>360</v>
      </c>
      <c r="C949" t="s">
        <v>39</v>
      </c>
      <c r="L949" t="s">
        <v>722</v>
      </c>
    </row>
    <row r="950" spans="1:12" x14ac:dyDescent="0.2">
      <c r="A950" t="s">
        <v>60</v>
      </c>
      <c r="B950" s="27">
        <v>360</v>
      </c>
      <c r="C950" t="s">
        <v>105</v>
      </c>
      <c r="E950" t="s">
        <v>1260</v>
      </c>
      <c r="G950" t="s">
        <v>1000</v>
      </c>
      <c r="L950" t="str">
        <f>_xlfn.TEXTJOIN("", TRUE, D950:J950)</f>
        <v>02_Slots/Gottheit/Goetter-mit-Epitheta/0360_Chons/0001_Xnsw_01.png</v>
      </c>
    </row>
    <row r="951" spans="1:12" x14ac:dyDescent="0.2">
      <c r="A951" t="s">
        <v>60</v>
      </c>
      <c r="B951" s="27">
        <v>360</v>
      </c>
      <c r="C951" t="s">
        <v>105</v>
      </c>
      <c r="E951" t="s">
        <v>1260</v>
      </c>
      <c r="G951" t="s">
        <v>1001</v>
      </c>
      <c r="L951" t="str">
        <f>_xlfn.TEXTJOIN("", TRUE, D951:J951)</f>
        <v>02_Slots/Gottheit/Goetter-mit-Epitheta/0360_Chons/0010_Xnsw_02.png</v>
      </c>
    </row>
    <row r="952" spans="1:12" x14ac:dyDescent="0.2">
      <c r="A952" t="s">
        <v>60</v>
      </c>
      <c r="B952" s="27">
        <v>360</v>
      </c>
      <c r="C952" t="s">
        <v>105</v>
      </c>
      <c r="E952" t="s">
        <v>1260</v>
      </c>
      <c r="G952" t="s">
        <v>1002</v>
      </c>
      <c r="I952" t="s">
        <v>1198</v>
      </c>
      <c r="J952" t="s">
        <v>1153</v>
      </c>
      <c r="K952" t="s">
        <v>1200</v>
      </c>
      <c r="L952" t="str">
        <f>_xlfn.TEXTJOIN("", TRUE, D952:K952)</f>
        <v>02_Slots/Gottheit/Goetter-mit-Epitheta/0360_Chons/0020_Xnsw_NR_01.png &lt;sup&gt;(NR)&lt;/sup&gt;</v>
      </c>
    </row>
    <row r="953" spans="1:12" x14ac:dyDescent="0.2">
      <c r="A953" t="s">
        <v>60</v>
      </c>
      <c r="B953" s="27">
        <v>360</v>
      </c>
      <c r="C953" t="s">
        <v>106</v>
      </c>
      <c r="L953" t="str">
        <f>_xlfn.TEXTJOIN("", TRUE, D953:J953)</f>
        <v/>
      </c>
    </row>
    <row r="954" spans="1:12" x14ac:dyDescent="0.2">
      <c r="A954" t="s">
        <v>60</v>
      </c>
      <c r="B954" s="27">
        <v>360</v>
      </c>
      <c r="C954" t="s">
        <v>107</v>
      </c>
      <c r="L954" t="s">
        <v>161</v>
      </c>
    </row>
    <row r="955" spans="1:12" x14ac:dyDescent="0.2">
      <c r="A955" t="s">
        <v>60</v>
      </c>
      <c r="B955" s="27">
        <v>360</v>
      </c>
      <c r="C955" t="s">
        <v>108</v>
      </c>
    </row>
    <row r="958" spans="1:12" x14ac:dyDescent="0.2">
      <c r="A958" t="s">
        <v>60</v>
      </c>
      <c r="B958" s="27">
        <v>370</v>
      </c>
      <c r="C958" t="s">
        <v>39</v>
      </c>
      <c r="L958" t="s">
        <v>723</v>
      </c>
    </row>
    <row r="959" spans="1:12" x14ac:dyDescent="0.2">
      <c r="A959" t="s">
        <v>60</v>
      </c>
      <c r="B959" s="27">
        <v>370</v>
      </c>
      <c r="C959" t="s">
        <v>105</v>
      </c>
      <c r="E959" t="s">
        <v>1261</v>
      </c>
      <c r="G959" t="s">
        <v>1003</v>
      </c>
      <c r="L959" t="str">
        <f>_xlfn.TEXTJOIN("", TRUE, D959:J959)</f>
        <v>02_Slots/Gottheit/Goetter-mit-Epitheta/0370_Sobek/0001_sbk_01.png</v>
      </c>
    </row>
    <row r="960" spans="1:12" x14ac:dyDescent="0.2">
      <c r="A960" t="s">
        <v>60</v>
      </c>
      <c r="B960" s="27">
        <v>370</v>
      </c>
      <c r="C960" t="s">
        <v>105</v>
      </c>
      <c r="E960" t="s">
        <v>1261</v>
      </c>
      <c r="G960" t="s">
        <v>1004</v>
      </c>
      <c r="L960" t="str">
        <f>_xlfn.TEXTJOIN("", TRUE, D960:J960)</f>
        <v>02_Slots/Gottheit/Goetter-mit-Epitheta/0370_Sobek/0010_sbk_02.png</v>
      </c>
    </row>
    <row r="961" spans="1:12" x14ac:dyDescent="0.2">
      <c r="A961" t="s">
        <v>60</v>
      </c>
      <c r="B961" s="27">
        <v>370</v>
      </c>
      <c r="C961" t="s">
        <v>105</v>
      </c>
      <c r="E961" t="s">
        <v>1261</v>
      </c>
      <c r="G961" t="s">
        <v>1005</v>
      </c>
      <c r="L961" t="str">
        <f>_xlfn.TEXTJOIN("", TRUE, D961:J961)</f>
        <v>02_Slots/Gottheit/Goetter-mit-Epitheta/0370_Sobek/0020_sbk_03.png</v>
      </c>
    </row>
    <row r="962" spans="1:12" x14ac:dyDescent="0.2">
      <c r="A962" t="s">
        <v>60</v>
      </c>
      <c r="B962" s="27">
        <v>370</v>
      </c>
      <c r="C962" t="s">
        <v>105</v>
      </c>
      <c r="E962" t="s">
        <v>1261</v>
      </c>
      <c r="G962" t="s">
        <v>1006</v>
      </c>
      <c r="I962" t="s">
        <v>1198</v>
      </c>
      <c r="J962" t="s">
        <v>1153</v>
      </c>
      <c r="K962" t="s">
        <v>1200</v>
      </c>
      <c r="L962" t="str">
        <f>_xlfn.TEXTJOIN("", TRUE, D962:K962)</f>
        <v>02_Slots/Gottheit/Goetter-mit-Epitheta/0370_Sobek/0030_sbk_NR_01.png &lt;sup&gt;(NR)&lt;/sup&gt;</v>
      </c>
    </row>
    <row r="963" spans="1:12" x14ac:dyDescent="0.2">
      <c r="A963" t="s">
        <v>60</v>
      </c>
      <c r="B963" s="27">
        <v>370</v>
      </c>
      <c r="C963" t="s">
        <v>106</v>
      </c>
      <c r="E963" t="s">
        <v>1261</v>
      </c>
      <c r="F963" t="s">
        <v>111</v>
      </c>
      <c r="G963" t="s">
        <v>1007</v>
      </c>
      <c r="L963" t="str">
        <f>_xlfn.TEXTJOIN("", TRUE, D963:J963)</f>
        <v>02_Slots/Gottheit/Goetter-mit-Epitheta/0370_Sobek/det/0001_sbk_det_01.png</v>
      </c>
    </row>
    <row r="964" spans="1:12" x14ac:dyDescent="0.2">
      <c r="A964" t="s">
        <v>60</v>
      </c>
      <c r="B964" s="27">
        <v>370</v>
      </c>
      <c r="C964" t="s">
        <v>107</v>
      </c>
      <c r="L964" t="s">
        <v>162</v>
      </c>
    </row>
    <row r="965" spans="1:12" x14ac:dyDescent="0.2">
      <c r="A965" t="s">
        <v>60</v>
      </c>
      <c r="B965" s="27">
        <v>370</v>
      </c>
      <c r="C965" t="s">
        <v>108</v>
      </c>
    </row>
    <row r="968" spans="1:12" x14ac:dyDescent="0.2">
      <c r="A968" t="s">
        <v>60</v>
      </c>
      <c r="B968" s="27">
        <v>380</v>
      </c>
      <c r="C968" t="s">
        <v>39</v>
      </c>
      <c r="L968" t="s">
        <v>724</v>
      </c>
    </row>
    <row r="969" spans="1:12" x14ac:dyDescent="0.2">
      <c r="A969" t="s">
        <v>60</v>
      </c>
      <c r="B969" s="27">
        <v>380</v>
      </c>
      <c r="C969" t="s">
        <v>105</v>
      </c>
      <c r="E969" t="s">
        <v>1262</v>
      </c>
      <c r="G969" t="s">
        <v>1008</v>
      </c>
      <c r="L969" t="str">
        <f t="shared" ref="L969:L977" si="127">_xlfn.TEXTJOIN("", TRUE, D969:J969)</f>
        <v>02_Slots/Gottheit/Goetter-mit-Epitheta/0380_Selkis/0001_srq.t_01.png</v>
      </c>
    </row>
    <row r="970" spans="1:12" x14ac:dyDescent="0.2">
      <c r="A970" t="s">
        <v>60</v>
      </c>
      <c r="B970" s="27">
        <v>380</v>
      </c>
      <c r="C970" t="s">
        <v>105</v>
      </c>
      <c r="E970" t="s">
        <v>1262</v>
      </c>
      <c r="G970" t="s">
        <v>1009</v>
      </c>
      <c r="L970" t="str">
        <f t="shared" si="127"/>
        <v>02_Slots/Gottheit/Goetter-mit-Epitheta/0380_Selkis/0010_srq.t_02.png</v>
      </c>
    </row>
    <row r="971" spans="1:12" x14ac:dyDescent="0.2">
      <c r="A971" t="s">
        <v>60</v>
      </c>
      <c r="B971" s="27">
        <v>380</v>
      </c>
      <c r="C971" t="s">
        <v>105</v>
      </c>
      <c r="E971" t="s">
        <v>1262</v>
      </c>
      <c r="G971" t="s">
        <v>1010</v>
      </c>
      <c r="L971" t="str">
        <f t="shared" si="127"/>
        <v>02_Slots/Gottheit/Goetter-mit-Epitheta/0380_Selkis/0020_srq.t_03.png</v>
      </c>
    </row>
    <row r="972" spans="1:12" x14ac:dyDescent="0.2">
      <c r="A972" t="s">
        <v>60</v>
      </c>
      <c r="B972" s="27">
        <v>380</v>
      </c>
      <c r="C972" t="s">
        <v>105</v>
      </c>
      <c r="E972" t="s">
        <v>1262</v>
      </c>
      <c r="G972" t="s">
        <v>1011</v>
      </c>
      <c r="I972" t="s">
        <v>1198</v>
      </c>
      <c r="J972" t="s">
        <v>1215</v>
      </c>
      <c r="K972" t="s">
        <v>1200</v>
      </c>
      <c r="L972" t="str">
        <f t="shared" ref="L972:L975" si="128">_xlfn.TEXTJOIN("", TRUE, D972:K972)</f>
        <v>02_Slots/Gottheit/Goetter-mit-Epitheta/0380_Selkis/0030_srq.t_Pyr.-MR_01.png &lt;sup&gt;(Pyr.; NR)&lt;/sup&gt;</v>
      </c>
    </row>
    <row r="973" spans="1:12" x14ac:dyDescent="0.2">
      <c r="A973" t="s">
        <v>60</v>
      </c>
      <c r="B973" s="27">
        <v>380</v>
      </c>
      <c r="C973" t="s">
        <v>105</v>
      </c>
      <c r="E973" t="s">
        <v>1262</v>
      </c>
      <c r="G973" t="s">
        <v>1012</v>
      </c>
      <c r="I973" t="s">
        <v>1198</v>
      </c>
      <c r="J973" t="s">
        <v>1201</v>
      </c>
      <c r="K973" t="s">
        <v>1200</v>
      </c>
      <c r="L973" t="str">
        <f t="shared" si="128"/>
        <v>02_Slots/Gottheit/Goetter-mit-Epitheta/0380_Selkis/0040_srq.t_GR_01.png &lt;sup&gt;(Gr.)&lt;/sup&gt;</v>
      </c>
    </row>
    <row r="974" spans="1:12" x14ac:dyDescent="0.2">
      <c r="A974" t="s">
        <v>60</v>
      </c>
      <c r="B974" s="27">
        <v>380</v>
      </c>
      <c r="C974" t="s">
        <v>105</v>
      </c>
      <c r="E974" t="s">
        <v>1262</v>
      </c>
      <c r="G974" t="s">
        <v>1013</v>
      </c>
      <c r="I974" t="s">
        <v>1198</v>
      </c>
      <c r="J974" t="s">
        <v>1201</v>
      </c>
      <c r="K974" t="s">
        <v>1200</v>
      </c>
      <c r="L974" t="str">
        <f t="shared" si="128"/>
        <v>02_Slots/Gottheit/Goetter-mit-Epitheta/0380_Selkis/0050_srq.t_GR_02.png &lt;sup&gt;(Gr.)&lt;/sup&gt;</v>
      </c>
    </row>
    <row r="975" spans="1:12" x14ac:dyDescent="0.2">
      <c r="A975" t="s">
        <v>60</v>
      </c>
      <c r="B975" s="27">
        <v>380</v>
      </c>
      <c r="C975" t="s">
        <v>105</v>
      </c>
      <c r="E975" t="s">
        <v>1262</v>
      </c>
      <c r="G975" t="s">
        <v>1014</v>
      </c>
      <c r="I975" t="s">
        <v>1198</v>
      </c>
      <c r="J975" t="s">
        <v>1201</v>
      </c>
      <c r="K975" t="s">
        <v>1200</v>
      </c>
      <c r="L975" t="str">
        <f t="shared" si="128"/>
        <v>02_Slots/Gottheit/Goetter-mit-Epitheta/0380_Selkis/0060_srq.t_GR_03.png &lt;sup&gt;(Gr.)&lt;/sup&gt;</v>
      </c>
    </row>
    <row r="976" spans="1:12" x14ac:dyDescent="0.2">
      <c r="A976" t="s">
        <v>60</v>
      </c>
      <c r="B976" s="27">
        <v>380</v>
      </c>
      <c r="C976" t="s">
        <v>106</v>
      </c>
      <c r="E976" t="s">
        <v>1262</v>
      </c>
      <c r="F976" t="s">
        <v>111</v>
      </c>
      <c r="G976" t="s">
        <v>1015</v>
      </c>
      <c r="L976" t="str">
        <f t="shared" si="127"/>
        <v>02_Slots/Gottheit/Goetter-mit-Epitheta/0380_Selkis/det/0001_srq.t_det_01.png</v>
      </c>
    </row>
    <row r="977" spans="1:12" x14ac:dyDescent="0.2">
      <c r="A977" t="s">
        <v>60</v>
      </c>
      <c r="B977" s="27">
        <v>380</v>
      </c>
      <c r="C977" t="s">
        <v>106</v>
      </c>
      <c r="E977" t="s">
        <v>1262</v>
      </c>
      <c r="F977" t="s">
        <v>111</v>
      </c>
      <c r="G977" t="s">
        <v>1016</v>
      </c>
      <c r="L977" t="str">
        <f t="shared" si="127"/>
        <v>02_Slots/Gottheit/Goetter-mit-Epitheta/0380_Selkis/det/0010_srq.t_det_02.png</v>
      </c>
    </row>
    <row r="978" spans="1:12" x14ac:dyDescent="0.2">
      <c r="A978" t="s">
        <v>60</v>
      </c>
      <c r="B978" s="27">
        <v>380</v>
      </c>
      <c r="C978" t="s">
        <v>107</v>
      </c>
      <c r="L978" t="s">
        <v>163</v>
      </c>
    </row>
    <row r="979" spans="1:12" x14ac:dyDescent="0.2">
      <c r="A979" t="s">
        <v>60</v>
      </c>
      <c r="B979" s="27">
        <v>380</v>
      </c>
      <c r="C979" t="s">
        <v>108</v>
      </c>
    </row>
    <row r="982" spans="1:12" x14ac:dyDescent="0.2">
      <c r="A982" t="s">
        <v>60</v>
      </c>
      <c r="B982" s="27">
        <v>390</v>
      </c>
      <c r="C982" t="s">
        <v>39</v>
      </c>
      <c r="L982" t="s">
        <v>725</v>
      </c>
    </row>
    <row r="983" spans="1:12" x14ac:dyDescent="0.2">
      <c r="A983" t="s">
        <v>60</v>
      </c>
      <c r="B983" s="27">
        <v>390</v>
      </c>
      <c r="C983" t="s">
        <v>105</v>
      </c>
      <c r="E983" t="s">
        <v>1263</v>
      </c>
      <c r="G983" t="s">
        <v>1017</v>
      </c>
      <c r="L983" t="str">
        <f t="shared" ref="L983:L989" si="129">_xlfn.TEXTJOIN("", TRUE, D983:J983)</f>
        <v>02_Slots/Gottheit/Goetter-mit-Epitheta/0390_Sachmet/0001_sxm.t_01.png</v>
      </c>
    </row>
    <row r="984" spans="1:12" x14ac:dyDescent="0.2">
      <c r="A984" t="s">
        <v>60</v>
      </c>
      <c r="B984" s="27">
        <v>390</v>
      </c>
      <c r="C984" t="s">
        <v>105</v>
      </c>
      <c r="E984" t="s">
        <v>1263</v>
      </c>
      <c r="G984" t="s">
        <v>1018</v>
      </c>
      <c r="I984" t="s">
        <v>1198</v>
      </c>
      <c r="J984" t="s">
        <v>1199</v>
      </c>
      <c r="K984" t="s">
        <v>1200</v>
      </c>
      <c r="L984" t="str">
        <f t="shared" ref="L984:L988" si="130">_xlfn.TEXTJOIN("", TRUE, D984:K984)</f>
        <v>02_Slots/Gottheit/Goetter-mit-Epitheta/0390_Sachmet/0010_sxm.t_AR_01.png &lt;sup&gt;(AR)&lt;/sup&gt;</v>
      </c>
    </row>
    <row r="985" spans="1:12" x14ac:dyDescent="0.2">
      <c r="A985" t="s">
        <v>60</v>
      </c>
      <c r="B985" s="27">
        <v>390</v>
      </c>
      <c r="C985" t="s">
        <v>105</v>
      </c>
      <c r="E985" t="s">
        <v>1263</v>
      </c>
      <c r="G985" t="s">
        <v>1019</v>
      </c>
      <c r="I985" t="s">
        <v>1198</v>
      </c>
      <c r="J985" t="s">
        <v>1199</v>
      </c>
      <c r="K985" t="s">
        <v>1200</v>
      </c>
      <c r="L985" t="str">
        <f t="shared" si="130"/>
        <v>02_Slots/Gottheit/Goetter-mit-Epitheta/0390_Sachmet/0020_sxm.t_AR_02.png &lt;sup&gt;(AR)&lt;/sup&gt;</v>
      </c>
    </row>
    <row r="986" spans="1:12" x14ac:dyDescent="0.2">
      <c r="A986" t="s">
        <v>60</v>
      </c>
      <c r="B986" s="27">
        <v>390</v>
      </c>
      <c r="C986" t="s">
        <v>105</v>
      </c>
      <c r="E986" t="s">
        <v>1263</v>
      </c>
      <c r="G986" t="s">
        <v>1020</v>
      </c>
      <c r="I986" t="s">
        <v>1198</v>
      </c>
      <c r="J986" t="s">
        <v>1153</v>
      </c>
      <c r="K986" t="s">
        <v>1200</v>
      </c>
      <c r="L986" t="str">
        <f t="shared" si="130"/>
        <v>02_Slots/Gottheit/Goetter-mit-Epitheta/0390_Sachmet/0030_sxm.t_NR_01.png &lt;sup&gt;(NR)&lt;/sup&gt;</v>
      </c>
    </row>
    <row r="987" spans="1:12" x14ac:dyDescent="0.2">
      <c r="A987" t="s">
        <v>60</v>
      </c>
      <c r="B987" s="27">
        <v>390</v>
      </c>
      <c r="C987" t="s">
        <v>105</v>
      </c>
      <c r="E987" t="s">
        <v>1263</v>
      </c>
      <c r="G987" t="s">
        <v>1021</v>
      </c>
      <c r="I987" t="s">
        <v>1198</v>
      </c>
      <c r="J987" t="s">
        <v>1201</v>
      </c>
      <c r="K987" t="s">
        <v>1200</v>
      </c>
      <c r="L987" t="str">
        <f t="shared" si="130"/>
        <v>02_Slots/Gottheit/Goetter-mit-Epitheta/0390_Sachmet/0040_sxm.t_GR_01.png &lt;sup&gt;(Gr.)&lt;/sup&gt;</v>
      </c>
    </row>
    <row r="988" spans="1:12" x14ac:dyDescent="0.2">
      <c r="A988" t="s">
        <v>60</v>
      </c>
      <c r="B988" s="27">
        <v>390</v>
      </c>
      <c r="C988" t="s">
        <v>105</v>
      </c>
      <c r="E988" t="s">
        <v>1263</v>
      </c>
      <c r="G988" t="s">
        <v>1022</v>
      </c>
      <c r="I988" t="s">
        <v>1198</v>
      </c>
      <c r="J988" t="s">
        <v>1201</v>
      </c>
      <c r="K988" t="s">
        <v>1200</v>
      </c>
      <c r="L988" t="str">
        <f t="shared" si="130"/>
        <v>02_Slots/Gottheit/Goetter-mit-Epitheta/0390_Sachmet/0050_sxm.t_GR_02.png &lt;sup&gt;(Gr.)&lt;/sup&gt;</v>
      </c>
    </row>
    <row r="989" spans="1:12" x14ac:dyDescent="0.2">
      <c r="A989" t="s">
        <v>60</v>
      </c>
      <c r="B989" s="27">
        <v>390</v>
      </c>
      <c r="C989" t="s">
        <v>106</v>
      </c>
      <c r="L989" t="str">
        <f t="shared" si="129"/>
        <v/>
      </c>
    </row>
    <row r="990" spans="1:12" x14ac:dyDescent="0.2">
      <c r="A990" t="s">
        <v>60</v>
      </c>
      <c r="B990" s="27">
        <v>390</v>
      </c>
      <c r="C990" t="s">
        <v>107</v>
      </c>
      <c r="L990" t="s">
        <v>164</v>
      </c>
    </row>
    <row r="991" spans="1:12" x14ac:dyDescent="0.2">
      <c r="A991" t="s">
        <v>60</v>
      </c>
      <c r="B991" s="27">
        <v>390</v>
      </c>
      <c r="C991" t="s">
        <v>108</v>
      </c>
    </row>
    <row r="994" spans="1:12" x14ac:dyDescent="0.2">
      <c r="A994" t="s">
        <v>60</v>
      </c>
      <c r="B994" s="27">
        <v>400</v>
      </c>
      <c r="C994" t="s">
        <v>39</v>
      </c>
      <c r="L994" t="s">
        <v>726</v>
      </c>
    </row>
    <row r="995" spans="1:12" x14ac:dyDescent="0.2">
      <c r="A995" t="s">
        <v>60</v>
      </c>
      <c r="B995" s="27">
        <v>400</v>
      </c>
      <c r="C995" t="s">
        <v>105</v>
      </c>
      <c r="E995" t="s">
        <v>1264</v>
      </c>
      <c r="G995" t="s">
        <v>1023</v>
      </c>
      <c r="L995" t="str">
        <f>_xlfn.TEXTJOIN("", TRUE, D995:J995)</f>
        <v>02_Slots/Gottheit/Goetter-mit-Epitheta/0400_Sokar/0001_skr_01.png</v>
      </c>
    </row>
    <row r="996" spans="1:12" x14ac:dyDescent="0.2">
      <c r="A996" t="s">
        <v>60</v>
      </c>
      <c r="B996" s="27">
        <v>400</v>
      </c>
      <c r="C996" t="s">
        <v>106</v>
      </c>
      <c r="E996" t="s">
        <v>1264</v>
      </c>
      <c r="F996" t="s">
        <v>111</v>
      </c>
      <c r="G996" t="s">
        <v>1024</v>
      </c>
      <c r="L996" t="str">
        <f>_xlfn.TEXTJOIN("", TRUE, D996:J996)</f>
        <v>02_Slots/Gottheit/Goetter-mit-Epitheta/0400_Sokar/det/0001_skr_det_01.png</v>
      </c>
    </row>
    <row r="997" spans="1:12" x14ac:dyDescent="0.2">
      <c r="A997" t="s">
        <v>60</v>
      </c>
      <c r="B997" s="27">
        <v>400</v>
      </c>
      <c r="C997" t="s">
        <v>107</v>
      </c>
      <c r="L997" t="s">
        <v>165</v>
      </c>
    </row>
    <row r="998" spans="1:12" x14ac:dyDescent="0.2">
      <c r="A998" t="s">
        <v>60</v>
      </c>
      <c r="B998" s="27">
        <v>400</v>
      </c>
      <c r="C998" t="s">
        <v>108</v>
      </c>
    </row>
    <row r="1001" spans="1:12" x14ac:dyDescent="0.2">
      <c r="A1001" t="s">
        <v>60</v>
      </c>
      <c r="B1001" s="27">
        <v>410</v>
      </c>
      <c r="C1001" t="s">
        <v>39</v>
      </c>
      <c r="L1001" t="s">
        <v>727</v>
      </c>
    </row>
    <row r="1002" spans="1:12" x14ac:dyDescent="0.2">
      <c r="A1002" t="s">
        <v>60</v>
      </c>
      <c r="B1002" s="27">
        <v>410</v>
      </c>
      <c r="C1002" t="s">
        <v>105</v>
      </c>
      <c r="E1002" t="s">
        <v>1265</v>
      </c>
      <c r="G1002" t="s">
        <v>1041</v>
      </c>
      <c r="L1002" t="str">
        <f t="shared" ref="L1002:L1015" si="131">_xlfn.TEXTJOIN("", TRUE, D1002:J1002)</f>
        <v>02_Slots/Gottheit/Goetter-mit-Epitheta/0410_Seth/0001_stX_01.png</v>
      </c>
    </row>
    <row r="1003" spans="1:12" x14ac:dyDescent="0.2">
      <c r="A1003" t="s">
        <v>60</v>
      </c>
      <c r="B1003" s="27">
        <v>410</v>
      </c>
      <c r="C1003" t="s">
        <v>105</v>
      </c>
      <c r="E1003" t="s">
        <v>1265</v>
      </c>
      <c r="G1003" t="s">
        <v>1042</v>
      </c>
      <c r="I1003" t="s">
        <v>1198</v>
      </c>
      <c r="J1003" t="s">
        <v>1199</v>
      </c>
      <c r="K1003" t="s">
        <v>1200</v>
      </c>
      <c r="L1003" t="str">
        <f t="shared" ref="L1003:L1013" si="132">_xlfn.TEXTJOIN("", TRUE, D1003:K1003)</f>
        <v>02_Slots/Gottheit/Goetter-mit-Epitheta/0410_Seth/0010_stX_AR_01.png &lt;sup&gt;(AR)&lt;/sup&gt;</v>
      </c>
    </row>
    <row r="1004" spans="1:12" x14ac:dyDescent="0.2">
      <c r="A1004" t="s">
        <v>60</v>
      </c>
      <c r="B1004" s="27">
        <v>410</v>
      </c>
      <c r="C1004" t="s">
        <v>105</v>
      </c>
      <c r="E1004" t="s">
        <v>1265</v>
      </c>
      <c r="G1004" t="s">
        <v>1043</v>
      </c>
      <c r="I1004" t="s">
        <v>1198</v>
      </c>
      <c r="J1004" t="s">
        <v>1202</v>
      </c>
      <c r="K1004" t="s">
        <v>1200</v>
      </c>
      <c r="L1004" t="str">
        <f t="shared" si="132"/>
        <v>02_Slots/Gottheit/Goetter-mit-Epitheta/0410_Seth/0020_stX_MR_01.png &lt;sup&gt;(MR)&lt;/sup&gt;</v>
      </c>
    </row>
    <row r="1005" spans="1:12" x14ac:dyDescent="0.2">
      <c r="A1005" t="s">
        <v>60</v>
      </c>
      <c r="B1005" s="27">
        <v>410</v>
      </c>
      <c r="C1005" t="s">
        <v>105</v>
      </c>
      <c r="E1005" t="s">
        <v>1265</v>
      </c>
      <c r="G1005" t="s">
        <v>1044</v>
      </c>
      <c r="I1005" t="s">
        <v>1198</v>
      </c>
      <c r="J1005" t="s">
        <v>1216</v>
      </c>
      <c r="K1005" t="s">
        <v>1200</v>
      </c>
      <c r="L1005" t="str">
        <f t="shared" si="132"/>
        <v>02_Slots/Gottheit/Goetter-mit-Epitheta/0410_Seth/0030_stX_MR-SP_01.png &lt;sup&gt;(MR; Sp.)&lt;/sup&gt;</v>
      </c>
    </row>
    <row r="1006" spans="1:12" x14ac:dyDescent="0.2">
      <c r="A1006" t="s">
        <v>60</v>
      </c>
      <c r="B1006" s="27">
        <v>410</v>
      </c>
      <c r="C1006" t="s">
        <v>105</v>
      </c>
      <c r="E1006" t="s">
        <v>1265</v>
      </c>
      <c r="G1006" t="s">
        <v>1045</v>
      </c>
      <c r="I1006" t="s">
        <v>1198</v>
      </c>
      <c r="J1006" t="s">
        <v>1153</v>
      </c>
      <c r="K1006" t="s">
        <v>1200</v>
      </c>
      <c r="L1006" t="str">
        <f t="shared" si="132"/>
        <v>02_Slots/Gottheit/Goetter-mit-Epitheta/0410_Seth/0040_stX_NR_01.png &lt;sup&gt;(NR)&lt;/sup&gt;</v>
      </c>
    </row>
    <row r="1007" spans="1:12" x14ac:dyDescent="0.2">
      <c r="A1007" t="s">
        <v>60</v>
      </c>
      <c r="B1007" s="27">
        <v>410</v>
      </c>
      <c r="C1007" t="s">
        <v>105</v>
      </c>
      <c r="E1007" t="s">
        <v>1265</v>
      </c>
      <c r="G1007" t="s">
        <v>1046</v>
      </c>
      <c r="I1007" t="s">
        <v>1198</v>
      </c>
      <c r="J1007" t="s">
        <v>1206</v>
      </c>
      <c r="K1007" t="s">
        <v>1200</v>
      </c>
      <c r="L1007" t="str">
        <f t="shared" si="132"/>
        <v>02_Slots/Gottheit/Goetter-mit-Epitheta/0410_Seth/0050_stX_D.18_01.png &lt;sup&gt;(D.18)&lt;/sup&gt;</v>
      </c>
    </row>
    <row r="1008" spans="1:12" x14ac:dyDescent="0.2">
      <c r="A1008" t="s">
        <v>60</v>
      </c>
      <c r="B1008" s="27">
        <v>410</v>
      </c>
      <c r="C1008" t="s">
        <v>105</v>
      </c>
      <c r="E1008" t="s">
        <v>1265</v>
      </c>
      <c r="G1008" t="s">
        <v>1047</v>
      </c>
      <c r="I1008" t="s">
        <v>1198</v>
      </c>
      <c r="J1008" t="s">
        <v>1206</v>
      </c>
      <c r="K1008" t="s">
        <v>1200</v>
      </c>
      <c r="L1008" t="str">
        <f t="shared" si="132"/>
        <v>02_Slots/Gottheit/Goetter-mit-Epitheta/0410_Seth/0060_stX_D.18_02.png &lt;sup&gt;(D.18)&lt;/sup&gt;</v>
      </c>
    </row>
    <row r="1009" spans="1:12" x14ac:dyDescent="0.2">
      <c r="A1009" t="s">
        <v>60</v>
      </c>
      <c r="B1009" s="27">
        <v>410</v>
      </c>
      <c r="C1009" t="s">
        <v>105</v>
      </c>
      <c r="E1009" t="s">
        <v>1265</v>
      </c>
      <c r="G1009" t="s">
        <v>1048</v>
      </c>
      <c r="I1009" t="s">
        <v>1198</v>
      </c>
      <c r="J1009" t="s">
        <v>1206</v>
      </c>
      <c r="K1009" t="s">
        <v>1200</v>
      </c>
      <c r="L1009" t="str">
        <f t="shared" si="132"/>
        <v>02_Slots/Gottheit/Goetter-mit-Epitheta/0410_Seth/0070_stX_D.18_03.png &lt;sup&gt;(D.18)&lt;/sup&gt;</v>
      </c>
    </row>
    <row r="1010" spans="1:12" x14ac:dyDescent="0.2">
      <c r="A1010" t="s">
        <v>60</v>
      </c>
      <c r="B1010" s="27">
        <v>410</v>
      </c>
      <c r="C1010" t="s">
        <v>105</v>
      </c>
      <c r="E1010" t="s">
        <v>1265</v>
      </c>
      <c r="G1010" t="s">
        <v>1049</v>
      </c>
      <c r="I1010" t="s">
        <v>1198</v>
      </c>
      <c r="J1010" t="s">
        <v>1211</v>
      </c>
      <c r="K1010" t="s">
        <v>1200</v>
      </c>
      <c r="L1010" t="str">
        <f t="shared" si="132"/>
        <v>02_Slots/Gottheit/Goetter-mit-Epitheta/0410_Seth/0080_stX_D.19_01.png &lt;sup&gt;(D.19)&lt;/sup&gt;</v>
      </c>
    </row>
    <row r="1011" spans="1:12" x14ac:dyDescent="0.2">
      <c r="A1011" t="s">
        <v>60</v>
      </c>
      <c r="B1011" s="27">
        <v>410</v>
      </c>
      <c r="C1011" t="s">
        <v>105</v>
      </c>
      <c r="E1011" t="s">
        <v>1265</v>
      </c>
      <c r="G1011" t="s">
        <v>1050</v>
      </c>
      <c r="I1011" t="s">
        <v>1198</v>
      </c>
      <c r="J1011" t="s">
        <v>1211</v>
      </c>
      <c r="K1011" t="s">
        <v>1200</v>
      </c>
      <c r="L1011" t="str">
        <f t="shared" si="132"/>
        <v>02_Slots/Gottheit/Goetter-mit-Epitheta/0410_Seth/0090_stX_D.19_02.png &lt;sup&gt;(D.19)&lt;/sup&gt;</v>
      </c>
    </row>
    <row r="1012" spans="1:12" x14ac:dyDescent="0.2">
      <c r="A1012" t="s">
        <v>60</v>
      </c>
      <c r="B1012" s="27">
        <v>410</v>
      </c>
      <c r="C1012" t="s">
        <v>105</v>
      </c>
      <c r="E1012" t="s">
        <v>1265</v>
      </c>
      <c r="G1012" t="s">
        <v>1051</v>
      </c>
      <c r="I1012" t="s">
        <v>1198</v>
      </c>
      <c r="J1012" t="s">
        <v>1201</v>
      </c>
      <c r="K1012" t="s">
        <v>1200</v>
      </c>
      <c r="L1012" t="str">
        <f t="shared" si="132"/>
        <v>02_Slots/Gottheit/Goetter-mit-Epitheta/0410_Seth/0100_stX_GR_01.png &lt;sup&gt;(Gr.)&lt;/sup&gt;</v>
      </c>
    </row>
    <row r="1013" spans="1:12" x14ac:dyDescent="0.2">
      <c r="A1013" t="s">
        <v>60</v>
      </c>
      <c r="B1013" s="27">
        <v>410</v>
      </c>
      <c r="C1013" t="s">
        <v>105</v>
      </c>
      <c r="E1013" t="s">
        <v>1265</v>
      </c>
      <c r="G1013" t="s">
        <v>1040</v>
      </c>
      <c r="I1013" t="s">
        <v>1198</v>
      </c>
      <c r="J1013" t="s">
        <v>1201</v>
      </c>
      <c r="K1013" t="s">
        <v>1200</v>
      </c>
      <c r="L1013" t="str">
        <f t="shared" si="132"/>
        <v>02_Slots/Gottheit/Goetter-mit-Epitheta/0410_Seth/0110_stX_GR_02.png &lt;sup&gt;(Gr.)&lt;/sup&gt;</v>
      </c>
    </row>
    <row r="1014" spans="1:12" x14ac:dyDescent="0.2">
      <c r="A1014" t="s">
        <v>60</v>
      </c>
      <c r="B1014" s="27">
        <v>410</v>
      </c>
      <c r="C1014" t="s">
        <v>106</v>
      </c>
      <c r="E1014" t="s">
        <v>1265</v>
      </c>
      <c r="F1014" t="s">
        <v>111</v>
      </c>
      <c r="G1014" t="s">
        <v>1052</v>
      </c>
      <c r="L1014" t="str">
        <f t="shared" si="131"/>
        <v>02_Slots/Gottheit/Goetter-mit-Epitheta/0410_Seth/det/0001_stX_det_01.png</v>
      </c>
    </row>
    <row r="1015" spans="1:12" x14ac:dyDescent="0.2">
      <c r="A1015" t="s">
        <v>60</v>
      </c>
      <c r="B1015" s="27">
        <v>410</v>
      </c>
      <c r="C1015" t="s">
        <v>106</v>
      </c>
      <c r="E1015" t="s">
        <v>1265</v>
      </c>
      <c r="F1015" t="s">
        <v>111</v>
      </c>
      <c r="G1015" t="s">
        <v>1053</v>
      </c>
      <c r="L1015" t="str">
        <f t="shared" si="131"/>
        <v>02_Slots/Gottheit/Goetter-mit-Epitheta/0410_Seth/det/0010_stX_det_02.png</v>
      </c>
    </row>
    <row r="1016" spans="1:12" x14ac:dyDescent="0.2">
      <c r="A1016" t="s">
        <v>60</v>
      </c>
      <c r="B1016" s="27">
        <v>410</v>
      </c>
      <c r="C1016" t="s">
        <v>106</v>
      </c>
      <c r="E1016" t="s">
        <v>1265</v>
      </c>
      <c r="F1016" t="s">
        <v>111</v>
      </c>
      <c r="G1016" t="s">
        <v>1054</v>
      </c>
      <c r="I1016" t="s">
        <v>1198</v>
      </c>
      <c r="J1016" t="s">
        <v>1202</v>
      </c>
      <c r="K1016" t="s">
        <v>1200</v>
      </c>
      <c r="L1016" t="str">
        <f>_xlfn.TEXTJOIN("", TRUE, D1016:K1016)</f>
        <v>02_Slots/Gottheit/Goetter-mit-Epitheta/0410_Seth/det/0020_stX_det_MR_01.png &lt;sup&gt;(MR)&lt;/sup&gt;</v>
      </c>
    </row>
    <row r="1017" spans="1:12" x14ac:dyDescent="0.2">
      <c r="A1017" t="s">
        <v>60</v>
      </c>
      <c r="B1017" s="27">
        <v>410</v>
      </c>
      <c r="C1017" t="s">
        <v>107</v>
      </c>
      <c r="L1017" t="s">
        <v>167</v>
      </c>
    </row>
    <row r="1018" spans="1:12" x14ac:dyDescent="0.2">
      <c r="A1018" t="s">
        <v>60</v>
      </c>
      <c r="B1018" s="27">
        <v>410</v>
      </c>
      <c r="C1018" t="s">
        <v>108</v>
      </c>
    </row>
    <row r="1021" spans="1:12" x14ac:dyDescent="0.2">
      <c r="A1021" t="s">
        <v>60</v>
      </c>
      <c r="B1021" s="27">
        <v>420</v>
      </c>
      <c r="C1021" t="s">
        <v>39</v>
      </c>
      <c r="L1021" t="s">
        <v>728</v>
      </c>
    </row>
    <row r="1022" spans="1:12" x14ac:dyDescent="0.2">
      <c r="A1022" t="s">
        <v>60</v>
      </c>
      <c r="B1022" s="27">
        <v>420</v>
      </c>
      <c r="C1022" t="s">
        <v>105</v>
      </c>
      <c r="E1022" t="s">
        <v>1266</v>
      </c>
      <c r="G1022" t="s">
        <v>1055</v>
      </c>
      <c r="L1022" t="str">
        <f t="shared" ref="L1022:L1027" si="133">_xlfn.TEXTJOIN("", TRUE, D1022:J1022)</f>
        <v>02_Slots/Gottheit/Goetter-mit-Epitheta/0420_Schu/0001_Sw_01.png</v>
      </c>
    </row>
    <row r="1023" spans="1:12" x14ac:dyDescent="0.2">
      <c r="A1023" t="s">
        <v>60</v>
      </c>
      <c r="B1023" s="27">
        <v>420</v>
      </c>
      <c r="C1023" t="s">
        <v>105</v>
      </c>
      <c r="E1023" t="s">
        <v>1266</v>
      </c>
      <c r="G1023" t="s">
        <v>1056</v>
      </c>
      <c r="I1023" t="s">
        <v>1198</v>
      </c>
      <c r="J1023" t="s">
        <v>1199</v>
      </c>
      <c r="K1023" t="s">
        <v>1200</v>
      </c>
      <c r="L1023" t="str">
        <f t="shared" ref="L1023:L1026" si="134">_xlfn.TEXTJOIN("", TRUE, D1023:K1023)</f>
        <v>02_Slots/Gottheit/Goetter-mit-Epitheta/0420_Schu/0010_Sw_AR_01.png &lt;sup&gt;(AR)&lt;/sup&gt;</v>
      </c>
    </row>
    <row r="1024" spans="1:12" x14ac:dyDescent="0.2">
      <c r="A1024" t="s">
        <v>60</v>
      </c>
      <c r="B1024" s="27">
        <v>420</v>
      </c>
      <c r="C1024" t="s">
        <v>105</v>
      </c>
      <c r="E1024" t="s">
        <v>1266</v>
      </c>
      <c r="G1024" t="s">
        <v>1057</v>
      </c>
      <c r="I1024" t="s">
        <v>1198</v>
      </c>
      <c r="J1024" t="s">
        <v>1202</v>
      </c>
      <c r="K1024" t="s">
        <v>1200</v>
      </c>
      <c r="L1024" t="str">
        <f t="shared" si="134"/>
        <v>02_Slots/Gottheit/Goetter-mit-Epitheta/0420_Schu/0020_Sw_MR_01.png &lt;sup&gt;(MR)&lt;/sup&gt;</v>
      </c>
    </row>
    <row r="1025" spans="1:12" x14ac:dyDescent="0.2">
      <c r="A1025" t="s">
        <v>60</v>
      </c>
      <c r="B1025" s="27">
        <v>420</v>
      </c>
      <c r="C1025" t="s">
        <v>105</v>
      </c>
      <c r="E1025" t="s">
        <v>1266</v>
      </c>
      <c r="G1025" t="s">
        <v>1058</v>
      </c>
      <c r="I1025" t="s">
        <v>1198</v>
      </c>
      <c r="J1025" t="s">
        <v>1153</v>
      </c>
      <c r="K1025" t="s">
        <v>1200</v>
      </c>
      <c r="L1025" t="str">
        <f t="shared" si="134"/>
        <v>02_Slots/Gottheit/Goetter-mit-Epitheta/0420_Schu/0030_Sw_NR_01.png &lt;sup&gt;(NR)&lt;/sup&gt;</v>
      </c>
    </row>
    <row r="1026" spans="1:12" x14ac:dyDescent="0.2">
      <c r="A1026" t="s">
        <v>60</v>
      </c>
      <c r="B1026" s="27">
        <v>420</v>
      </c>
      <c r="C1026" t="s">
        <v>105</v>
      </c>
      <c r="E1026" t="s">
        <v>1266</v>
      </c>
      <c r="G1026" t="s">
        <v>1059</v>
      </c>
      <c r="I1026" t="s">
        <v>1198</v>
      </c>
      <c r="J1026" t="s">
        <v>1201</v>
      </c>
      <c r="K1026" t="s">
        <v>1200</v>
      </c>
      <c r="L1026" t="str">
        <f t="shared" si="134"/>
        <v>02_Slots/Gottheit/Goetter-mit-Epitheta/0420_Schu/0040_Sw_GR_01.png &lt;sup&gt;(Gr.)&lt;/sup&gt;</v>
      </c>
    </row>
    <row r="1027" spans="1:12" x14ac:dyDescent="0.2">
      <c r="A1027" t="s">
        <v>60</v>
      </c>
      <c r="B1027" s="27">
        <v>420</v>
      </c>
      <c r="C1027" t="s">
        <v>106</v>
      </c>
      <c r="L1027" t="str">
        <f t="shared" si="133"/>
        <v/>
      </c>
    </row>
    <row r="1028" spans="1:12" x14ac:dyDescent="0.2">
      <c r="A1028" t="s">
        <v>60</v>
      </c>
      <c r="B1028" s="27">
        <v>420</v>
      </c>
      <c r="C1028" t="s">
        <v>107</v>
      </c>
      <c r="L1028" t="s">
        <v>168</v>
      </c>
    </row>
    <row r="1029" spans="1:12" x14ac:dyDescent="0.2">
      <c r="A1029" t="s">
        <v>60</v>
      </c>
      <c r="B1029" s="27">
        <v>420</v>
      </c>
      <c r="C1029" t="s">
        <v>108</v>
      </c>
    </row>
    <row r="1032" spans="1:12" x14ac:dyDescent="0.2">
      <c r="A1032" t="s">
        <v>60</v>
      </c>
      <c r="B1032" s="27">
        <v>430</v>
      </c>
      <c r="C1032" t="s">
        <v>39</v>
      </c>
      <c r="L1032" t="s">
        <v>729</v>
      </c>
    </row>
    <row r="1033" spans="1:12" x14ac:dyDescent="0.2">
      <c r="A1033" t="s">
        <v>60</v>
      </c>
      <c r="B1033" s="27">
        <v>430</v>
      </c>
      <c r="C1033" t="s">
        <v>105</v>
      </c>
      <c r="E1033" t="s">
        <v>1267</v>
      </c>
      <c r="G1033" t="s">
        <v>1061</v>
      </c>
      <c r="L1033" t="str">
        <f t="shared" ref="L1033:L1035" si="135">_xlfn.TEXTJOIN("", TRUE, D1033:J1033)</f>
        <v>02_Slots/Gottheit/Goetter-mit-Epitheta/0430_Qebehsenuef/0001_qbH-snw=f_01.png</v>
      </c>
    </row>
    <row r="1034" spans="1:12" x14ac:dyDescent="0.2">
      <c r="A1034" t="s">
        <v>60</v>
      </c>
      <c r="B1034" s="27">
        <v>430</v>
      </c>
      <c r="C1034" t="s">
        <v>105</v>
      </c>
      <c r="E1034" t="s">
        <v>1267</v>
      </c>
      <c r="G1034" t="s">
        <v>1062</v>
      </c>
      <c r="L1034" t="str">
        <f t="shared" si="135"/>
        <v>02_Slots/Gottheit/Goetter-mit-Epitheta/0430_Qebehsenuef/0010_qbH-snw=f_02.png</v>
      </c>
    </row>
    <row r="1035" spans="1:12" x14ac:dyDescent="0.2">
      <c r="A1035" t="s">
        <v>60</v>
      </c>
      <c r="B1035" s="27">
        <v>430</v>
      </c>
      <c r="C1035" t="s">
        <v>105</v>
      </c>
      <c r="E1035" t="s">
        <v>1267</v>
      </c>
      <c r="G1035" t="s">
        <v>1063</v>
      </c>
      <c r="L1035" t="str">
        <f t="shared" si="135"/>
        <v>02_Slots/Gottheit/Goetter-mit-Epitheta/0430_Qebehsenuef/0020_qbH-snw=f_03.png</v>
      </c>
    </row>
    <row r="1036" spans="1:12" x14ac:dyDescent="0.2">
      <c r="A1036" t="s">
        <v>60</v>
      </c>
      <c r="B1036" s="27">
        <v>430</v>
      </c>
      <c r="C1036" t="s">
        <v>105</v>
      </c>
      <c r="E1036" t="s">
        <v>1267</v>
      </c>
      <c r="G1036" t="s">
        <v>1064</v>
      </c>
      <c r="I1036" t="s">
        <v>1198</v>
      </c>
      <c r="J1036" t="s">
        <v>1202</v>
      </c>
      <c r="K1036" t="s">
        <v>1200</v>
      </c>
      <c r="L1036" t="str">
        <f t="shared" ref="L1036:L1043" si="136">_xlfn.TEXTJOIN("", TRUE, D1036:K1036)</f>
        <v>02_Slots/Gottheit/Goetter-mit-Epitheta/0430_Qebehsenuef/0030_qbH-snw=f_MR_01.png &lt;sup&gt;(MR)&lt;/sup&gt;</v>
      </c>
    </row>
    <row r="1037" spans="1:12" x14ac:dyDescent="0.2">
      <c r="A1037" t="s">
        <v>60</v>
      </c>
      <c r="B1037" s="27">
        <v>430</v>
      </c>
      <c r="C1037" t="s">
        <v>105</v>
      </c>
      <c r="E1037" t="s">
        <v>1267</v>
      </c>
      <c r="G1037" t="s">
        <v>1065</v>
      </c>
      <c r="I1037" t="s">
        <v>1198</v>
      </c>
      <c r="J1037" t="s">
        <v>1202</v>
      </c>
      <c r="K1037" t="s">
        <v>1200</v>
      </c>
      <c r="L1037" t="str">
        <f t="shared" si="136"/>
        <v>02_Slots/Gottheit/Goetter-mit-Epitheta/0430_Qebehsenuef/0040_qbH-snw=f_MR_02.png &lt;sup&gt;(MR)&lt;/sup&gt;</v>
      </c>
    </row>
    <row r="1038" spans="1:12" x14ac:dyDescent="0.2">
      <c r="A1038" t="s">
        <v>60</v>
      </c>
      <c r="B1038" s="27">
        <v>430</v>
      </c>
      <c r="C1038" t="s">
        <v>105</v>
      </c>
      <c r="E1038" t="s">
        <v>1267</v>
      </c>
      <c r="G1038" t="s">
        <v>1066</v>
      </c>
      <c r="I1038" t="s">
        <v>1198</v>
      </c>
      <c r="J1038" t="s">
        <v>1201</v>
      </c>
      <c r="K1038" t="s">
        <v>1200</v>
      </c>
      <c r="L1038" t="str">
        <f t="shared" si="136"/>
        <v>02_Slots/Gottheit/Goetter-mit-Epitheta/0430_Qebehsenuef/0050_qbH-snw=f_GR_01.png &lt;sup&gt;(Gr.)&lt;/sup&gt;</v>
      </c>
    </row>
    <row r="1039" spans="1:12" x14ac:dyDescent="0.2">
      <c r="A1039" t="s">
        <v>60</v>
      </c>
      <c r="B1039" s="27">
        <v>430</v>
      </c>
      <c r="C1039" t="s">
        <v>105</v>
      </c>
      <c r="E1039" t="s">
        <v>1267</v>
      </c>
      <c r="G1039" t="s">
        <v>1067</v>
      </c>
      <c r="I1039" t="s">
        <v>1198</v>
      </c>
      <c r="J1039" t="s">
        <v>1201</v>
      </c>
      <c r="K1039" t="s">
        <v>1200</v>
      </c>
      <c r="L1039" t="str">
        <f t="shared" si="136"/>
        <v>02_Slots/Gottheit/Goetter-mit-Epitheta/0430_Qebehsenuef/0060_qbH-snw=f_GR_02.png &lt;sup&gt;(Gr.)&lt;/sup&gt;</v>
      </c>
    </row>
    <row r="1040" spans="1:12" x14ac:dyDescent="0.2">
      <c r="A1040" t="s">
        <v>60</v>
      </c>
      <c r="B1040" s="27">
        <v>430</v>
      </c>
      <c r="C1040" t="s">
        <v>105</v>
      </c>
      <c r="E1040" t="s">
        <v>1267</v>
      </c>
      <c r="G1040" t="s">
        <v>1068</v>
      </c>
      <c r="I1040" t="s">
        <v>1198</v>
      </c>
      <c r="J1040" t="s">
        <v>1201</v>
      </c>
      <c r="K1040" t="s">
        <v>1200</v>
      </c>
      <c r="L1040" t="str">
        <f t="shared" si="136"/>
        <v>02_Slots/Gottheit/Goetter-mit-Epitheta/0430_Qebehsenuef/0070_qbH-snw=f_GR_03.png &lt;sup&gt;(Gr.)&lt;/sup&gt;</v>
      </c>
    </row>
    <row r="1041" spans="1:12" x14ac:dyDescent="0.2">
      <c r="A1041" t="s">
        <v>60</v>
      </c>
      <c r="B1041" s="27">
        <v>430</v>
      </c>
      <c r="C1041" t="s">
        <v>105</v>
      </c>
      <c r="E1041" t="s">
        <v>1267</v>
      </c>
      <c r="G1041" t="s">
        <v>1060</v>
      </c>
      <c r="I1041" t="s">
        <v>1198</v>
      </c>
      <c r="J1041" t="s">
        <v>1201</v>
      </c>
      <c r="K1041" t="s">
        <v>1200</v>
      </c>
      <c r="L1041" t="str">
        <f t="shared" si="136"/>
        <v>02_Slots/Gottheit/Goetter-mit-Epitheta/0430_Qebehsenuef/0080_qbH-snw=f_GR_04.png &lt;sup&gt;(Gr.)&lt;/sup&gt;</v>
      </c>
    </row>
    <row r="1042" spans="1:12" x14ac:dyDescent="0.2">
      <c r="A1042" t="s">
        <v>60</v>
      </c>
      <c r="B1042" s="27">
        <v>430</v>
      </c>
      <c r="C1042" t="s">
        <v>106</v>
      </c>
      <c r="E1042" t="s">
        <v>1267</v>
      </c>
      <c r="F1042" t="s">
        <v>111</v>
      </c>
      <c r="G1042" t="s">
        <v>1069</v>
      </c>
      <c r="I1042" t="s">
        <v>1198</v>
      </c>
      <c r="J1042" t="s">
        <v>1201</v>
      </c>
      <c r="K1042" t="s">
        <v>1200</v>
      </c>
      <c r="L1042" t="str">
        <f t="shared" si="136"/>
        <v>02_Slots/Gottheit/Goetter-mit-Epitheta/0430_Qebehsenuef/det/0001_qbH-snw=f_det_GR_01.png &lt;sup&gt;(Gr.)&lt;/sup&gt;</v>
      </c>
    </row>
    <row r="1043" spans="1:12" x14ac:dyDescent="0.2">
      <c r="A1043" t="s">
        <v>60</v>
      </c>
      <c r="B1043" s="27">
        <v>430</v>
      </c>
      <c r="C1043" t="s">
        <v>106</v>
      </c>
      <c r="E1043" t="s">
        <v>1267</v>
      </c>
      <c r="F1043" t="s">
        <v>111</v>
      </c>
      <c r="G1043" t="s">
        <v>1070</v>
      </c>
      <c r="I1043" t="s">
        <v>1198</v>
      </c>
      <c r="J1043" t="s">
        <v>1201</v>
      </c>
      <c r="K1043" t="s">
        <v>1200</v>
      </c>
      <c r="L1043" t="str">
        <f t="shared" si="136"/>
        <v>02_Slots/Gottheit/Goetter-mit-Epitheta/0430_Qebehsenuef/det/0010_qbH-snw=f_det_GR_02.png &lt;sup&gt;(Gr.)&lt;/sup&gt;</v>
      </c>
    </row>
    <row r="1044" spans="1:12" x14ac:dyDescent="0.2">
      <c r="A1044" t="s">
        <v>60</v>
      </c>
      <c r="B1044" s="27">
        <v>430</v>
      </c>
      <c r="C1044" t="s">
        <v>107</v>
      </c>
      <c r="L1044" t="s">
        <v>169</v>
      </c>
    </row>
    <row r="1045" spans="1:12" x14ac:dyDescent="0.2">
      <c r="A1045" t="s">
        <v>60</v>
      </c>
      <c r="B1045" s="27">
        <v>430</v>
      </c>
      <c r="C1045" t="s">
        <v>108</v>
      </c>
    </row>
    <row r="1048" spans="1:12" x14ac:dyDescent="0.2">
      <c r="A1048" t="s">
        <v>60</v>
      </c>
      <c r="B1048" s="27">
        <v>440</v>
      </c>
      <c r="C1048" t="s">
        <v>39</v>
      </c>
      <c r="L1048" t="s">
        <v>730</v>
      </c>
    </row>
    <row r="1049" spans="1:12" x14ac:dyDescent="0.2">
      <c r="A1049" t="s">
        <v>60</v>
      </c>
      <c r="B1049" s="27">
        <v>440</v>
      </c>
      <c r="C1049" t="s">
        <v>105</v>
      </c>
      <c r="E1049" t="s">
        <v>1268</v>
      </c>
      <c r="G1049" t="s">
        <v>1071</v>
      </c>
      <c r="I1049" t="s">
        <v>1198</v>
      </c>
      <c r="J1049" t="s">
        <v>1199</v>
      </c>
      <c r="K1049" t="s">
        <v>1200</v>
      </c>
      <c r="L1049" t="str">
        <f t="shared" ref="L1049:L1053" si="137">_xlfn.TEXTJOIN("", TRUE, D1049:K1049)</f>
        <v>02_Slots/Gottheit/Goetter-mit-Epitheta/0440_Duamutef/0001_dwA-mw.t=f_AR_01.png &lt;sup&gt;(AR)&lt;/sup&gt;</v>
      </c>
    </row>
    <row r="1050" spans="1:12" x14ac:dyDescent="0.2">
      <c r="A1050" t="s">
        <v>60</v>
      </c>
      <c r="B1050" s="27">
        <v>440</v>
      </c>
      <c r="C1050" t="s">
        <v>105</v>
      </c>
      <c r="E1050" t="s">
        <v>1268</v>
      </c>
      <c r="G1050" t="s">
        <v>1072</v>
      </c>
      <c r="I1050" t="s">
        <v>1198</v>
      </c>
      <c r="J1050" t="s">
        <v>1199</v>
      </c>
      <c r="K1050" t="s">
        <v>1200</v>
      </c>
      <c r="L1050" t="str">
        <f t="shared" si="137"/>
        <v>02_Slots/Gottheit/Goetter-mit-Epitheta/0440_Duamutef/0010_dwA-mw.t=f_AR_02.png &lt;sup&gt;(AR)&lt;/sup&gt;</v>
      </c>
    </row>
    <row r="1051" spans="1:12" x14ac:dyDescent="0.2">
      <c r="A1051" t="s">
        <v>60</v>
      </c>
      <c r="B1051" s="27">
        <v>440</v>
      </c>
      <c r="C1051" t="s">
        <v>105</v>
      </c>
      <c r="E1051" t="s">
        <v>1268</v>
      </c>
      <c r="G1051" t="s">
        <v>1073</v>
      </c>
      <c r="I1051" t="s">
        <v>1198</v>
      </c>
      <c r="J1051" t="s">
        <v>1202</v>
      </c>
      <c r="K1051" t="s">
        <v>1200</v>
      </c>
      <c r="L1051" t="str">
        <f t="shared" si="137"/>
        <v>02_Slots/Gottheit/Goetter-mit-Epitheta/0440_Duamutef/0020_dwA-mw.t=f_MR_01.png &lt;sup&gt;(MR)&lt;/sup&gt;</v>
      </c>
    </row>
    <row r="1052" spans="1:12" x14ac:dyDescent="0.2">
      <c r="A1052" t="s">
        <v>60</v>
      </c>
      <c r="B1052" s="27">
        <v>440</v>
      </c>
      <c r="C1052" t="s">
        <v>105</v>
      </c>
      <c r="E1052" t="s">
        <v>1268</v>
      </c>
      <c r="G1052" t="s">
        <v>1074</v>
      </c>
      <c r="I1052" t="s">
        <v>1198</v>
      </c>
      <c r="J1052" t="s">
        <v>1202</v>
      </c>
      <c r="K1052" t="s">
        <v>1200</v>
      </c>
      <c r="L1052" t="str">
        <f t="shared" si="137"/>
        <v>02_Slots/Gottheit/Goetter-mit-Epitheta/0440_Duamutef/0030_dwA-mw.t=f_MR_02.png &lt;sup&gt;(MR)&lt;/sup&gt;</v>
      </c>
    </row>
    <row r="1053" spans="1:12" x14ac:dyDescent="0.2">
      <c r="A1053" t="s">
        <v>60</v>
      </c>
      <c r="B1053" s="27">
        <v>440</v>
      </c>
      <c r="C1053" t="s">
        <v>105</v>
      </c>
      <c r="E1053" t="s">
        <v>1268</v>
      </c>
      <c r="G1053" t="s">
        <v>1075</v>
      </c>
      <c r="I1053" t="s">
        <v>1198</v>
      </c>
      <c r="J1053" t="s">
        <v>1202</v>
      </c>
      <c r="K1053" t="s">
        <v>1200</v>
      </c>
      <c r="L1053" t="str">
        <f t="shared" si="137"/>
        <v>02_Slots/Gottheit/Goetter-mit-Epitheta/0440_Duamutef/0040_dwA-mw.t=f_MR_03.png &lt;sup&gt;(MR)&lt;/sup&gt;</v>
      </c>
    </row>
    <row r="1054" spans="1:12" x14ac:dyDescent="0.2">
      <c r="A1054" t="s">
        <v>60</v>
      </c>
      <c r="B1054" s="27">
        <v>440</v>
      </c>
      <c r="C1054" t="s">
        <v>106</v>
      </c>
      <c r="L1054" t="str">
        <f t="shared" ref="L1054" si="138">_xlfn.TEXTJOIN("", TRUE, D1054:J1054)</f>
        <v/>
      </c>
    </row>
    <row r="1055" spans="1:12" x14ac:dyDescent="0.2">
      <c r="A1055" t="s">
        <v>60</v>
      </c>
      <c r="B1055" s="27">
        <v>440</v>
      </c>
      <c r="C1055" t="s">
        <v>107</v>
      </c>
      <c r="L1055" t="s">
        <v>170</v>
      </c>
    </row>
    <row r="1056" spans="1:12" x14ac:dyDescent="0.2">
      <c r="A1056" t="s">
        <v>60</v>
      </c>
      <c r="B1056" s="27">
        <v>440</v>
      </c>
      <c r="C1056" t="s">
        <v>108</v>
      </c>
    </row>
    <row r="1059" spans="1:12" x14ac:dyDescent="0.2">
      <c r="A1059" t="s">
        <v>60</v>
      </c>
      <c r="B1059" s="27">
        <v>450</v>
      </c>
      <c r="C1059" t="s">
        <v>39</v>
      </c>
      <c r="L1059" t="s">
        <v>731</v>
      </c>
    </row>
    <row r="1060" spans="1:12" x14ac:dyDescent="0.2">
      <c r="A1060" t="s">
        <v>60</v>
      </c>
      <c r="B1060" s="27">
        <v>450</v>
      </c>
      <c r="C1060" t="s">
        <v>105</v>
      </c>
      <c r="E1060" t="s">
        <v>1269</v>
      </c>
      <c r="G1060" t="s">
        <v>1076</v>
      </c>
      <c r="I1060" t="s">
        <v>1198</v>
      </c>
      <c r="J1060" t="s">
        <v>1199</v>
      </c>
      <c r="K1060" t="s">
        <v>1200</v>
      </c>
      <c r="L1060" t="str">
        <f t="shared" ref="L1060:L1070" si="139">_xlfn.TEXTJOIN("", TRUE, D1060:K1060)</f>
        <v>02_Slots/Gottheit/Goetter-mit-Epitheta/0450_Thot/0001_DHwtj_AR_01.png &lt;sup&gt;(AR)&lt;/sup&gt;</v>
      </c>
    </row>
    <row r="1061" spans="1:12" x14ac:dyDescent="0.2">
      <c r="A1061" t="s">
        <v>60</v>
      </c>
      <c r="B1061" s="27">
        <v>450</v>
      </c>
      <c r="C1061" t="s">
        <v>105</v>
      </c>
      <c r="E1061" t="s">
        <v>1269</v>
      </c>
      <c r="G1061" t="s">
        <v>1077</v>
      </c>
      <c r="I1061" t="s">
        <v>1198</v>
      </c>
      <c r="J1061" t="s">
        <v>1202</v>
      </c>
      <c r="K1061" t="s">
        <v>1200</v>
      </c>
      <c r="L1061" t="str">
        <f t="shared" si="139"/>
        <v>02_Slots/Gottheit/Goetter-mit-Epitheta/0450_Thot/0010_DHwtj_MR_01.png &lt;sup&gt;(MR)&lt;/sup&gt;</v>
      </c>
    </row>
    <row r="1062" spans="1:12" x14ac:dyDescent="0.2">
      <c r="A1062" t="s">
        <v>60</v>
      </c>
      <c r="B1062" s="27">
        <v>450</v>
      </c>
      <c r="C1062" t="s">
        <v>105</v>
      </c>
      <c r="E1062" t="s">
        <v>1269</v>
      </c>
      <c r="G1062" t="s">
        <v>1078</v>
      </c>
      <c r="I1062" t="s">
        <v>1198</v>
      </c>
      <c r="J1062" t="s">
        <v>1202</v>
      </c>
      <c r="K1062" t="s">
        <v>1200</v>
      </c>
      <c r="L1062" t="str">
        <f t="shared" si="139"/>
        <v>02_Slots/Gottheit/Goetter-mit-Epitheta/0450_Thot/0020_DHwtj_MR_02.png &lt;sup&gt;(MR)&lt;/sup&gt;</v>
      </c>
    </row>
    <row r="1063" spans="1:12" x14ac:dyDescent="0.2">
      <c r="A1063" t="s">
        <v>60</v>
      </c>
      <c r="B1063" s="27">
        <v>450</v>
      </c>
      <c r="C1063" t="s">
        <v>105</v>
      </c>
      <c r="E1063" t="s">
        <v>1269</v>
      </c>
      <c r="G1063" t="s">
        <v>1079</v>
      </c>
      <c r="I1063" t="s">
        <v>1198</v>
      </c>
      <c r="J1063" t="s">
        <v>1202</v>
      </c>
      <c r="K1063" t="s">
        <v>1200</v>
      </c>
      <c r="L1063" t="str">
        <f t="shared" si="139"/>
        <v>02_Slots/Gottheit/Goetter-mit-Epitheta/0450_Thot/0030_DHwtj_MR_03.png &lt;sup&gt;(MR)&lt;/sup&gt;</v>
      </c>
    </row>
    <row r="1064" spans="1:12" x14ac:dyDescent="0.2">
      <c r="A1064" t="s">
        <v>60</v>
      </c>
      <c r="B1064" s="27">
        <v>450</v>
      </c>
      <c r="C1064" t="s">
        <v>105</v>
      </c>
      <c r="E1064" t="s">
        <v>1269</v>
      </c>
      <c r="G1064" t="s">
        <v>1080</v>
      </c>
      <c r="I1064" t="s">
        <v>1198</v>
      </c>
      <c r="J1064" t="s">
        <v>1202</v>
      </c>
      <c r="K1064" t="s">
        <v>1200</v>
      </c>
      <c r="L1064" t="str">
        <f t="shared" si="139"/>
        <v>02_Slots/Gottheit/Goetter-mit-Epitheta/0450_Thot/0040_DHwtj_MR_04.png &lt;sup&gt;(MR)&lt;/sup&gt;</v>
      </c>
    </row>
    <row r="1065" spans="1:12" x14ac:dyDescent="0.2">
      <c r="A1065" t="s">
        <v>60</v>
      </c>
      <c r="B1065" s="27">
        <v>450</v>
      </c>
      <c r="C1065" t="s">
        <v>105</v>
      </c>
      <c r="E1065" t="s">
        <v>1269</v>
      </c>
      <c r="G1065" t="s">
        <v>1081</v>
      </c>
      <c r="I1065" t="s">
        <v>1198</v>
      </c>
      <c r="J1065" t="s">
        <v>1202</v>
      </c>
      <c r="K1065" t="s">
        <v>1200</v>
      </c>
      <c r="L1065" t="str">
        <f t="shared" si="139"/>
        <v>02_Slots/Gottheit/Goetter-mit-Epitheta/0450_Thot/0050_DHwtj_MR_05.png &lt;sup&gt;(MR)&lt;/sup&gt;</v>
      </c>
    </row>
    <row r="1066" spans="1:12" x14ac:dyDescent="0.2">
      <c r="A1066" t="s">
        <v>60</v>
      </c>
      <c r="B1066" s="27">
        <v>450</v>
      </c>
      <c r="C1066" t="s">
        <v>105</v>
      </c>
      <c r="E1066" t="s">
        <v>1269</v>
      </c>
      <c r="G1066" t="s">
        <v>1082</v>
      </c>
      <c r="I1066" t="s">
        <v>1198</v>
      </c>
      <c r="J1066" t="s">
        <v>1207</v>
      </c>
      <c r="K1066" t="s">
        <v>1200</v>
      </c>
      <c r="L1066" t="str">
        <f t="shared" si="139"/>
        <v>02_Slots/Gottheit/Goetter-mit-Epitheta/0450_Thot/0060_DHwtj_SP_01.png &lt;sup&gt;(Sp.)&lt;/sup&gt;</v>
      </c>
    </row>
    <row r="1067" spans="1:12" x14ac:dyDescent="0.2">
      <c r="A1067" t="s">
        <v>60</v>
      </c>
      <c r="B1067" s="27">
        <v>450</v>
      </c>
      <c r="C1067" t="s">
        <v>105</v>
      </c>
      <c r="E1067" t="s">
        <v>1269</v>
      </c>
      <c r="G1067" t="s">
        <v>1083</v>
      </c>
      <c r="I1067" t="s">
        <v>1198</v>
      </c>
      <c r="J1067" t="s">
        <v>1207</v>
      </c>
      <c r="K1067" t="s">
        <v>1200</v>
      </c>
      <c r="L1067" t="str">
        <f t="shared" si="139"/>
        <v>02_Slots/Gottheit/Goetter-mit-Epitheta/0450_Thot/0070_DHwtj_SP_02.png &lt;sup&gt;(Sp.)&lt;/sup&gt;</v>
      </c>
    </row>
    <row r="1068" spans="1:12" x14ac:dyDescent="0.2">
      <c r="A1068" t="s">
        <v>60</v>
      </c>
      <c r="B1068" s="27">
        <v>450</v>
      </c>
      <c r="C1068" t="s">
        <v>105</v>
      </c>
      <c r="E1068" t="s">
        <v>1269</v>
      </c>
      <c r="G1068" t="s">
        <v>1084</v>
      </c>
      <c r="I1068" t="s">
        <v>1198</v>
      </c>
      <c r="J1068" t="s">
        <v>1217</v>
      </c>
      <c r="K1068" t="s">
        <v>1200</v>
      </c>
      <c r="L1068" t="str">
        <f t="shared" si="139"/>
        <v>02_Slots/Gottheit/Goetter-mit-Epitheta/0450_Thot/0080_DHwtj_SP-GR_01.png &lt;sup&gt;(Sp.; Gr.)&lt;/sup&gt;</v>
      </c>
    </row>
    <row r="1069" spans="1:12" x14ac:dyDescent="0.2">
      <c r="A1069" t="s">
        <v>60</v>
      </c>
      <c r="B1069" s="27">
        <v>450</v>
      </c>
      <c r="C1069" t="s">
        <v>105</v>
      </c>
      <c r="E1069" t="s">
        <v>1269</v>
      </c>
      <c r="G1069" t="s">
        <v>1085</v>
      </c>
      <c r="I1069" t="s">
        <v>1198</v>
      </c>
      <c r="J1069" t="s">
        <v>1217</v>
      </c>
      <c r="K1069" t="s">
        <v>1200</v>
      </c>
      <c r="L1069" t="str">
        <f t="shared" si="139"/>
        <v>02_Slots/Gottheit/Goetter-mit-Epitheta/0450_Thot/0090_DHwtj_SP-GR_02.png &lt;sup&gt;(Sp.; Gr.)&lt;/sup&gt;</v>
      </c>
    </row>
    <row r="1070" spans="1:12" x14ac:dyDescent="0.2">
      <c r="A1070" t="s">
        <v>60</v>
      </c>
      <c r="B1070" s="27">
        <v>450</v>
      </c>
      <c r="C1070" t="s">
        <v>106</v>
      </c>
      <c r="E1070" t="s">
        <v>1269</v>
      </c>
      <c r="F1070" t="s">
        <v>111</v>
      </c>
      <c r="G1070" t="s">
        <v>1086</v>
      </c>
      <c r="I1070" t="s">
        <v>1198</v>
      </c>
      <c r="J1070" t="s">
        <v>1207</v>
      </c>
      <c r="K1070" t="s">
        <v>1200</v>
      </c>
      <c r="L1070" t="str">
        <f t="shared" si="139"/>
        <v>02_Slots/Gottheit/Goetter-mit-Epitheta/0450_Thot/det/0001_DHwtj_det_SP_01.png &lt;sup&gt;(Sp.)&lt;/sup&gt;</v>
      </c>
    </row>
    <row r="1071" spans="1:12" x14ac:dyDescent="0.2">
      <c r="A1071" t="s">
        <v>60</v>
      </c>
      <c r="B1071" s="27">
        <v>450</v>
      </c>
      <c r="C1071" t="s">
        <v>107</v>
      </c>
      <c r="L1071" t="s">
        <v>171</v>
      </c>
    </row>
    <row r="1072" spans="1:12" x14ac:dyDescent="0.2">
      <c r="A1072" t="s">
        <v>60</v>
      </c>
      <c r="B1072" s="27">
        <v>450</v>
      </c>
      <c r="C1072" t="s">
        <v>108</v>
      </c>
    </row>
    <row r="1078" spans="1:12" x14ac:dyDescent="0.2">
      <c r="A1078" s="4" t="s">
        <v>1287</v>
      </c>
      <c r="B1078" s="27">
        <v>1</v>
      </c>
      <c r="C1078" t="s">
        <v>1343</v>
      </c>
      <c r="L1078" t="s">
        <v>1344</v>
      </c>
    </row>
    <row r="1079" spans="1:12" x14ac:dyDescent="0.2">
      <c r="A1079" s="4" t="s">
        <v>1287</v>
      </c>
      <c r="B1079" s="27">
        <v>1</v>
      </c>
      <c r="C1079" t="s">
        <v>1286</v>
      </c>
      <c r="E1079" t="s">
        <v>1340</v>
      </c>
      <c r="G1079" t="s">
        <v>1339</v>
      </c>
      <c r="H1079" t="s">
        <v>113</v>
      </c>
      <c r="L1079" t="str">
        <f t="shared" ref="L1079" si="140">_xlfn.TEXTJOIN("", TRUE, D1079:K1079)</f>
        <v>03_Hieroglyphen-selten/F63_xnty_01.png</v>
      </c>
    </row>
    <row r="1080" spans="1:12" x14ac:dyDescent="0.2">
      <c r="A1080" s="4" t="s">
        <v>1287</v>
      </c>
      <c r="B1080" s="27">
        <v>1</v>
      </c>
      <c r="C1080" t="s">
        <v>39</v>
      </c>
      <c r="L1080" t="s">
        <v>1341</v>
      </c>
    </row>
    <row r="1081" spans="1:12" x14ac:dyDescent="0.2">
      <c r="A1081" s="4" t="s">
        <v>1287</v>
      </c>
      <c r="B1081" s="27">
        <v>1</v>
      </c>
      <c r="C1081" t="s">
        <v>27</v>
      </c>
      <c r="L1081" t="s">
        <v>1342</v>
      </c>
    </row>
    <row r="1086" spans="1:12" x14ac:dyDescent="0.2">
      <c r="A1086" s="4" t="s">
        <v>1325</v>
      </c>
      <c r="B1086" s="27">
        <v>1</v>
      </c>
      <c r="C1086" t="s">
        <v>1343</v>
      </c>
      <c r="L1086" t="s">
        <v>1345</v>
      </c>
    </row>
    <row r="1087" spans="1:12" x14ac:dyDescent="0.2">
      <c r="A1087" s="4" t="s">
        <v>1325</v>
      </c>
      <c r="B1087" s="27">
        <v>1</v>
      </c>
      <c r="C1087" t="s">
        <v>1286</v>
      </c>
      <c r="E1087" t="s">
        <v>1340</v>
      </c>
      <c r="G1087" t="s">
        <v>1346</v>
      </c>
      <c r="H1087" t="s">
        <v>113</v>
      </c>
      <c r="L1087" t="str">
        <f t="shared" ref="L1087" si="141">_xlfn.TEXTJOIN("", TRUE, D1087:K1087)</f>
        <v>03_Hieroglyphen-selten/N6B_nsw-bjt_01.png</v>
      </c>
    </row>
    <row r="1088" spans="1:12" x14ac:dyDescent="0.2">
      <c r="A1088" s="4" t="s">
        <v>1325</v>
      </c>
      <c r="B1088" s="27">
        <v>1</v>
      </c>
      <c r="C1088" t="s">
        <v>39</v>
      </c>
      <c r="L1088" t="s">
        <v>528</v>
      </c>
    </row>
    <row r="1089" spans="1:12" x14ac:dyDescent="0.2">
      <c r="A1089" s="4" t="s">
        <v>1325</v>
      </c>
      <c r="B1089" s="27">
        <v>1</v>
      </c>
      <c r="C1089" t="s">
        <v>27</v>
      </c>
      <c r="L1089" t="s">
        <v>1347</v>
      </c>
    </row>
    <row r="1090" spans="1:12" x14ac:dyDescent="0.2">
      <c r="A1090" s="4" t="s">
        <v>1325</v>
      </c>
      <c r="B1090" s="27">
        <v>2</v>
      </c>
      <c r="C1090" t="s">
        <v>1343</v>
      </c>
      <c r="L1090" t="s">
        <v>1349</v>
      </c>
    </row>
    <row r="1091" spans="1:12" x14ac:dyDescent="0.2">
      <c r="A1091" s="4" t="s">
        <v>1325</v>
      </c>
      <c r="B1091" s="27">
        <v>2</v>
      </c>
      <c r="C1091" t="s">
        <v>1286</v>
      </c>
      <c r="E1091" t="s">
        <v>1340</v>
      </c>
      <c r="G1091" t="s">
        <v>1348</v>
      </c>
      <c r="H1091" t="s">
        <v>113</v>
      </c>
      <c r="L1091" t="str">
        <f t="shared" ref="L1091" si="142">_xlfn.TEXTJOIN("", TRUE, D1091:K1091)</f>
        <v>03_Hieroglyphen-selten/N102_jmn_01.png</v>
      </c>
    </row>
    <row r="1092" spans="1:12" x14ac:dyDescent="0.2">
      <c r="A1092" s="4" t="s">
        <v>1325</v>
      </c>
      <c r="B1092" s="27">
        <v>2</v>
      </c>
      <c r="C1092" t="s">
        <v>39</v>
      </c>
      <c r="L1092" t="s">
        <v>177</v>
      </c>
    </row>
    <row r="1093" spans="1:12" x14ac:dyDescent="0.2">
      <c r="A1093" s="4" t="s">
        <v>1325</v>
      </c>
      <c r="B1093" s="27">
        <v>2</v>
      </c>
      <c r="C1093" t="s">
        <v>27</v>
      </c>
      <c r="L1093" t="s">
        <v>112</v>
      </c>
    </row>
  </sheetData>
  <pageMargins left="0.7" right="0.7" top="0.78740157499999996" bottom="0.78740157499999996" header="0.3" footer="0.3"/>
  <ignoredErrors>
    <ignoredError sqref="L33 L952 L96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2026-06-01T11:29:26Z</dcterms:modified>
</cp:coreProperties>
</file>