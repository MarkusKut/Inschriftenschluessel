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Projekt Hoffmann/Inschriftenschlüssel_20260219/Inschriftenschluessel_v2/data/"/>
    </mc:Choice>
  </mc:AlternateContent>
  <xr:revisionPtr revIDLastSave="0" documentId="13_ncr:1_{5B5272D2-5C4E-4343-91FA-32B1DC63ACAC}" xr6:coauthVersionLast="47" xr6:coauthVersionMax="47" xr10:uidLastSave="{00000000-0000-0000-0000-000000000000}"/>
  <bookViews>
    <workbookView xWindow="16140" yWindow="500" windowWidth="12660" windowHeight="16160" activeTab="4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tables" sheetId="4" r:id="rId5"/>
    <sheet name="glyphline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4" l="1"/>
  <c r="K22" i="4"/>
  <c r="K23" i="4"/>
  <c r="K25" i="4"/>
  <c r="K16" i="4"/>
  <c r="K15" i="4"/>
  <c r="K14" i="4"/>
  <c r="K20" i="4"/>
  <c r="K19" i="4"/>
  <c r="K18" i="4"/>
  <c r="K17" i="4"/>
</calcChain>
</file>

<file path=xl/sharedStrings.xml><?xml version="1.0" encoding="utf-8"?>
<sst xmlns="http://schemas.openxmlformats.org/spreadsheetml/2006/main" count="348" uniqueCount="163">
  <si>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</si>
  <si>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</si>
  <si>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</si>
  <si>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</si>
  <si>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</si>
  <si>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</si>
  <si>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</si>
  <si>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</si>
  <si>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</si>
  <si>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</si>
  <si>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</si>
  <si>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</si>
  <si>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Formel: Opferformel</t>
  </si>
  <si>
    <t>pages/formeln/opferformel</t>
  </si>
  <si>
    <t>s_gott</t>
  </si>
  <si>
    <t>slot</t>
  </si>
  <si>
    <t>Slot: Gottheit</t>
  </si>
  <si>
    <t>pages/slots/gottheit</t>
  </si>
  <si>
    <t>landing_id</t>
  </si>
  <si>
    <t>label</t>
  </si>
  <si>
    <t>href_page_id</t>
  </si>
  <si>
    <t>icon_glyph</t>
  </si>
  <si>
    <t>Opferformel</t>
  </si>
  <si>
    <t>...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</si>
  <si>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</si>
  <si>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</si>
  <si>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</si>
  <si>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</si>
  <si>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</si>
  <si>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</si>
  <si>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</si>
  <si>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</si>
  <si>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</si>
  <si>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</si>
  <si>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</si>
  <si>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</si>
  <si>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</si>
  <si>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</si>
  <si>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</si>
  <si>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</si>
  <si>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</si>
  <si>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</si>
  <si>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</si>
  <si>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</si>
  <si>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</si>
  <si>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III, 186, 187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</si>
  <si>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</si>
  <si>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</si>
  <si>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</si>
  <si>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</si>
  <si>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</si>
  <si>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</si>
  <si>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</si>
  <si>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</si>
  <si>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</si>
  <si>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</si>
  <si>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</si>
  <si>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</si>
  <si>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</si>
  <si>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</si>
  <si>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</si>
  <si>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</si>
  <si>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</si>
  <si>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</si>
  <si>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</si>
  <si>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</si>
  <si>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</si>
  <si>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</si>
  <si>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</si>
  <si>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</si>
  <si>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</si>
  <si>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</si>
  <si>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</si>
  <si>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</si>
  <si>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Formel: Denkmälerformel</t>
  </si>
  <si>
    <t>Formel: Hymnus</t>
  </si>
  <si>
    <t>Formel: König-geliebt-von-Gottheit-Formel</t>
  </si>
  <si>
    <t>Formel: „Historische“ Königsinschrift</t>
  </si>
  <si>
    <t>Formel: Beischrift</t>
  </si>
  <si>
    <t>Formel: Saïten-Formel</t>
  </si>
  <si>
    <t>Formel: Anruf an die 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</si>
  <si>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</si>
  <si>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</si>
  <si>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</si>
  <si>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</si>
  <si>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</si>
  <si>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</si>
  <si>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</si>
  <si>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</si>
  <si>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</si>
  <si>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</si>
  <si>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Slot: Gaben</t>
  </si>
  <si>
    <t>Slot: Person</t>
  </si>
  <si>
    <t>Slot: König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</si>
  <si>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</si>
  <si>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</si>
  <si>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</si>
  <si>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</si>
  <si>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[Person NN] = Verstorbene(r)</t>
  </si>
  <si>
    <t>01_Textgattung/01_Opferformel/01_Htp-dj-nsw/0010_Htp-dj-nsw_AR-MR_01.png</t>
  </si>
  <si>
    <t>01_Textgattung/01_Opferformel/02_dj/0001_dj_01.png</t>
  </si>
  <si>
    <t>01_Textgattung/01_Opferformel/03_n-kA-n/0001_n-kA-n_01.png</t>
  </si>
  <si>
    <t>Ein Opfer, das der König gibt</t>
  </si>
  <si>
    <t>häufige Schreibung; ab 19. Dyn. auch mit „n“ vor Gottheit geschrieben</t>
  </si>
  <si>
    <t>*ḥtp-dꞽ-nsw (n)*</t>
  </si>
  <si>
    <t>*dꞽ⸗f / ⸗s / ⸗sn pr.t-ḫrw*</t>
  </si>
  <si>
    <t>Er/Sie (Sg. &amp; Pl.) möge(n) geben</t>
  </si>
  <si>
    <t>*n / n kꜣ n*</t>
  </si>
  <si>
    <t>für / für den Ka des/der</t>
  </si>
  <si>
    <t>III, 186</t>
  </si>
  <si>
    <t>*ḥtp-dꞽ-nsw*</t>
  </si>
  <si>
    <t>glyph_path</t>
  </si>
  <si>
    <t>group</t>
  </si>
  <si>
    <t>main</t>
  </si>
  <si>
    <t>br</t>
  </si>
  <si>
    <t>var1</t>
  </si>
  <si>
    <t>var2</t>
  </si>
  <si>
    <t>(*dꞽ*)</t>
  </si>
  <si>
    <t>*n* / *n kꜣ n*</t>
  </si>
  <si>
    <t>01_Textgattung/01_Opferformel/01_Htp-dj-nsw/0050_Htp-dj-nsw_AR-MR-Gott-N-Htp-dj_01.png</t>
  </si>
  <si>
    <t>01_Textgattung/01_Opferformel/01_Htp-dj-nsw/0060_Htp-dj-nsw_AR-MR-Gott-N-Htp_01.png</t>
  </si>
  <si>
    <t>01_Textgattung/01_Opferformel/01_Htp-dj-nsw/0020_Htp-dj-nsw n_Ende-NR_01.png</t>
  </si>
  <si>
    <t>01_Textgattung/01_Opferformel/01_Htp-dj-nsw/0030_Htp-dj-nsw_NR-Spaet._01.png</t>
  </si>
  <si>
    <t>01_Textgattung/01_Opferformel/01_Htp-dj-nsw/0040_Htp-dj-nsw_AR-MR-Gott-N-di_01.png</t>
  </si>
  <si>
    <t>AR; MR</t>
  </si>
  <si>
    <t>Ende NR</t>
  </si>
  <si>
    <t>Spät.</t>
  </si>
  <si>
    <t>var3</t>
  </si>
  <si>
    <t>01_Textgattung/01_Opferformel/02_dj/0010_dj=f_01.png</t>
  </si>
  <si>
    <t>01_Textgattung/01_Opferformel/03_n-kA-n/0010_n-kA -n_02.png</t>
  </si>
  <si>
    <t>*dꞽ⸗f* / *⸗s* / *⸗sn*</t>
  </si>
  <si>
    <t>01_Textgattung/01_Opferformel/02_dj/0020_dj=s_01.png</t>
  </si>
  <si>
    <t>01_Textgattung/01_Opferformel/02_dj/0030_dj=sn_01.png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</si>
  <si>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</si>
  <si>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</si>
  <si>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</si>
  <si>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</si>
  <si>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</si>
  <si>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</si>
  <si>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</si>
  <si>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</si>
  <si>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</si>
  <si>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</si>
  <si>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</si>
  <si>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</si>
  <si>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</si>
  <si>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*ꞽmn*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</si>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</sst>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4"/>
  <sheetViews>
    <sheetView zoomScaleNormal="150" workbookViewId="0">
      <selection activeCell="A4" sqref="A4:XFD14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  <c r="F3">
        <v>10</v>
      </c>
    </row>
    <row r="4" spans="1:6" x14ac:dyDescent="0.2">
      <c r="A4" t="s">
        <v>67</v>
      </c>
      <c r="B4" t="s">
        <v>11</v>
      </c>
      <c r="C4" t="s">
        <v>74</v>
      </c>
      <c r="D4" t="s">
        <v>81</v>
      </c>
      <c r="F4">
        <v>20</v>
      </c>
    </row>
    <row r="5" spans="1:6" x14ac:dyDescent="0.2">
      <c r="A5" t="s">
        <v>68</v>
      </c>
      <c r="B5" t="s">
        <v>11</v>
      </c>
      <c r="C5" t="s">
        <v>75</v>
      </c>
      <c r="D5" t="s">
        <v>82</v>
      </c>
      <c r="F5">
        <v>30</v>
      </c>
    </row>
    <row r="6" spans="1:6" x14ac:dyDescent="0.2">
      <c r="A6" t="s">
        <v>69</v>
      </c>
      <c r="B6" t="s">
        <v>11</v>
      </c>
      <c r="C6" t="s">
        <v>76</v>
      </c>
      <c r="D6" t="s">
        <v>83</v>
      </c>
      <c r="F6">
        <v>40</v>
      </c>
    </row>
    <row r="7" spans="1:6" x14ac:dyDescent="0.2">
      <c r="A7" t="s">
        <v>70</v>
      </c>
      <c r="B7" t="s">
        <v>11</v>
      </c>
      <c r="C7" t="s">
        <v>77</v>
      </c>
      <c r="D7" t="s">
        <v>84</v>
      </c>
      <c r="F7">
        <v>50</v>
      </c>
    </row>
    <row r="8" spans="1:6" x14ac:dyDescent="0.2">
      <c r="A8" t="s">
        <v>71</v>
      </c>
      <c r="B8" t="s">
        <v>11</v>
      </c>
      <c r="C8" t="s">
        <v>78</v>
      </c>
      <c r="D8" t="s">
        <v>85</v>
      </c>
      <c r="F8">
        <v>60</v>
      </c>
    </row>
    <row r="9" spans="1:6" x14ac:dyDescent="0.2">
      <c r="A9" t="s">
        <v>72</v>
      </c>
      <c r="B9" t="s">
        <v>11</v>
      </c>
      <c r="C9" t="s">
        <v>79</v>
      </c>
      <c r="D9" t="s">
        <v>86</v>
      </c>
      <c r="F9">
        <v>70</v>
      </c>
    </row>
    <row r="10" spans="1:6" x14ac:dyDescent="0.2">
      <c r="A10" t="s">
        <v>73</v>
      </c>
      <c r="B10" t="s">
        <v>11</v>
      </c>
      <c r="C10" t="s">
        <v>80</v>
      </c>
      <c r="D10" t="s">
        <v>87</v>
      </c>
      <c r="F10">
        <v>80</v>
      </c>
    </row>
    <row r="11" spans="1:6" x14ac:dyDescent="0.2">
      <c r="A11" t="s">
        <v>14</v>
      </c>
      <c r="B11" t="s">
        <v>15</v>
      </c>
      <c r="C11" t="s">
        <v>16</v>
      </c>
      <c r="D11" t="s">
        <v>17</v>
      </c>
      <c r="F11">
        <v>100</v>
      </c>
    </row>
    <row r="12" spans="1:6" x14ac:dyDescent="0.2">
      <c r="A12" t="s">
        <v>88</v>
      </c>
      <c r="B12" t="s">
        <v>15</v>
      </c>
      <c r="C12" t="s">
        <v>91</v>
      </c>
      <c r="D12" t="s">
        <v>94</v>
      </c>
      <c r="F12">
        <v>110</v>
      </c>
    </row>
    <row r="13" spans="1:6" x14ac:dyDescent="0.2">
      <c r="A13" t="s">
        <v>89</v>
      </c>
      <c r="B13" t="s">
        <v>15</v>
      </c>
      <c r="C13" t="s">
        <v>92</v>
      </c>
      <c r="D13" t="s">
        <v>95</v>
      </c>
      <c r="F13">
        <v>120</v>
      </c>
    </row>
    <row r="14" spans="1:6" x14ac:dyDescent="0.2">
      <c r="A14" t="s">
        <v>90</v>
      </c>
      <c r="B14" t="s">
        <v>15</v>
      </c>
      <c r="C14" t="s">
        <v>93</v>
      </c>
      <c r="D14" t="s">
        <v>96</v>
      </c>
      <c r="F14">
        <v>130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2"/>
  <sheetViews>
    <sheetView workbookViewId="0">
      <selection activeCell="A3" sqref="A3:XFD3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1.6640625" bestFit="1" customWidth="1"/>
    <col min="4" max="4" width="68" bestFit="1" customWidth="1"/>
  </cols>
  <sheetData>
    <row r="1" spans="1:4" x14ac:dyDescent="0.2">
      <c r="A1" s="1" t="s">
        <v>18</v>
      </c>
      <c r="B1" s="1" t="s">
        <v>19</v>
      </c>
      <c r="C1" s="1" t="s">
        <v>20</v>
      </c>
      <c r="D1" s="1" t="s">
        <v>21</v>
      </c>
    </row>
    <row r="2" spans="1:4" x14ac:dyDescent="0.2">
      <c r="A2" t="s">
        <v>6</v>
      </c>
      <c r="B2" t="s">
        <v>22</v>
      </c>
      <c r="C2" t="s">
        <v>10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E9"/>
  <sheetViews>
    <sheetView zoomScale="90" zoomScaleNormal="90" workbookViewId="0">
      <selection activeCell="A8" sqref="A8:XFD11"/>
    </sheetView>
  </sheetViews>
  <sheetFormatPr baseColWidth="10" defaultRowHeight="16" x14ac:dyDescent="0.2"/>
  <cols>
    <col min="1" max="1" width="8.5" style="4" bestFit="1" customWidth="1"/>
    <col min="2" max="2" width="10.83203125" style="4"/>
    <col min="3" max="3" width="15" style="4" bestFit="1" customWidth="1"/>
    <col min="4" max="4" width="26" style="4" customWidth="1"/>
    <col min="5" max="16384" width="10.83203125" style="4"/>
  </cols>
  <sheetData>
    <row r="1" spans="1:5" x14ac:dyDescent="0.2">
      <c r="A1" s="3" t="s">
        <v>0</v>
      </c>
      <c r="B1" s="3" t="s">
        <v>24</v>
      </c>
      <c r="C1" s="3" t="s">
        <v>25</v>
      </c>
      <c r="D1" s="3" t="s">
        <v>26</v>
      </c>
      <c r="E1" s="3" t="s">
        <v>27</v>
      </c>
    </row>
    <row r="2" spans="1:5" x14ac:dyDescent="0.2">
      <c r="A2" s="4" t="s">
        <v>10</v>
      </c>
      <c r="B2" s="4" t="s">
        <v>28</v>
      </c>
      <c r="E2" s="4" t="s">
        <v>29</v>
      </c>
    </row>
    <row r="3" spans="1:5" ht="85" x14ac:dyDescent="0.2">
      <c r="A3" s="4" t="s">
        <v>10</v>
      </c>
      <c r="B3" s="4" t="s">
        <v>30</v>
      </c>
      <c r="C3" s="4" t="s">
        <v>31</v>
      </c>
      <c r="D3" s="2" t="s">
        <v>97</v>
      </c>
    </row>
    <row r="4" spans="1:5" x14ac:dyDescent="0.2">
      <c r="A4" s="4" t="s">
        <v>10</v>
      </c>
      <c r="B4" s="4" t="s">
        <v>32</v>
      </c>
      <c r="C4" s="4" t="s">
        <v>33</v>
      </c>
      <c r="E4" s="4" t="s">
        <v>34</v>
      </c>
    </row>
    <row r="5" spans="1:5" x14ac:dyDescent="0.2">
      <c r="A5" s="4" t="s">
        <v>10</v>
      </c>
      <c r="B5" s="4" t="s">
        <v>30</v>
      </c>
      <c r="C5" s="4" t="s">
        <v>35</v>
      </c>
      <c r="D5" s="4" t="s">
        <v>98</v>
      </c>
    </row>
    <row r="6" spans="1:5" x14ac:dyDescent="0.2">
      <c r="A6" s="4" t="s">
        <v>10</v>
      </c>
      <c r="B6" s="4" t="s">
        <v>36</v>
      </c>
      <c r="C6" s="4" t="s">
        <v>37</v>
      </c>
      <c r="E6" s="4" t="s">
        <v>38</v>
      </c>
    </row>
    <row r="7" spans="1:5" x14ac:dyDescent="0.2">
      <c r="A7" s="4" t="s">
        <v>10</v>
      </c>
      <c r="B7" s="4" t="s">
        <v>30</v>
      </c>
      <c r="C7" s="4" t="s">
        <v>39</v>
      </c>
      <c r="D7" s="4" t="s">
        <v>23</v>
      </c>
    </row>
    <row r="9" spans="1:5" x14ac:dyDescent="0.2">
      <c r="A9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F5"/>
  <sheetViews>
    <sheetView workbookViewId="0">
      <selection activeCell="D3" sqref="D3"/>
    </sheetView>
  </sheetViews>
  <sheetFormatPr baseColWidth="10" defaultColWidth="7.6640625" defaultRowHeight="16" x14ac:dyDescent="0.2"/>
  <cols>
    <col min="1" max="1" width="7.5" bestFit="1" customWidth="1"/>
    <col min="2" max="2" width="7.33203125" bestFit="1" customWidth="1"/>
    <col min="3" max="3" width="20.33203125" bestFit="1" customWidth="1"/>
    <col min="4" max="4" width="36.1640625" customWidth="1"/>
    <col min="5" max="5" width="10.33203125" bestFit="1" customWidth="1"/>
    <col min="6" max="6" width="10.1640625" bestFit="1" customWidth="1"/>
  </cols>
  <sheetData>
    <row r="1" spans="1:6" x14ac:dyDescent="0.2">
      <c r="A1" s="1" t="s">
        <v>0</v>
      </c>
      <c r="B1" s="1" t="s">
        <v>56</v>
      </c>
      <c r="C1" s="1" t="s">
        <v>25</v>
      </c>
      <c r="D1" s="1" t="s">
        <v>26</v>
      </c>
      <c r="E1" s="1" t="s">
        <v>27</v>
      </c>
      <c r="F1" s="1" t="s">
        <v>57</v>
      </c>
    </row>
    <row r="2" spans="1:6" x14ac:dyDescent="0.2">
      <c r="A2" t="s">
        <v>14</v>
      </c>
      <c r="B2" t="s">
        <v>58</v>
      </c>
      <c r="D2" t="s">
        <v>138</v>
      </c>
      <c r="F2" t="s">
        <v>59</v>
      </c>
    </row>
    <row r="3" spans="1:6" ht="85" x14ac:dyDescent="0.2">
      <c r="A3" t="s">
        <v>14</v>
      </c>
      <c r="B3" t="s">
        <v>58</v>
      </c>
      <c r="D3" s="2" t="s">
        <v>137</v>
      </c>
      <c r="F3" t="s">
        <v>59</v>
      </c>
    </row>
    <row r="4" spans="1:6" x14ac:dyDescent="0.2">
      <c r="A4" t="s">
        <v>14</v>
      </c>
      <c r="B4" t="s">
        <v>60</v>
      </c>
      <c r="C4" t="s">
        <v>61</v>
      </c>
      <c r="E4" t="s">
        <v>62</v>
      </c>
      <c r="F4" t="s">
        <v>59</v>
      </c>
    </row>
    <row r="5" spans="1:6" x14ac:dyDescent="0.2">
      <c r="A5" t="s">
        <v>14</v>
      </c>
      <c r="B5" t="s">
        <v>63</v>
      </c>
      <c r="C5" t="s">
        <v>64</v>
      </c>
      <c r="E5" t="s">
        <v>65</v>
      </c>
      <c r="F5" t="s">
        <v>66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27"/>
  <sheetViews>
    <sheetView tabSelected="1" topLeftCell="G8" zoomScale="117" workbookViewId="0">
      <selection activeCell="J23" sqref="J23:J25"/>
    </sheetView>
  </sheetViews>
  <sheetFormatPr baseColWidth="10" defaultColWidth="16.6640625" defaultRowHeight="16" x14ac:dyDescent="0.2"/>
  <cols>
    <col min="1" max="1" width="14.1640625" bestFit="1" customWidth="1"/>
    <col min="2" max="2" width="4.1640625" bestFit="1" customWidth="1"/>
    <col min="3" max="3" width="22.6640625" bestFit="1" customWidth="1"/>
    <col min="4" max="4" width="3.5" bestFit="1" customWidth="1"/>
    <col min="5" max="5" width="45" bestFit="1" customWidth="1"/>
    <col min="6" max="6" width="6" bestFit="1" customWidth="1"/>
    <col min="7" max="7" width="19.33203125" bestFit="1" customWidth="1"/>
    <col min="8" max="8" width="4.5" bestFit="1" customWidth="1"/>
    <col min="9" max="10" width="4.5" customWidth="1"/>
    <col min="11" max="11" width="59.6640625" bestFit="1" customWidth="1"/>
  </cols>
  <sheetData>
    <row r="1" spans="1:11" x14ac:dyDescent="0.2">
      <c r="A1" s="1" t="s">
        <v>27</v>
      </c>
      <c r="B1" s="1" t="s">
        <v>40</v>
      </c>
      <c r="C1" s="1" t="s">
        <v>41</v>
      </c>
      <c r="D1" s="1"/>
      <c r="E1" s="1"/>
      <c r="F1" s="1"/>
      <c r="G1" s="1"/>
      <c r="H1" s="1"/>
      <c r="I1" s="1"/>
      <c r="J1" s="1"/>
      <c r="K1" s="1" t="s">
        <v>42</v>
      </c>
    </row>
    <row r="2" spans="1:11" x14ac:dyDescent="0.2">
      <c r="A2" t="s">
        <v>34</v>
      </c>
      <c r="B2">
        <v>1</v>
      </c>
      <c r="C2" t="s">
        <v>43</v>
      </c>
      <c r="K2" t="s">
        <v>104</v>
      </c>
    </row>
    <row r="3" spans="1:11" x14ac:dyDescent="0.2">
      <c r="A3" t="s">
        <v>34</v>
      </c>
      <c r="B3">
        <v>1</v>
      </c>
      <c r="C3" t="s">
        <v>31</v>
      </c>
      <c r="K3" t="s">
        <v>102</v>
      </c>
    </row>
    <row r="4" spans="1:11" x14ac:dyDescent="0.2">
      <c r="A4" t="s">
        <v>34</v>
      </c>
      <c r="B4">
        <v>1</v>
      </c>
      <c r="C4" t="s">
        <v>44</v>
      </c>
      <c r="K4" t="s">
        <v>45</v>
      </c>
    </row>
    <row r="5" spans="1:11" x14ac:dyDescent="0.2">
      <c r="A5" t="s">
        <v>34</v>
      </c>
      <c r="B5">
        <v>1</v>
      </c>
      <c r="C5" t="s">
        <v>46</v>
      </c>
      <c r="K5" t="s">
        <v>103</v>
      </c>
    </row>
    <row r="6" spans="1:11" x14ac:dyDescent="0.2">
      <c r="A6" t="s">
        <v>34</v>
      </c>
      <c r="B6">
        <v>2</v>
      </c>
      <c r="C6" t="s">
        <v>43</v>
      </c>
      <c r="K6" t="s">
        <v>105</v>
      </c>
    </row>
    <row r="7" spans="1:11" x14ac:dyDescent="0.2">
      <c r="A7" t="s">
        <v>34</v>
      </c>
      <c r="B7">
        <v>2</v>
      </c>
      <c r="C7" t="s">
        <v>31</v>
      </c>
      <c r="K7" t="s">
        <v>106</v>
      </c>
    </row>
    <row r="8" spans="1:11" x14ac:dyDescent="0.2">
      <c r="A8" t="s">
        <v>34</v>
      </c>
      <c r="B8">
        <v>2</v>
      </c>
      <c r="C8" t="s">
        <v>44</v>
      </c>
      <c r="K8" t="s">
        <v>45</v>
      </c>
    </row>
    <row r="9" spans="1:11" x14ac:dyDescent="0.2">
      <c r="A9" t="s">
        <v>34</v>
      </c>
      <c r="B9">
        <v>2</v>
      </c>
      <c r="C9" t="s">
        <v>46</v>
      </c>
    </row>
    <row r="10" spans="1:11" x14ac:dyDescent="0.2">
      <c r="A10" t="s">
        <v>34</v>
      </c>
      <c r="B10">
        <v>3</v>
      </c>
      <c r="C10" t="s">
        <v>43</v>
      </c>
      <c r="K10" t="s">
        <v>107</v>
      </c>
    </row>
    <row r="11" spans="1:11" x14ac:dyDescent="0.2">
      <c r="A11" t="s">
        <v>34</v>
      </c>
      <c r="B11">
        <v>3</v>
      </c>
      <c r="C11" t="s">
        <v>31</v>
      </c>
      <c r="K11" t="s">
        <v>108</v>
      </c>
    </row>
    <row r="12" spans="1:11" x14ac:dyDescent="0.2">
      <c r="A12" t="s">
        <v>34</v>
      </c>
      <c r="B12">
        <v>3</v>
      </c>
      <c r="C12" t="s">
        <v>44</v>
      </c>
      <c r="K12" t="s">
        <v>109</v>
      </c>
    </row>
    <row r="13" spans="1:11" x14ac:dyDescent="0.2">
      <c r="A13" t="s">
        <v>34</v>
      </c>
      <c r="B13">
        <v>3</v>
      </c>
      <c r="C13" t="s">
        <v>46</v>
      </c>
    </row>
    <row r="14" spans="1:11" x14ac:dyDescent="0.2">
      <c r="A14" t="s">
        <v>62</v>
      </c>
      <c r="B14">
        <v>1</v>
      </c>
      <c r="C14" t="s">
        <v>139</v>
      </c>
      <c r="E14" t="s">
        <v>147</v>
      </c>
      <c r="G14" t="s">
        <v>152</v>
      </c>
      <c r="H14" t="s">
        <v>151</v>
      </c>
      <c r="K14" t="str">
        <f t="shared" ref="K14:K16" si="0">_xlfn.TEXTJOIN("", TRUE, D14:J14)</f>
        <v>02_Slots/Gottheit/Determinative_typisch/01_m/0001_A40_01.png</v>
      </c>
    </row>
    <row r="15" spans="1:11" x14ac:dyDescent="0.2">
      <c r="A15" t="s">
        <v>62</v>
      </c>
      <c r="B15">
        <v>2</v>
      </c>
      <c r="C15" t="s">
        <v>139</v>
      </c>
      <c r="E15" t="s">
        <v>147</v>
      </c>
      <c r="G15" t="s">
        <v>153</v>
      </c>
      <c r="H15" t="s">
        <v>151</v>
      </c>
      <c r="K15" t="str">
        <f t="shared" si="0"/>
        <v>02_Slots/Gottheit/Determinative_typisch/01_m/0010_G7_01.png</v>
      </c>
    </row>
    <row r="16" spans="1:11" x14ac:dyDescent="0.2">
      <c r="A16" t="s">
        <v>62</v>
      </c>
      <c r="B16">
        <v>3</v>
      </c>
      <c r="C16" t="s">
        <v>139</v>
      </c>
      <c r="E16" t="s">
        <v>147</v>
      </c>
      <c r="G16" t="s">
        <v>154</v>
      </c>
      <c r="H16" t="s">
        <v>151</v>
      </c>
      <c r="K16" t="str">
        <f t="shared" si="0"/>
        <v>02_Slots/Gottheit/Determinative_typisch/01_m/0020_R8_01.png</v>
      </c>
    </row>
    <row r="17" spans="1:11" x14ac:dyDescent="0.2">
      <c r="A17" t="s">
        <v>62</v>
      </c>
      <c r="B17">
        <v>1</v>
      </c>
      <c r="C17" t="s">
        <v>140</v>
      </c>
      <c r="E17" t="s">
        <v>141</v>
      </c>
      <c r="G17" t="s">
        <v>155</v>
      </c>
      <c r="H17" t="s">
        <v>151</v>
      </c>
      <c r="K17" t="str">
        <f t="shared" ref="K17:K20" si="1">_xlfn.TEXTJOIN("", TRUE, D17:J17)</f>
        <v>02_Slots/Gottheit/Determinative_typisch/02_f/0001_B7_01.png</v>
      </c>
    </row>
    <row r="18" spans="1:11" x14ac:dyDescent="0.2">
      <c r="A18" t="s">
        <v>62</v>
      </c>
      <c r="B18">
        <v>2</v>
      </c>
      <c r="C18" t="s">
        <v>140</v>
      </c>
      <c r="E18" t="s">
        <v>141</v>
      </c>
      <c r="G18" t="s">
        <v>156</v>
      </c>
      <c r="H18" t="s">
        <v>151</v>
      </c>
      <c r="K18" t="str">
        <f t="shared" si="1"/>
        <v>02_Slots/Gottheit/Determinative_typisch/02_f/0010_I64_01.png</v>
      </c>
    </row>
    <row r="19" spans="1:11" x14ac:dyDescent="0.2">
      <c r="A19" t="s">
        <v>62</v>
      </c>
      <c r="B19">
        <v>3</v>
      </c>
      <c r="C19" t="s">
        <v>140</v>
      </c>
      <c r="E19" t="s">
        <v>141</v>
      </c>
      <c r="G19" t="s">
        <v>157</v>
      </c>
      <c r="H19" t="s">
        <v>151</v>
      </c>
      <c r="K19" t="str">
        <f t="shared" si="1"/>
        <v>02_Slots/Gottheit/Determinative_typisch/02_f/0020_H8_01.png</v>
      </c>
    </row>
    <row r="20" spans="1:11" x14ac:dyDescent="0.2">
      <c r="A20" t="s">
        <v>62</v>
      </c>
      <c r="B20">
        <v>4</v>
      </c>
      <c r="C20" t="s">
        <v>140</v>
      </c>
      <c r="E20" t="s">
        <v>141</v>
      </c>
      <c r="G20" t="s">
        <v>158</v>
      </c>
      <c r="H20" t="s">
        <v>151</v>
      </c>
      <c r="K20" t="str">
        <f t="shared" si="1"/>
        <v>02_Slots/Gottheit/Determinative_typisch/02_f/0030_H8_02.png</v>
      </c>
    </row>
    <row r="21" spans="1:11" x14ac:dyDescent="0.2">
      <c r="A21" t="s">
        <v>65</v>
      </c>
      <c r="B21">
        <v>1</v>
      </c>
      <c r="C21" t="s">
        <v>43</v>
      </c>
      <c r="K21" t="s">
        <v>146</v>
      </c>
    </row>
    <row r="22" spans="1:11" x14ac:dyDescent="0.2">
      <c r="A22" t="s">
        <v>65</v>
      </c>
      <c r="B22">
        <v>1</v>
      </c>
      <c r="C22" t="s">
        <v>142</v>
      </c>
      <c r="E22" t="s">
        <v>148</v>
      </c>
      <c r="G22" t="s">
        <v>159</v>
      </c>
      <c r="H22" t="s">
        <v>151</v>
      </c>
      <c r="K22" t="str">
        <f>_xlfn.TEXTJOIN("", TRUE, D22:J22)</f>
        <v>02_Slots/Gottheit/Goetter-mit-Epitheta/0001_Amun/0001_Jmn_01.png</v>
      </c>
    </row>
    <row r="23" spans="1:11" x14ac:dyDescent="0.2">
      <c r="A23" t="s">
        <v>65</v>
      </c>
      <c r="B23">
        <v>2</v>
      </c>
      <c r="C23" t="s">
        <v>142</v>
      </c>
      <c r="E23" t="s">
        <v>148</v>
      </c>
      <c r="G23" t="s">
        <v>161</v>
      </c>
      <c r="H23" t="s">
        <v>151</v>
      </c>
      <c r="K23" t="str">
        <f>_xlfn.TEXTJOIN("", TRUE, D23:J23)</f>
        <v>02_Slots/Gottheit/Goetter-mit-Epitheta/0001_Amun/0010_Jmn_GR_01.png</v>
      </c>
    </row>
    <row r="24" spans="1:11" x14ac:dyDescent="0.2">
      <c r="A24" t="s">
        <v>65</v>
      </c>
      <c r="B24">
        <v>3</v>
      </c>
      <c r="C24" t="s">
        <v>142</v>
      </c>
      <c r="E24" t="s">
        <v>148</v>
      </c>
      <c r="G24" t="s">
        <v>162</v>
      </c>
      <c r="H24" t="s">
        <v>151</v>
      </c>
      <c r="K24" t="str">
        <f>_xlfn.TEXTJOIN("", TRUE, D24:J24)</f>
        <v>02_Slots/Gottheit/Goetter-mit-Epitheta/0001_Amun/0020_Jmn_GR_02.png</v>
      </c>
    </row>
    <row r="25" spans="1:11" x14ac:dyDescent="0.2">
      <c r="A25" t="s">
        <v>65</v>
      </c>
      <c r="B25">
        <v>1</v>
      </c>
      <c r="C25" t="s">
        <v>143</v>
      </c>
      <c r="E25" t="s">
        <v>148</v>
      </c>
      <c r="F25" t="s">
        <v>149</v>
      </c>
      <c r="G25" t="s">
        <v>160</v>
      </c>
      <c r="H25" t="s">
        <v>151</v>
      </c>
      <c r="K25" t="str">
        <f>_xlfn.TEXTJOIN("", TRUE, D25:J25)</f>
        <v>02_Slots/Gottheit/Goetter-mit-Epitheta/0001_Amun/det/0001_Jmn_det_01.png</v>
      </c>
    </row>
    <row r="26" spans="1:11" x14ac:dyDescent="0.2">
      <c r="A26" t="s">
        <v>65</v>
      </c>
      <c r="B26">
        <v>1</v>
      </c>
      <c r="C26" t="s">
        <v>144</v>
      </c>
      <c r="K26" t="s">
        <v>150</v>
      </c>
    </row>
    <row r="27" spans="1:11" x14ac:dyDescent="0.2">
      <c r="A27" t="s">
        <v>65</v>
      </c>
      <c r="B27">
        <v>1</v>
      </c>
      <c r="C27" t="s">
        <v>145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G31"/>
  <sheetViews>
    <sheetView zoomScale="109" workbookViewId="0">
      <selection activeCell="B2" sqref="B2:B31"/>
    </sheetView>
  </sheetViews>
  <sheetFormatPr baseColWidth="10" defaultColWidth="9.33203125" defaultRowHeight="16" x14ac:dyDescent="0.2"/>
  <cols>
    <col min="1" max="1" width="10.83203125" bestFit="1" customWidth="1"/>
    <col min="2" max="2" width="4.1640625" bestFit="1" customWidth="1"/>
    <col min="3" max="3" width="6" bestFit="1" customWidth="1"/>
    <col min="4" max="4" width="15.5" bestFit="1" customWidth="1"/>
    <col min="5" max="5" width="67.6640625" bestFit="1" customWidth="1"/>
    <col min="6" max="6" width="19.5" bestFit="1" customWidth="1"/>
  </cols>
  <sheetData>
    <row r="1" spans="1:7" x14ac:dyDescent="0.2">
      <c r="A1" s="1" t="s">
        <v>47</v>
      </c>
      <c r="B1" s="1" t="s">
        <v>48</v>
      </c>
      <c r="C1" s="1" t="s">
        <v>49</v>
      </c>
      <c r="D1" s="1" t="s">
        <v>50</v>
      </c>
      <c r="E1" s="1" t="s">
        <v>111</v>
      </c>
      <c r="F1" s="1" t="s">
        <v>133</v>
      </c>
      <c r="G1" s="1" t="s">
        <v>112</v>
      </c>
    </row>
    <row r="2" spans="1:7" x14ac:dyDescent="0.2">
      <c r="A2" t="s">
        <v>29</v>
      </c>
      <c r="B2">
        <v>1</v>
      </c>
      <c r="C2" t="s">
        <v>52</v>
      </c>
      <c r="E2" t="s">
        <v>99</v>
      </c>
      <c r="G2" t="s">
        <v>113</v>
      </c>
    </row>
    <row r="3" spans="1:7" x14ac:dyDescent="0.2">
      <c r="A3" t="s">
        <v>29</v>
      </c>
      <c r="B3">
        <v>2</v>
      </c>
      <c r="C3" t="s">
        <v>50</v>
      </c>
      <c r="D3" t="s">
        <v>110</v>
      </c>
      <c r="G3" t="s">
        <v>113</v>
      </c>
    </row>
    <row r="4" spans="1:7" x14ac:dyDescent="0.2">
      <c r="A4" t="s">
        <v>29</v>
      </c>
      <c r="B4">
        <v>3</v>
      </c>
      <c r="C4" t="s">
        <v>51</v>
      </c>
      <c r="D4" t="s">
        <v>53</v>
      </c>
      <c r="F4" t="s">
        <v>134</v>
      </c>
      <c r="G4" t="s">
        <v>113</v>
      </c>
    </row>
    <row r="5" spans="1:7" x14ac:dyDescent="0.2">
      <c r="A5" t="s">
        <v>29</v>
      </c>
      <c r="B5">
        <v>4</v>
      </c>
      <c r="C5" t="s">
        <v>52</v>
      </c>
      <c r="E5" t="s">
        <v>100</v>
      </c>
      <c r="G5" t="s">
        <v>113</v>
      </c>
    </row>
    <row r="6" spans="1:7" x14ac:dyDescent="0.2">
      <c r="A6" t="s">
        <v>29</v>
      </c>
      <c r="B6">
        <v>5</v>
      </c>
      <c r="C6" t="s">
        <v>50</v>
      </c>
      <c r="D6" t="s">
        <v>117</v>
      </c>
      <c r="G6" t="s">
        <v>113</v>
      </c>
    </row>
    <row r="7" spans="1:7" x14ac:dyDescent="0.2">
      <c r="A7" t="s">
        <v>29</v>
      </c>
      <c r="B7">
        <v>6</v>
      </c>
      <c r="C7" t="s">
        <v>51</v>
      </c>
      <c r="D7" t="s">
        <v>54</v>
      </c>
      <c r="F7" t="s">
        <v>135</v>
      </c>
      <c r="G7" t="s">
        <v>113</v>
      </c>
    </row>
    <row r="8" spans="1:7" x14ac:dyDescent="0.2">
      <c r="A8" t="s">
        <v>29</v>
      </c>
      <c r="B8">
        <v>7</v>
      </c>
      <c r="C8" t="s">
        <v>52</v>
      </c>
      <c r="E8" t="s">
        <v>101</v>
      </c>
      <c r="G8" t="s">
        <v>113</v>
      </c>
    </row>
    <row r="9" spans="1:7" x14ac:dyDescent="0.2">
      <c r="A9" t="s">
        <v>29</v>
      </c>
      <c r="B9">
        <v>8</v>
      </c>
      <c r="C9" t="s">
        <v>50</v>
      </c>
      <c r="D9" t="s">
        <v>118</v>
      </c>
      <c r="G9" t="s">
        <v>113</v>
      </c>
    </row>
    <row r="10" spans="1:7" x14ac:dyDescent="0.2">
      <c r="A10" t="s">
        <v>29</v>
      </c>
      <c r="B10">
        <v>9</v>
      </c>
      <c r="C10" t="s">
        <v>51</v>
      </c>
      <c r="D10" t="s">
        <v>55</v>
      </c>
      <c r="F10" t="s">
        <v>136</v>
      </c>
      <c r="G10" t="s">
        <v>113</v>
      </c>
    </row>
    <row r="11" spans="1:7" x14ac:dyDescent="0.2">
      <c r="A11" t="s">
        <v>29</v>
      </c>
      <c r="B11">
        <v>10</v>
      </c>
      <c r="C11" t="s">
        <v>114</v>
      </c>
      <c r="G11" t="s">
        <v>113</v>
      </c>
    </row>
    <row r="12" spans="1:7" x14ac:dyDescent="0.2">
      <c r="A12" s="4" t="s">
        <v>38</v>
      </c>
      <c r="B12">
        <v>11</v>
      </c>
      <c r="C12" t="s">
        <v>19</v>
      </c>
      <c r="D12" t="s">
        <v>110</v>
      </c>
      <c r="G12" t="s">
        <v>115</v>
      </c>
    </row>
    <row r="13" spans="1:7" x14ac:dyDescent="0.2">
      <c r="A13" s="4" t="s">
        <v>38</v>
      </c>
      <c r="B13">
        <v>12</v>
      </c>
      <c r="C13" t="s">
        <v>52</v>
      </c>
      <c r="E13" t="s">
        <v>99</v>
      </c>
      <c r="G13" t="s">
        <v>115</v>
      </c>
    </row>
    <row r="14" spans="1:7" x14ac:dyDescent="0.2">
      <c r="A14" s="4" t="s">
        <v>38</v>
      </c>
      <c r="B14">
        <v>13</v>
      </c>
      <c r="C14" t="s">
        <v>50</v>
      </c>
      <c r="D14" t="s">
        <v>124</v>
      </c>
      <c r="G14" t="s">
        <v>115</v>
      </c>
    </row>
    <row r="15" spans="1:7" x14ac:dyDescent="0.2">
      <c r="A15" s="4" t="s">
        <v>38</v>
      </c>
      <c r="B15">
        <v>14</v>
      </c>
      <c r="C15" t="s">
        <v>52</v>
      </c>
      <c r="E15" t="s">
        <v>121</v>
      </c>
      <c r="G15" t="s">
        <v>115</v>
      </c>
    </row>
    <row r="16" spans="1:7" x14ac:dyDescent="0.2">
      <c r="A16" s="4" t="s">
        <v>38</v>
      </c>
      <c r="B16">
        <v>15</v>
      </c>
      <c r="C16" t="s">
        <v>50</v>
      </c>
      <c r="D16" t="s">
        <v>125</v>
      </c>
      <c r="G16" t="s">
        <v>115</v>
      </c>
    </row>
    <row r="17" spans="1:7" x14ac:dyDescent="0.2">
      <c r="A17" s="4" t="s">
        <v>38</v>
      </c>
      <c r="B17">
        <v>16</v>
      </c>
      <c r="C17" t="s">
        <v>52</v>
      </c>
      <c r="E17" t="s">
        <v>122</v>
      </c>
      <c r="G17" t="s">
        <v>115</v>
      </c>
    </row>
    <row r="18" spans="1:7" x14ac:dyDescent="0.2">
      <c r="A18" s="4" t="s">
        <v>38</v>
      </c>
      <c r="B18">
        <v>17</v>
      </c>
      <c r="C18" t="s">
        <v>50</v>
      </c>
      <c r="D18" t="s">
        <v>126</v>
      </c>
      <c r="G18" t="s">
        <v>115</v>
      </c>
    </row>
    <row r="19" spans="1:7" x14ac:dyDescent="0.2">
      <c r="A19" s="4" t="s">
        <v>38</v>
      </c>
      <c r="B19">
        <v>18</v>
      </c>
      <c r="C19" t="s">
        <v>52</v>
      </c>
      <c r="E19" t="s">
        <v>123</v>
      </c>
      <c r="G19" t="s">
        <v>115</v>
      </c>
    </row>
    <row r="20" spans="1:7" x14ac:dyDescent="0.2">
      <c r="A20" s="4" t="s">
        <v>38</v>
      </c>
      <c r="B20">
        <v>19</v>
      </c>
      <c r="C20" t="s">
        <v>50</v>
      </c>
      <c r="D20" t="s">
        <v>124</v>
      </c>
      <c r="G20" t="s">
        <v>115</v>
      </c>
    </row>
    <row r="21" spans="1:7" x14ac:dyDescent="0.2">
      <c r="A21" s="4" t="s">
        <v>38</v>
      </c>
      <c r="B21">
        <v>20</v>
      </c>
      <c r="C21" t="s">
        <v>52</v>
      </c>
      <c r="E21" t="s">
        <v>119</v>
      </c>
      <c r="G21" t="s">
        <v>115</v>
      </c>
    </row>
    <row r="22" spans="1:7" x14ac:dyDescent="0.2">
      <c r="A22" s="4" t="s">
        <v>38</v>
      </c>
      <c r="B22">
        <v>21</v>
      </c>
      <c r="C22" t="s">
        <v>50</v>
      </c>
      <c r="D22" t="s">
        <v>124</v>
      </c>
      <c r="G22" t="s">
        <v>115</v>
      </c>
    </row>
    <row r="23" spans="1:7" x14ac:dyDescent="0.2">
      <c r="A23" s="4" t="s">
        <v>38</v>
      </c>
      <c r="B23">
        <v>22</v>
      </c>
      <c r="C23" t="s">
        <v>52</v>
      </c>
      <c r="E23" t="s">
        <v>120</v>
      </c>
      <c r="G23" t="s">
        <v>115</v>
      </c>
    </row>
    <row r="24" spans="1:7" x14ac:dyDescent="0.2">
      <c r="A24" s="4" t="s">
        <v>38</v>
      </c>
      <c r="B24">
        <v>23</v>
      </c>
      <c r="C24" t="s">
        <v>50</v>
      </c>
      <c r="D24" t="s">
        <v>124</v>
      </c>
      <c r="G24" t="s">
        <v>115</v>
      </c>
    </row>
    <row r="25" spans="1:7" x14ac:dyDescent="0.2">
      <c r="A25" s="4" t="s">
        <v>38</v>
      </c>
      <c r="B25">
        <v>24</v>
      </c>
      <c r="C25" t="s">
        <v>19</v>
      </c>
      <c r="D25" t="s">
        <v>130</v>
      </c>
      <c r="G25" t="s">
        <v>116</v>
      </c>
    </row>
    <row r="26" spans="1:7" x14ac:dyDescent="0.2">
      <c r="A26" s="4" t="s">
        <v>38</v>
      </c>
      <c r="B26">
        <v>25</v>
      </c>
      <c r="C26" t="s">
        <v>52</v>
      </c>
      <c r="E26" t="s">
        <v>128</v>
      </c>
      <c r="G26" t="s">
        <v>116</v>
      </c>
    </row>
    <row r="27" spans="1:7" x14ac:dyDescent="0.2">
      <c r="A27" s="4" t="s">
        <v>38</v>
      </c>
      <c r="B27">
        <v>26</v>
      </c>
      <c r="C27" t="s">
        <v>52</v>
      </c>
      <c r="E27" t="s">
        <v>131</v>
      </c>
      <c r="G27" t="s">
        <v>116</v>
      </c>
    </row>
    <row r="28" spans="1:7" x14ac:dyDescent="0.2">
      <c r="A28" s="4" t="s">
        <v>38</v>
      </c>
      <c r="B28">
        <v>27</v>
      </c>
      <c r="C28" t="s">
        <v>52</v>
      </c>
      <c r="E28" t="s">
        <v>132</v>
      </c>
      <c r="G28" t="s">
        <v>116</v>
      </c>
    </row>
    <row r="29" spans="1:7" x14ac:dyDescent="0.2">
      <c r="A29" s="4" t="s">
        <v>38</v>
      </c>
      <c r="B29">
        <v>28</v>
      </c>
      <c r="C29" t="s">
        <v>19</v>
      </c>
      <c r="D29" t="s">
        <v>118</v>
      </c>
      <c r="G29" t="s">
        <v>127</v>
      </c>
    </row>
    <row r="30" spans="1:7" x14ac:dyDescent="0.2">
      <c r="A30" s="4" t="s">
        <v>38</v>
      </c>
      <c r="B30">
        <v>29</v>
      </c>
      <c r="C30" t="s">
        <v>52</v>
      </c>
      <c r="E30" t="s">
        <v>101</v>
      </c>
      <c r="G30" t="s">
        <v>127</v>
      </c>
    </row>
    <row r="31" spans="1:7" x14ac:dyDescent="0.2">
      <c r="A31" s="4" t="s">
        <v>38</v>
      </c>
      <c r="B31">
        <v>30</v>
      </c>
      <c r="C31" t="s">
        <v>52</v>
      </c>
      <c r="E31" t="s">
        <v>129</v>
      </c>
      <c r="G31" t="s">
        <v>127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tables</vt:lpstr>
      <vt:lpstr>glyphlines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2026-02-21T23:07:29Z</dcterms:modified>
</cp:coreProperties>
</file>